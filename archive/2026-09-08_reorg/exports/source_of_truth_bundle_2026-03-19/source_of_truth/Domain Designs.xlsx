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hidePivotFieldList="1"/>
  <mc:AlternateContent xmlns:mc="http://schemas.openxmlformats.org/markup-compatibility/2006">
    <mc:Choice Requires="x15">
      <x15ac:absPath xmlns:x15ac="http://schemas.microsoft.com/office/spreadsheetml/2010/11/ac" url="https://originholdings.sharepoint.com/Documents/06 SmartCity/SmartCity Standardization/.7 - SmartCity Analytics/Building Domains/"/>
    </mc:Choice>
  </mc:AlternateContent>
  <xr:revisionPtr revIDLastSave="0" documentId="8_{09D56773-DB6F-4F52-8EDB-2F2B430D1EBD}" xr6:coauthVersionLast="47" xr6:coauthVersionMax="47" xr10:uidLastSave="{00000000-0000-0000-0000-000000000000}"/>
  <bookViews>
    <workbookView xWindow="-19320" yWindow="-120" windowWidth="19440" windowHeight="10320" firstSheet="10" activeTab="10" xr2:uid="{00000000-000D-0000-FFFF-FFFF00000000}"/>
  </bookViews>
  <sheets>
    <sheet name="Constants" sheetId="4" state="hidden" r:id="rId1"/>
    <sheet name="Tabulation" sheetId="5" state="hidden" r:id="rId2"/>
    <sheet name="Pivot" sheetId="6" state="hidden" r:id="rId3"/>
    <sheet name="Summary" sheetId="10" r:id="rId4"/>
    <sheet name="Manual Labels" sheetId="28" r:id="rId5"/>
    <sheet name="SP upgrades" sheetId="34" r:id="rId6"/>
    <sheet name="BODA" sheetId="30" r:id="rId7"/>
    <sheet name="Malformed XML DA" sheetId="26" r:id="rId8"/>
    <sheet name="D1_ACTIVITY (with ML)" sheetId="12" state="hidden" r:id="rId9"/>
    <sheet name="D1_ACTIVITY (no ML)" sheetId="11" state="hidden" r:id="rId10"/>
    <sheet name="D1_ACTIVITY" sheetId="27" r:id="rId11"/>
    <sheet name="D1_DVC" sheetId="20" r:id="rId12"/>
    <sheet name="Measurement" sheetId="56" r:id="rId13"/>
    <sheet name="D1_DVC_CFG" sheetId="21" r:id="rId14"/>
    <sheet name="D1_DVC_EVT" sheetId="22" r:id="rId15"/>
    <sheet name="D1_INSTALL_EVT" sheetId="24" r:id="rId16"/>
    <sheet name="D1_INIT_MSRMT_DATA" sheetId="23" r:id="rId17"/>
    <sheet name="D1_MEASR_COMP" sheetId="38" r:id="rId18"/>
    <sheet name="D1_MSRMT" sheetId="42" r:id="rId19"/>
    <sheet name="D1_MSRMT_LOG" sheetId="43" r:id="rId20"/>
    <sheet name="MDM Usage" sheetId="39" r:id="rId21"/>
    <sheet name="Total Consumption" sheetId="58" r:id="rId22"/>
    <sheet name="D1_USAGE_EXCP" sheetId="44" r:id="rId23"/>
    <sheet name="D1_SP_Archive" sheetId="25" r:id="rId24"/>
    <sheet name="D1_SP2" sheetId="59" r:id="rId25"/>
    <sheet name="D1_US" sheetId="52" r:id="rId26"/>
    <sheet name="Meter Read Upload Req1" sheetId="54" r:id="rId27"/>
    <sheet name="Meter Read Upload Req2" sheetId="55" r:id="rId28"/>
    <sheet name="D1_SP_MSRMT_CYC_SCHED_RTE" sheetId="36" r:id="rId29"/>
    <sheet name="F1_BNDL" sheetId="13" r:id="rId30"/>
    <sheet name="F1_MIGR_DATA_ST" sheetId="14" r:id="rId31"/>
    <sheet name="CI_PREM" sheetId="18" r:id="rId32"/>
    <sheet name="W1_ASSET" sheetId="15" r:id="rId33"/>
    <sheet name="W1_NODE" sheetId="16" r:id="rId34"/>
    <sheet name="CI_SP" sheetId="19" r:id="rId35"/>
    <sheet name="C1_USAGE" sheetId="17" r:id="rId36"/>
    <sheet name="C1_PA_RQST" sheetId="31" r:id="rId37"/>
    <sheet name="C1_REPRESENTATIVE (with ML)" sheetId="32" r:id="rId38"/>
    <sheet name="CI_APPR_REQ" sheetId="33" r:id="rId39"/>
    <sheet name="CI_BILL" sheetId="35" r:id="rId40"/>
    <sheet name="CI_FT" sheetId="37" r:id="rId41"/>
    <sheet name="CI_BILL_EXCP" sheetId="40" r:id="rId42"/>
    <sheet name="CI_BSEG_EXCP" sheetId="41" r:id="rId43"/>
    <sheet name="CI_PAY_EVT_EXCP" sheetId="46" r:id="rId44"/>
    <sheet name="CI_PAY_EXCP" sheetId="47" r:id="rId45"/>
    <sheet name="F1_SYNC_REQ_IN_EXCP" sheetId="49" r:id="rId46"/>
    <sheet name="CI_BCHG_UP_EXCP" sheetId="50" r:id="rId47"/>
    <sheet name="CI_TNDR_ST_EXCP" sheetId="51" r:id="rId48"/>
    <sheet name="D1_VEE_EXCP" sheetId="45" r:id="rId49"/>
    <sheet name="Customer" sheetId="60" r:id="rId50"/>
  </sheets>
  <definedNames>
    <definedName name="_xlnm._FilterDatabase" localSheetId="6" hidden="1">BODA!$A$1:$D$1</definedName>
    <definedName name="_xlnm._FilterDatabase" localSheetId="36" hidden="1">'C1_PA_RQST'!$A$6:$I$6</definedName>
    <definedName name="_xlnm._FilterDatabase" localSheetId="37" hidden="1">'C1_REPRESENTATIVE (with ML)'!$A$6:$I$6</definedName>
    <definedName name="_xlnm._FilterDatabase" localSheetId="38" hidden="1">CI_APPR_REQ!$A$6:$I$6</definedName>
    <definedName name="_xlnm._FilterDatabase" localSheetId="10" hidden="1">D1_ACTIVITY!$A$6:$I$97</definedName>
    <definedName name="_xlnm._FilterDatabase" localSheetId="9" hidden="1">'D1_ACTIVITY (no ML)'!$A$5:$I$5</definedName>
    <definedName name="_xlnm._FilterDatabase" localSheetId="8" hidden="1">'D1_ACTIVITY (with ML)'!$A$5:$H$5</definedName>
    <definedName name="_xlnm._FilterDatabase" localSheetId="29" hidden="1">F1_BNDL!$A$5:$H$5</definedName>
    <definedName name="_xlnm._FilterDatabase" localSheetId="30" hidden="1">F1_MIGR_DATA_ST!$A$5:$H$42</definedName>
    <definedName name="_xlnm._FilterDatabase" localSheetId="7" hidden="1">'Malformed XML DA'!$A$1:$D$1</definedName>
    <definedName name="_xlnm._FilterDatabase" localSheetId="4" hidden="1">'Manual Labels'!$A$1:$C$1</definedName>
    <definedName name="_xlnm._FilterDatabase" localSheetId="3" hidden="1">Summary!$A$1:$N$311</definedName>
    <definedName name="_xlnm._FilterDatabase" localSheetId="1" hidden="1">Tabulation!$A$1:$E$1</definedName>
    <definedName name="_xlnm._FilterDatabase" localSheetId="32" hidden="1">W1_ASSET!$A$5:$H$128</definedName>
    <definedName name="_xlnm._FilterDatabase" localSheetId="33" hidden="1">W1_NODE!$A$5:$H$5</definedName>
  </definedNames>
  <calcPr calcId="191028"/>
  <pivotCaches>
    <pivotCache cacheId="356" r:id="rId5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9" l="1"/>
  <c r="H302" i="10"/>
  <c r="H300" i="10"/>
  <c r="H299" i="10"/>
  <c r="H297" i="10"/>
  <c r="H296" i="10"/>
  <c r="H295" i="10"/>
  <c r="H292" i="10"/>
  <c r="H161" i="10"/>
  <c r="H157" i="10"/>
  <c r="C3" i="39"/>
  <c r="C3" i="42"/>
  <c r="C3" i="38"/>
  <c r="C3" i="23"/>
  <c r="C3" i="22"/>
  <c r="C3" i="21"/>
  <c r="C3" i="45"/>
  <c r="C4" i="51"/>
  <c r="C4" i="50"/>
  <c r="C4" i="49"/>
  <c r="C4" i="47"/>
  <c r="C4" i="46"/>
  <c r="C4" i="41"/>
  <c r="C4" i="40"/>
  <c r="C4" i="37"/>
  <c r="H301" i="10"/>
  <c r="H298" i="10"/>
  <c r="H294" i="10"/>
  <c r="H293" i="10"/>
  <c r="C4" i="36"/>
  <c r="C4" i="35"/>
  <c r="C4" i="33"/>
  <c r="C4" i="32"/>
  <c r="C4" i="31"/>
  <c r="C4" i="27"/>
  <c r="B4" i="24"/>
  <c r="B3" i="24"/>
  <c r="C4" i="21"/>
  <c r="C4" i="20"/>
  <c r="C3" i="20"/>
  <c r="C4" i="23"/>
  <c r="C3" i="25"/>
  <c r="B3" i="16"/>
  <c r="B3" i="15"/>
  <c r="B3" i="14"/>
  <c r="C3" i="13"/>
  <c r="C3" i="11"/>
  <c r="C3" i="12"/>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3" i="6"/>
  <c r="G3" i="6"/>
  <c r="D1091" i="5"/>
  <c r="E1091" i="5"/>
  <c r="D1092" i="5"/>
  <c r="E1092" i="5"/>
  <c r="D1093" i="5"/>
  <c r="E1093" i="5"/>
  <c r="D1094" i="5"/>
  <c r="E1094" i="5"/>
  <c r="D1095" i="5"/>
  <c r="E1095" i="5"/>
  <c r="D1096" i="5"/>
  <c r="E1096" i="5"/>
  <c r="D1097" i="5"/>
  <c r="E1097" i="5"/>
  <c r="D1098" i="5"/>
  <c r="E1098" i="5"/>
  <c r="D1099" i="5"/>
  <c r="E1099" i="5"/>
  <c r="D1100" i="5"/>
  <c r="E1100" i="5"/>
  <c r="D1101" i="5"/>
  <c r="E1101" i="5"/>
  <c r="D1102" i="5"/>
  <c r="E1102" i="5"/>
  <c r="D1103" i="5"/>
  <c r="E1103" i="5"/>
  <c r="D1104" i="5"/>
  <c r="E1104" i="5"/>
  <c r="D1105" i="5"/>
  <c r="E1105" i="5"/>
  <c r="D1106" i="5"/>
  <c r="E1106" i="5"/>
  <c r="D1107" i="5"/>
  <c r="E1107" i="5"/>
  <c r="D1108" i="5"/>
  <c r="E1108" i="5"/>
  <c r="D1109" i="5"/>
  <c r="E1109" i="5"/>
  <c r="D1110" i="5"/>
  <c r="E1110" i="5"/>
  <c r="D1111" i="5"/>
  <c r="E1111" i="5"/>
  <c r="D1112" i="5"/>
  <c r="E1112" i="5"/>
  <c r="D1113" i="5"/>
  <c r="E1113" i="5"/>
  <c r="D1114" i="5"/>
  <c r="E1114" i="5"/>
  <c r="D1115" i="5"/>
  <c r="E1115" i="5"/>
  <c r="D1116" i="5"/>
  <c r="E1116" i="5"/>
  <c r="D1117" i="5"/>
  <c r="E1117" i="5"/>
  <c r="D1118" i="5"/>
  <c r="E1118" i="5"/>
  <c r="D1119" i="5"/>
  <c r="E1119" i="5"/>
  <c r="D1120" i="5"/>
  <c r="E1120" i="5"/>
  <c r="D1121" i="5"/>
  <c r="E1121" i="5"/>
  <c r="D1122" i="5"/>
  <c r="E1122" i="5"/>
  <c r="D1123" i="5"/>
  <c r="E1123" i="5"/>
  <c r="D1124" i="5"/>
  <c r="E1124" i="5"/>
  <c r="D1125" i="5"/>
  <c r="E1125" i="5"/>
  <c r="D1126" i="5"/>
  <c r="E1126" i="5"/>
  <c r="D1127" i="5"/>
  <c r="E1127" i="5"/>
  <c r="D1128" i="5"/>
  <c r="E1128" i="5"/>
  <c r="D1129" i="5"/>
  <c r="E1129" i="5"/>
  <c r="D1130" i="5"/>
  <c r="E1130" i="5"/>
  <c r="D1131" i="5"/>
  <c r="E1131" i="5"/>
  <c r="D1132" i="5"/>
  <c r="E1132" i="5"/>
  <c r="D1133" i="5"/>
  <c r="E1133" i="5"/>
  <c r="D1134" i="5"/>
  <c r="E1134" i="5"/>
  <c r="D1135" i="5"/>
  <c r="E1135" i="5"/>
  <c r="D1136" i="5"/>
  <c r="E1136" i="5"/>
  <c r="D1137" i="5"/>
  <c r="E1137" i="5"/>
  <c r="D1138" i="5"/>
  <c r="E1138" i="5"/>
  <c r="D1139" i="5"/>
  <c r="E1139" i="5"/>
  <c r="D1140" i="5"/>
  <c r="E1140" i="5"/>
  <c r="D1141" i="5"/>
  <c r="E1141" i="5"/>
  <c r="D1142" i="5"/>
  <c r="E1142" i="5"/>
  <c r="D1143" i="5"/>
  <c r="E1143" i="5"/>
  <c r="D1144" i="5"/>
  <c r="E1144" i="5"/>
  <c r="D1145" i="5"/>
  <c r="E1145" i="5"/>
  <c r="D1146" i="5"/>
  <c r="E1146" i="5"/>
  <c r="D1147" i="5"/>
  <c r="E1147" i="5"/>
  <c r="D1148" i="5"/>
  <c r="E1148" i="5"/>
  <c r="D1149" i="5"/>
  <c r="E1149" i="5"/>
  <c r="D1150" i="5"/>
  <c r="E1150" i="5"/>
  <c r="D1151" i="5"/>
  <c r="E1151" i="5"/>
  <c r="D1152" i="5"/>
  <c r="E1152" i="5"/>
  <c r="D1153" i="5"/>
  <c r="E1153" i="5"/>
  <c r="D1154" i="5"/>
  <c r="E1154" i="5"/>
  <c r="D1155" i="5"/>
  <c r="E1155" i="5"/>
  <c r="D1156" i="5"/>
  <c r="E1156" i="5"/>
  <c r="D1157" i="5"/>
  <c r="E1157" i="5"/>
  <c r="D1158" i="5"/>
  <c r="E1158" i="5"/>
  <c r="D1159" i="5"/>
  <c r="E1159" i="5"/>
  <c r="D1160" i="5"/>
  <c r="E1160" i="5"/>
  <c r="D1161" i="5"/>
  <c r="E1161" i="5"/>
  <c r="D1162" i="5"/>
  <c r="E1162" i="5"/>
  <c r="D1163" i="5"/>
  <c r="E1163" i="5"/>
  <c r="D1164" i="5"/>
  <c r="E1164" i="5"/>
  <c r="D1165" i="5"/>
  <c r="E1165" i="5"/>
  <c r="D1166" i="5"/>
  <c r="E1166" i="5"/>
  <c r="D1167" i="5"/>
  <c r="E1167" i="5"/>
  <c r="D1168" i="5"/>
  <c r="E1168" i="5"/>
  <c r="D1169" i="5"/>
  <c r="E1169" i="5"/>
  <c r="D1170" i="5"/>
  <c r="E1170" i="5"/>
  <c r="D1171" i="5"/>
  <c r="E1171" i="5"/>
  <c r="D1172" i="5"/>
  <c r="E1172" i="5"/>
  <c r="D1173" i="5"/>
  <c r="E1173" i="5"/>
  <c r="D1174" i="5"/>
  <c r="E1174" i="5"/>
  <c r="D1175" i="5"/>
  <c r="E1175" i="5"/>
  <c r="D1176" i="5"/>
  <c r="E1176" i="5"/>
  <c r="D1177" i="5"/>
  <c r="E1177" i="5"/>
  <c r="D1178" i="5"/>
  <c r="E1178" i="5"/>
  <c r="D1179" i="5"/>
  <c r="E1179" i="5"/>
  <c r="D1180" i="5"/>
  <c r="E1180" i="5"/>
  <c r="D1181" i="5"/>
  <c r="E1181" i="5"/>
  <c r="D1182" i="5"/>
  <c r="E1182" i="5"/>
  <c r="D1183" i="5"/>
  <c r="E1183" i="5"/>
  <c r="D1184" i="5"/>
  <c r="E1184" i="5"/>
  <c r="D1185" i="5"/>
  <c r="E1185" i="5"/>
  <c r="D1186" i="5"/>
  <c r="E1186" i="5"/>
  <c r="D1187" i="5"/>
  <c r="E1187" i="5"/>
  <c r="D1188" i="5"/>
  <c r="E1188" i="5"/>
  <c r="D1189" i="5"/>
  <c r="E1189" i="5"/>
  <c r="D1190" i="5"/>
  <c r="E1190" i="5"/>
  <c r="D1191" i="5"/>
  <c r="E1191" i="5"/>
  <c r="D1192" i="5"/>
  <c r="E1192" i="5"/>
  <c r="D1193" i="5"/>
  <c r="E1193" i="5"/>
  <c r="D1194" i="5"/>
  <c r="E1194" i="5"/>
  <c r="D1195" i="5"/>
  <c r="E1195" i="5"/>
  <c r="D1196" i="5"/>
  <c r="E1196" i="5"/>
  <c r="D1197" i="5"/>
  <c r="E1197" i="5"/>
  <c r="D1198" i="5"/>
  <c r="E1198" i="5"/>
  <c r="D1199" i="5"/>
  <c r="E1199" i="5"/>
  <c r="D1200" i="5"/>
  <c r="E1200" i="5"/>
  <c r="D1201" i="5"/>
  <c r="E1201" i="5"/>
  <c r="D1202" i="5"/>
  <c r="E1202" i="5"/>
  <c r="D1203" i="5"/>
  <c r="E1203" i="5"/>
  <c r="D1204" i="5"/>
  <c r="E1204" i="5"/>
  <c r="D1205" i="5"/>
  <c r="E1205" i="5"/>
  <c r="D1206" i="5"/>
  <c r="E1206" i="5"/>
  <c r="D1207" i="5"/>
  <c r="E1207" i="5"/>
  <c r="D1208" i="5"/>
  <c r="E1208" i="5"/>
  <c r="D1209" i="5"/>
  <c r="E1209" i="5"/>
  <c r="D1210" i="5"/>
  <c r="E1210" i="5"/>
  <c r="D1211" i="5"/>
  <c r="E1211" i="5"/>
  <c r="D1212" i="5"/>
  <c r="E1212" i="5"/>
  <c r="D1213" i="5"/>
  <c r="E1213" i="5"/>
  <c r="D1214" i="5"/>
  <c r="E1214" i="5"/>
  <c r="D1215" i="5"/>
  <c r="E1215" i="5"/>
  <c r="D1216" i="5"/>
  <c r="E1216" i="5"/>
  <c r="D1217" i="5"/>
  <c r="E1217" i="5"/>
  <c r="D1218" i="5"/>
  <c r="E1218" i="5"/>
  <c r="D1219" i="5"/>
  <c r="E1219" i="5"/>
  <c r="D1220" i="5"/>
  <c r="E1220" i="5"/>
  <c r="D1221" i="5"/>
  <c r="E1221" i="5"/>
  <c r="D1222" i="5"/>
  <c r="E1222" i="5"/>
  <c r="D1223" i="5"/>
  <c r="E1223" i="5"/>
  <c r="D1224" i="5"/>
  <c r="E1224" i="5"/>
  <c r="D1225" i="5"/>
  <c r="E1225" i="5"/>
  <c r="D1226" i="5"/>
  <c r="E1226" i="5"/>
  <c r="D1227" i="5"/>
  <c r="E1227" i="5"/>
  <c r="D1228" i="5"/>
  <c r="E1228" i="5"/>
  <c r="D1229" i="5"/>
  <c r="E1229" i="5"/>
  <c r="D1230" i="5"/>
  <c r="E1230" i="5"/>
  <c r="D1231" i="5"/>
  <c r="E1231" i="5"/>
  <c r="D1232" i="5"/>
  <c r="E1232" i="5"/>
  <c r="D1233" i="5"/>
  <c r="E1233" i="5"/>
  <c r="D1234" i="5"/>
  <c r="E1234" i="5"/>
  <c r="D1235" i="5"/>
  <c r="E1235" i="5"/>
  <c r="D1236" i="5"/>
  <c r="E1236" i="5"/>
  <c r="D1237" i="5"/>
  <c r="E1237" i="5"/>
  <c r="D1238" i="5"/>
  <c r="E1238" i="5"/>
  <c r="D1239" i="5"/>
  <c r="E1239" i="5"/>
  <c r="D1240" i="5"/>
  <c r="E1240" i="5"/>
  <c r="D1241" i="5"/>
  <c r="E1241" i="5"/>
  <c r="D1242" i="5"/>
  <c r="E1242" i="5"/>
  <c r="D1243" i="5"/>
  <c r="E1243" i="5"/>
  <c r="D1244" i="5"/>
  <c r="E1244" i="5"/>
  <c r="D1245" i="5"/>
  <c r="E1245" i="5"/>
  <c r="D1246" i="5"/>
  <c r="E1246" i="5"/>
  <c r="D1247" i="5"/>
  <c r="E1247" i="5"/>
  <c r="D1248" i="5"/>
  <c r="E1248" i="5"/>
  <c r="D1249" i="5"/>
  <c r="E1249" i="5"/>
  <c r="D1250" i="5"/>
  <c r="E1250" i="5"/>
  <c r="D1251" i="5"/>
  <c r="E1251" i="5"/>
  <c r="D1252" i="5"/>
  <c r="E1252" i="5"/>
  <c r="D1253" i="5"/>
  <c r="E1253" i="5"/>
  <c r="D1254" i="5"/>
  <c r="E1254" i="5"/>
  <c r="D1255" i="5"/>
  <c r="E1255" i="5"/>
  <c r="D1256" i="5"/>
  <c r="E1256" i="5"/>
  <c r="D1257" i="5"/>
  <c r="E1257" i="5"/>
  <c r="D1258" i="5"/>
  <c r="E1258" i="5"/>
  <c r="D1259" i="5"/>
  <c r="E1259" i="5"/>
  <c r="D1260" i="5"/>
  <c r="E1260" i="5"/>
  <c r="D1261" i="5"/>
  <c r="E1261" i="5"/>
  <c r="D1262" i="5"/>
  <c r="E1262" i="5"/>
  <c r="D1263" i="5"/>
  <c r="E1263" i="5"/>
  <c r="D1264" i="5"/>
  <c r="E1264" i="5"/>
  <c r="D1265" i="5"/>
  <c r="E1265" i="5"/>
  <c r="D1266" i="5"/>
  <c r="E1266" i="5"/>
  <c r="D1267" i="5"/>
  <c r="E1267" i="5"/>
  <c r="D1268" i="5"/>
  <c r="E1268" i="5"/>
  <c r="D1269" i="5"/>
  <c r="E1269" i="5"/>
  <c r="D1270" i="5"/>
  <c r="E1270" i="5"/>
  <c r="D1271" i="5"/>
  <c r="E1271" i="5"/>
  <c r="D1272" i="5"/>
  <c r="E1272" i="5"/>
  <c r="D1273" i="5"/>
  <c r="E1273" i="5"/>
  <c r="D1274" i="5"/>
  <c r="E1274" i="5"/>
  <c r="D1275" i="5"/>
  <c r="E1275" i="5"/>
  <c r="D1276" i="5"/>
  <c r="E1276" i="5"/>
  <c r="D1277" i="5"/>
  <c r="E1277" i="5"/>
  <c r="D1278" i="5"/>
  <c r="E1278" i="5"/>
  <c r="D1279" i="5"/>
  <c r="E1279" i="5"/>
  <c r="D1280" i="5"/>
  <c r="E1280" i="5"/>
  <c r="D1281" i="5"/>
  <c r="E1281" i="5"/>
  <c r="D1282" i="5"/>
  <c r="E1282" i="5"/>
  <c r="D1283" i="5"/>
  <c r="E1283" i="5"/>
  <c r="D1284" i="5"/>
  <c r="E1284" i="5"/>
  <c r="D1285" i="5"/>
  <c r="E1285" i="5"/>
  <c r="D1286" i="5"/>
  <c r="E1286" i="5"/>
  <c r="D1287" i="5"/>
  <c r="E1287" i="5"/>
  <c r="D1288" i="5"/>
  <c r="E1288" i="5"/>
  <c r="D1289" i="5"/>
  <c r="E1289" i="5"/>
  <c r="D1290" i="5"/>
  <c r="E1290" i="5"/>
  <c r="D1291" i="5"/>
  <c r="E1291" i="5"/>
  <c r="D1292" i="5"/>
  <c r="E1292" i="5"/>
  <c r="D1293" i="5"/>
  <c r="E1293" i="5"/>
  <c r="D1294" i="5"/>
  <c r="E1294" i="5"/>
  <c r="D1295" i="5"/>
  <c r="E1295" i="5"/>
  <c r="D1296" i="5"/>
  <c r="E1296" i="5"/>
  <c r="D1297" i="5"/>
  <c r="E1297" i="5"/>
  <c r="D1298" i="5"/>
  <c r="E1298" i="5"/>
  <c r="D1299" i="5"/>
  <c r="E1299" i="5"/>
  <c r="D1300" i="5"/>
  <c r="E1300" i="5"/>
  <c r="D1301" i="5"/>
  <c r="E1301" i="5"/>
  <c r="D1302" i="5"/>
  <c r="E1302" i="5"/>
  <c r="D1303" i="5"/>
  <c r="E1303" i="5"/>
  <c r="D1304" i="5"/>
  <c r="E1304" i="5"/>
  <c r="D1305" i="5"/>
  <c r="E1305" i="5"/>
  <c r="D1306" i="5"/>
  <c r="E1306" i="5"/>
  <c r="D1307" i="5"/>
  <c r="E1307" i="5"/>
  <c r="D1308" i="5"/>
  <c r="E1308" i="5"/>
  <c r="D1309" i="5"/>
  <c r="E1309" i="5"/>
  <c r="D1310" i="5"/>
  <c r="E1310" i="5"/>
  <c r="D1311" i="5"/>
  <c r="E1311" i="5"/>
  <c r="D1312" i="5"/>
  <c r="E1312" i="5"/>
  <c r="D1313" i="5"/>
  <c r="E1313" i="5"/>
  <c r="D1314" i="5"/>
  <c r="E1314" i="5"/>
  <c r="D1315" i="5"/>
  <c r="E1315" i="5"/>
  <c r="D1316" i="5"/>
  <c r="E1316" i="5"/>
  <c r="D1317" i="5"/>
  <c r="E1317" i="5"/>
  <c r="D1318" i="5"/>
  <c r="E1318" i="5"/>
  <c r="D1319" i="5"/>
  <c r="E1319" i="5"/>
  <c r="D1320" i="5"/>
  <c r="E1320" i="5"/>
  <c r="D1321" i="5"/>
  <c r="E1321" i="5"/>
  <c r="D1322" i="5"/>
  <c r="E1322" i="5"/>
  <c r="D1323" i="5"/>
  <c r="E1323" i="5"/>
  <c r="D1324" i="5"/>
  <c r="E1324" i="5"/>
  <c r="D1325" i="5"/>
  <c r="E1325" i="5"/>
  <c r="D1326" i="5"/>
  <c r="E1326" i="5"/>
  <c r="D1327" i="5"/>
  <c r="E1327" i="5"/>
  <c r="D1328" i="5"/>
  <c r="E1328" i="5"/>
  <c r="D1329" i="5"/>
  <c r="E1329" i="5"/>
  <c r="D1330" i="5"/>
  <c r="E1330" i="5"/>
  <c r="D1331" i="5"/>
  <c r="E1331" i="5"/>
  <c r="D1332" i="5"/>
  <c r="E1332" i="5"/>
  <c r="D1333" i="5"/>
  <c r="E1333" i="5"/>
  <c r="D1334" i="5"/>
  <c r="E1334" i="5"/>
  <c r="D1335" i="5"/>
  <c r="E1335" i="5"/>
  <c r="D1336" i="5"/>
  <c r="E1336" i="5"/>
  <c r="D1337" i="5"/>
  <c r="E1337" i="5"/>
  <c r="D1338" i="5"/>
  <c r="E1338" i="5"/>
  <c r="D1339" i="5"/>
  <c r="E1339" i="5"/>
  <c r="D1340" i="5"/>
  <c r="E1340" i="5"/>
  <c r="D1341" i="5"/>
  <c r="E1341" i="5"/>
  <c r="D1342" i="5"/>
  <c r="E1342" i="5"/>
  <c r="D1343" i="5"/>
  <c r="E1343" i="5"/>
  <c r="D1344" i="5"/>
  <c r="E1344" i="5"/>
  <c r="D1345" i="5"/>
  <c r="E1345" i="5"/>
  <c r="D1346" i="5"/>
  <c r="E1346" i="5"/>
  <c r="D1347" i="5"/>
  <c r="E1347" i="5"/>
  <c r="D1348" i="5"/>
  <c r="E1348" i="5"/>
  <c r="D1349" i="5"/>
  <c r="E1349" i="5"/>
  <c r="D1350" i="5"/>
  <c r="E1350" i="5"/>
  <c r="D1351" i="5"/>
  <c r="E1351" i="5"/>
  <c r="D1352" i="5"/>
  <c r="E1352" i="5"/>
  <c r="D1353" i="5"/>
  <c r="E1353" i="5"/>
  <c r="D1354" i="5"/>
  <c r="E1354" i="5"/>
  <c r="D1355" i="5"/>
  <c r="E1355" i="5"/>
  <c r="D1356" i="5"/>
  <c r="E1356" i="5"/>
  <c r="D1357" i="5"/>
  <c r="E1357" i="5"/>
  <c r="D1358" i="5"/>
  <c r="E1358" i="5"/>
  <c r="D1359" i="5"/>
  <c r="E1359" i="5"/>
  <c r="D1360" i="5"/>
  <c r="E1360" i="5"/>
  <c r="D1361" i="5"/>
  <c r="E1361" i="5"/>
  <c r="D52" i="5"/>
  <c r="E52" i="5"/>
  <c r="D53" i="5"/>
  <c r="E53" i="5"/>
  <c r="D54" i="5"/>
  <c r="E54" i="5"/>
  <c r="D55" i="5"/>
  <c r="E55" i="5"/>
  <c r="D56" i="5"/>
  <c r="E56" i="5"/>
  <c r="D57" i="5"/>
  <c r="E57" i="5"/>
  <c r="D58" i="5"/>
  <c r="E58" i="5"/>
  <c r="D59" i="5"/>
  <c r="E59" i="5"/>
  <c r="D60" i="5"/>
  <c r="E60" i="5"/>
  <c r="D61" i="5"/>
  <c r="E61" i="5"/>
  <c r="D62" i="5"/>
  <c r="E62" i="5"/>
  <c r="D63" i="5"/>
  <c r="E63" i="5"/>
  <c r="D64" i="5"/>
  <c r="E64" i="5"/>
  <c r="D65" i="5"/>
  <c r="E65" i="5"/>
  <c r="D66" i="5"/>
  <c r="E66" i="5"/>
  <c r="D67" i="5"/>
  <c r="E67" i="5"/>
  <c r="D68" i="5"/>
  <c r="E68" i="5"/>
  <c r="D69" i="5"/>
  <c r="E69" i="5"/>
  <c r="D70" i="5"/>
  <c r="E70" i="5"/>
  <c r="D71" i="5"/>
  <c r="E71" i="5"/>
  <c r="D72" i="5"/>
  <c r="E72" i="5"/>
  <c r="D73" i="5"/>
  <c r="E73" i="5"/>
  <c r="D74" i="5"/>
  <c r="E74" i="5"/>
  <c r="D75" i="5"/>
  <c r="E75" i="5"/>
  <c r="D76" i="5"/>
  <c r="E76" i="5"/>
  <c r="D77" i="5"/>
  <c r="E77" i="5"/>
  <c r="D78" i="5"/>
  <c r="E78" i="5"/>
  <c r="D79" i="5"/>
  <c r="E79" i="5"/>
  <c r="D80" i="5"/>
  <c r="E80" i="5"/>
  <c r="D81" i="5"/>
  <c r="E81" i="5"/>
  <c r="D82" i="5"/>
  <c r="E82" i="5"/>
  <c r="D83" i="5"/>
  <c r="E83" i="5"/>
  <c r="D84" i="5"/>
  <c r="E84" i="5"/>
  <c r="D85" i="5"/>
  <c r="E85" i="5"/>
  <c r="D86" i="5"/>
  <c r="E86" i="5"/>
  <c r="D87" i="5"/>
  <c r="E87" i="5"/>
  <c r="D88" i="5"/>
  <c r="E88" i="5"/>
  <c r="D89" i="5"/>
  <c r="E89" i="5"/>
  <c r="D90" i="5"/>
  <c r="E90" i="5"/>
  <c r="D91" i="5"/>
  <c r="E91" i="5"/>
  <c r="D92" i="5"/>
  <c r="E92" i="5"/>
  <c r="D93" i="5"/>
  <c r="E93" i="5"/>
  <c r="D94" i="5"/>
  <c r="E94" i="5"/>
  <c r="D95" i="5"/>
  <c r="E95" i="5"/>
  <c r="D96" i="5"/>
  <c r="E96" i="5"/>
  <c r="D97" i="5"/>
  <c r="E97" i="5"/>
  <c r="D98" i="5"/>
  <c r="E98" i="5"/>
  <c r="D99" i="5"/>
  <c r="E99" i="5"/>
  <c r="D100" i="5"/>
  <c r="E100" i="5"/>
  <c r="D101" i="5"/>
  <c r="E101" i="5"/>
  <c r="D102" i="5"/>
  <c r="E102" i="5"/>
  <c r="D103" i="5"/>
  <c r="E103" i="5"/>
  <c r="D104" i="5"/>
  <c r="E104" i="5"/>
  <c r="D105" i="5"/>
  <c r="E105" i="5"/>
  <c r="D106" i="5"/>
  <c r="E106" i="5"/>
  <c r="D107" i="5"/>
  <c r="E107" i="5"/>
  <c r="D108" i="5"/>
  <c r="E108" i="5"/>
  <c r="D109" i="5"/>
  <c r="E109" i="5"/>
  <c r="D110" i="5"/>
  <c r="E110" i="5"/>
  <c r="D111" i="5"/>
  <c r="E111" i="5"/>
  <c r="D112" i="5"/>
  <c r="E112" i="5"/>
  <c r="D113" i="5"/>
  <c r="E113" i="5"/>
  <c r="D114" i="5"/>
  <c r="E114" i="5"/>
  <c r="D115" i="5"/>
  <c r="E115" i="5"/>
  <c r="D116" i="5"/>
  <c r="E116" i="5"/>
  <c r="D117" i="5"/>
  <c r="E117" i="5"/>
  <c r="D118" i="5"/>
  <c r="E118" i="5"/>
  <c r="D119" i="5"/>
  <c r="E119" i="5"/>
  <c r="D120" i="5"/>
  <c r="E120" i="5"/>
  <c r="D121" i="5"/>
  <c r="E121" i="5"/>
  <c r="D122" i="5"/>
  <c r="E122" i="5"/>
  <c r="D123" i="5"/>
  <c r="E123" i="5"/>
  <c r="D124" i="5"/>
  <c r="E124" i="5"/>
  <c r="D125" i="5"/>
  <c r="E125" i="5"/>
  <c r="D126" i="5"/>
  <c r="E126" i="5"/>
  <c r="D127" i="5"/>
  <c r="E127" i="5"/>
  <c r="D128" i="5"/>
  <c r="E128" i="5"/>
  <c r="D129" i="5"/>
  <c r="E129" i="5"/>
  <c r="D130" i="5"/>
  <c r="E130" i="5"/>
  <c r="D131" i="5"/>
  <c r="E131" i="5"/>
  <c r="D132" i="5"/>
  <c r="E132" i="5"/>
  <c r="D133" i="5"/>
  <c r="E133" i="5"/>
  <c r="D134" i="5"/>
  <c r="E134" i="5"/>
  <c r="D135" i="5"/>
  <c r="E135" i="5"/>
  <c r="D136" i="5"/>
  <c r="E136" i="5"/>
  <c r="D137" i="5"/>
  <c r="E137" i="5"/>
  <c r="D138" i="5"/>
  <c r="E138" i="5"/>
  <c r="D139" i="5"/>
  <c r="E139" i="5"/>
  <c r="D140" i="5"/>
  <c r="E140" i="5"/>
  <c r="D141" i="5"/>
  <c r="E141" i="5"/>
  <c r="D142" i="5"/>
  <c r="E142" i="5"/>
  <c r="D143" i="5"/>
  <c r="E143" i="5"/>
  <c r="D144" i="5"/>
  <c r="E144" i="5"/>
  <c r="D145" i="5"/>
  <c r="E145" i="5"/>
  <c r="D146" i="5"/>
  <c r="E146" i="5"/>
  <c r="D147" i="5"/>
  <c r="E147" i="5"/>
  <c r="D148" i="5"/>
  <c r="E148" i="5"/>
  <c r="D149" i="5"/>
  <c r="E149" i="5"/>
  <c r="D150" i="5"/>
  <c r="E150" i="5"/>
  <c r="D151" i="5"/>
  <c r="E151" i="5"/>
  <c r="D152" i="5"/>
  <c r="E152" i="5"/>
  <c r="D153" i="5"/>
  <c r="E153" i="5"/>
  <c r="D154" i="5"/>
  <c r="E154" i="5"/>
  <c r="D155" i="5"/>
  <c r="E155" i="5"/>
  <c r="D156" i="5"/>
  <c r="E156" i="5"/>
  <c r="D157" i="5"/>
  <c r="E157" i="5"/>
  <c r="D158" i="5"/>
  <c r="E158" i="5"/>
  <c r="D159" i="5"/>
  <c r="E159" i="5"/>
  <c r="D160" i="5"/>
  <c r="E160" i="5"/>
  <c r="D161" i="5"/>
  <c r="E161" i="5"/>
  <c r="D162" i="5"/>
  <c r="E162" i="5"/>
  <c r="D163" i="5"/>
  <c r="E163" i="5"/>
  <c r="D164" i="5"/>
  <c r="E164" i="5"/>
  <c r="D165" i="5"/>
  <c r="E165" i="5"/>
  <c r="D166" i="5"/>
  <c r="E166" i="5"/>
  <c r="D167" i="5"/>
  <c r="E167" i="5"/>
  <c r="D168" i="5"/>
  <c r="E168" i="5"/>
  <c r="D169" i="5"/>
  <c r="E169" i="5"/>
  <c r="D170" i="5"/>
  <c r="E170" i="5"/>
  <c r="D171" i="5"/>
  <c r="E171" i="5"/>
  <c r="D172" i="5"/>
  <c r="E172" i="5"/>
  <c r="D173" i="5"/>
  <c r="E173" i="5"/>
  <c r="D174" i="5"/>
  <c r="E174" i="5"/>
  <c r="D175" i="5"/>
  <c r="E175" i="5"/>
  <c r="D176" i="5"/>
  <c r="E176" i="5"/>
  <c r="D177" i="5"/>
  <c r="E177" i="5"/>
  <c r="D178" i="5"/>
  <c r="E178" i="5"/>
  <c r="D179" i="5"/>
  <c r="E179" i="5"/>
  <c r="D180" i="5"/>
  <c r="E180" i="5"/>
  <c r="D181" i="5"/>
  <c r="E181" i="5"/>
  <c r="D182" i="5"/>
  <c r="E182" i="5"/>
  <c r="D183" i="5"/>
  <c r="E183" i="5"/>
  <c r="D184" i="5"/>
  <c r="E184" i="5"/>
  <c r="D185" i="5"/>
  <c r="E185" i="5"/>
  <c r="D186" i="5"/>
  <c r="E186" i="5"/>
  <c r="D187" i="5"/>
  <c r="E187" i="5"/>
  <c r="D188" i="5"/>
  <c r="E188" i="5"/>
  <c r="D189" i="5"/>
  <c r="E189" i="5"/>
  <c r="D190" i="5"/>
  <c r="E190" i="5"/>
  <c r="D191" i="5"/>
  <c r="E191" i="5"/>
  <c r="D192" i="5"/>
  <c r="E192" i="5"/>
  <c r="D193" i="5"/>
  <c r="E193" i="5"/>
  <c r="D194" i="5"/>
  <c r="E194" i="5"/>
  <c r="D195" i="5"/>
  <c r="E195" i="5"/>
  <c r="D196" i="5"/>
  <c r="E196" i="5"/>
  <c r="D197" i="5"/>
  <c r="E197" i="5"/>
  <c r="D198" i="5"/>
  <c r="E198" i="5"/>
  <c r="D199" i="5"/>
  <c r="E199" i="5"/>
  <c r="D200" i="5"/>
  <c r="E200" i="5"/>
  <c r="D201" i="5"/>
  <c r="E201" i="5"/>
  <c r="D202" i="5"/>
  <c r="E202" i="5"/>
  <c r="D203" i="5"/>
  <c r="E203" i="5"/>
  <c r="D204" i="5"/>
  <c r="E204" i="5"/>
  <c r="D205" i="5"/>
  <c r="E205" i="5"/>
  <c r="D206" i="5"/>
  <c r="E206" i="5"/>
  <c r="D207" i="5"/>
  <c r="E207" i="5"/>
  <c r="D208" i="5"/>
  <c r="E208" i="5"/>
  <c r="D209" i="5"/>
  <c r="E209" i="5"/>
  <c r="D210" i="5"/>
  <c r="E210" i="5"/>
  <c r="D211" i="5"/>
  <c r="E211" i="5"/>
  <c r="D212" i="5"/>
  <c r="E212" i="5"/>
  <c r="D213" i="5"/>
  <c r="E213" i="5"/>
  <c r="D214" i="5"/>
  <c r="E214" i="5"/>
  <c r="D215" i="5"/>
  <c r="E215" i="5"/>
  <c r="D216" i="5"/>
  <c r="E216" i="5"/>
  <c r="D217" i="5"/>
  <c r="E217" i="5"/>
  <c r="D218" i="5"/>
  <c r="E218" i="5"/>
  <c r="D219" i="5"/>
  <c r="E219" i="5"/>
  <c r="D220" i="5"/>
  <c r="E220" i="5"/>
  <c r="D221" i="5"/>
  <c r="E221" i="5"/>
  <c r="D222" i="5"/>
  <c r="E222" i="5"/>
  <c r="D223" i="5"/>
  <c r="E223" i="5"/>
  <c r="D224" i="5"/>
  <c r="E224" i="5"/>
  <c r="D225" i="5"/>
  <c r="E225" i="5"/>
  <c r="D226" i="5"/>
  <c r="E226" i="5"/>
  <c r="D227" i="5"/>
  <c r="E227" i="5"/>
  <c r="D228" i="5"/>
  <c r="E228" i="5"/>
  <c r="D229" i="5"/>
  <c r="E229" i="5"/>
  <c r="D230" i="5"/>
  <c r="E230" i="5"/>
  <c r="D231" i="5"/>
  <c r="E231" i="5"/>
  <c r="D232" i="5"/>
  <c r="E232" i="5"/>
  <c r="D233" i="5"/>
  <c r="E233" i="5"/>
  <c r="D234" i="5"/>
  <c r="E234" i="5"/>
  <c r="D235" i="5"/>
  <c r="E235" i="5"/>
  <c r="D236" i="5"/>
  <c r="E236" i="5"/>
  <c r="D237" i="5"/>
  <c r="E237" i="5"/>
  <c r="D238" i="5"/>
  <c r="E238" i="5"/>
  <c r="D239" i="5"/>
  <c r="E239" i="5"/>
  <c r="D240" i="5"/>
  <c r="E240" i="5"/>
  <c r="D241" i="5"/>
  <c r="E241" i="5"/>
  <c r="D242" i="5"/>
  <c r="E242" i="5"/>
  <c r="D243" i="5"/>
  <c r="E243" i="5"/>
  <c r="D244" i="5"/>
  <c r="E244" i="5"/>
  <c r="D245" i="5"/>
  <c r="E245" i="5"/>
  <c r="D246" i="5"/>
  <c r="E246" i="5"/>
  <c r="D247" i="5"/>
  <c r="E247" i="5"/>
  <c r="D248" i="5"/>
  <c r="E248" i="5"/>
  <c r="D249" i="5"/>
  <c r="E249" i="5"/>
  <c r="D250" i="5"/>
  <c r="E250" i="5"/>
  <c r="D251" i="5"/>
  <c r="E251" i="5"/>
  <c r="D252" i="5"/>
  <c r="E252" i="5"/>
  <c r="D253" i="5"/>
  <c r="E253" i="5"/>
  <c r="D254" i="5"/>
  <c r="E254" i="5"/>
  <c r="D255" i="5"/>
  <c r="E255" i="5"/>
  <c r="D256" i="5"/>
  <c r="E256" i="5"/>
  <c r="D257" i="5"/>
  <c r="E257" i="5"/>
  <c r="D258" i="5"/>
  <c r="E258" i="5"/>
  <c r="D259" i="5"/>
  <c r="E259" i="5"/>
  <c r="D260" i="5"/>
  <c r="E260" i="5"/>
  <c r="D261" i="5"/>
  <c r="E261" i="5"/>
  <c r="D262" i="5"/>
  <c r="E262" i="5"/>
  <c r="D263" i="5"/>
  <c r="E263" i="5"/>
  <c r="D264" i="5"/>
  <c r="E264" i="5"/>
  <c r="D265" i="5"/>
  <c r="E265" i="5"/>
  <c r="D266" i="5"/>
  <c r="E266" i="5"/>
  <c r="D267" i="5"/>
  <c r="E267" i="5"/>
  <c r="D268" i="5"/>
  <c r="E268" i="5"/>
  <c r="D269" i="5"/>
  <c r="E269" i="5"/>
  <c r="D270" i="5"/>
  <c r="E270" i="5"/>
  <c r="D271" i="5"/>
  <c r="E271" i="5"/>
  <c r="D272" i="5"/>
  <c r="E272" i="5"/>
  <c r="D273" i="5"/>
  <c r="E273" i="5"/>
  <c r="D274" i="5"/>
  <c r="E274" i="5"/>
  <c r="D275" i="5"/>
  <c r="E275" i="5"/>
  <c r="D276" i="5"/>
  <c r="E276" i="5"/>
  <c r="D277" i="5"/>
  <c r="E277" i="5"/>
  <c r="D278" i="5"/>
  <c r="E278" i="5"/>
  <c r="D279" i="5"/>
  <c r="E279" i="5"/>
  <c r="D280" i="5"/>
  <c r="E280" i="5"/>
  <c r="D281" i="5"/>
  <c r="E281" i="5"/>
  <c r="D282" i="5"/>
  <c r="E282" i="5"/>
  <c r="D283" i="5"/>
  <c r="E283" i="5"/>
  <c r="D284" i="5"/>
  <c r="E284" i="5"/>
  <c r="D285" i="5"/>
  <c r="E285" i="5"/>
  <c r="D286" i="5"/>
  <c r="E286" i="5"/>
  <c r="D287" i="5"/>
  <c r="E287" i="5"/>
  <c r="D288" i="5"/>
  <c r="E288" i="5"/>
  <c r="D289" i="5"/>
  <c r="E289" i="5"/>
  <c r="D290" i="5"/>
  <c r="E290" i="5"/>
  <c r="D291" i="5"/>
  <c r="E291" i="5"/>
  <c r="D292" i="5"/>
  <c r="E292" i="5"/>
  <c r="D293" i="5"/>
  <c r="E293" i="5"/>
  <c r="D294" i="5"/>
  <c r="E294" i="5"/>
  <c r="D295" i="5"/>
  <c r="E295" i="5"/>
  <c r="D296" i="5"/>
  <c r="E296" i="5"/>
  <c r="D297" i="5"/>
  <c r="E297" i="5"/>
  <c r="D298" i="5"/>
  <c r="E298" i="5"/>
  <c r="D299" i="5"/>
  <c r="E299" i="5"/>
  <c r="D300" i="5"/>
  <c r="E300" i="5"/>
  <c r="D301" i="5"/>
  <c r="E301" i="5"/>
  <c r="D302" i="5"/>
  <c r="E302" i="5"/>
  <c r="D303" i="5"/>
  <c r="E303" i="5"/>
  <c r="D304" i="5"/>
  <c r="E304" i="5"/>
  <c r="D305" i="5"/>
  <c r="E305" i="5"/>
  <c r="D306" i="5"/>
  <c r="E306" i="5"/>
  <c r="D307" i="5"/>
  <c r="E307" i="5"/>
  <c r="D308" i="5"/>
  <c r="E308" i="5"/>
  <c r="D309" i="5"/>
  <c r="E309" i="5"/>
  <c r="D310" i="5"/>
  <c r="E310" i="5"/>
  <c r="D311" i="5"/>
  <c r="E311" i="5"/>
  <c r="D312" i="5"/>
  <c r="E312" i="5"/>
  <c r="D313" i="5"/>
  <c r="E313" i="5"/>
  <c r="D314" i="5"/>
  <c r="E314" i="5"/>
  <c r="D315" i="5"/>
  <c r="E315" i="5"/>
  <c r="D316" i="5"/>
  <c r="E316" i="5"/>
  <c r="D317" i="5"/>
  <c r="E317" i="5"/>
  <c r="D318" i="5"/>
  <c r="E318" i="5"/>
  <c r="D319" i="5"/>
  <c r="E319" i="5"/>
  <c r="D320" i="5"/>
  <c r="E320" i="5"/>
  <c r="D321" i="5"/>
  <c r="E321" i="5"/>
  <c r="D322" i="5"/>
  <c r="E322" i="5"/>
  <c r="D323" i="5"/>
  <c r="E323" i="5"/>
  <c r="D324" i="5"/>
  <c r="E324" i="5"/>
  <c r="D325" i="5"/>
  <c r="E325" i="5"/>
  <c r="D326" i="5"/>
  <c r="E326" i="5"/>
  <c r="D327" i="5"/>
  <c r="E327" i="5"/>
  <c r="D328" i="5"/>
  <c r="E328" i="5"/>
  <c r="D329" i="5"/>
  <c r="E329" i="5"/>
  <c r="D330" i="5"/>
  <c r="E330" i="5"/>
  <c r="D331" i="5"/>
  <c r="E331" i="5"/>
  <c r="D332" i="5"/>
  <c r="E332" i="5"/>
  <c r="D333" i="5"/>
  <c r="E333" i="5"/>
  <c r="D334" i="5"/>
  <c r="E334" i="5"/>
  <c r="D335" i="5"/>
  <c r="E335" i="5"/>
  <c r="D336" i="5"/>
  <c r="E336" i="5"/>
  <c r="D337" i="5"/>
  <c r="E337" i="5"/>
  <c r="D338" i="5"/>
  <c r="E338" i="5"/>
  <c r="D339" i="5"/>
  <c r="E339" i="5"/>
  <c r="D340" i="5"/>
  <c r="E340" i="5"/>
  <c r="D341" i="5"/>
  <c r="E341" i="5"/>
  <c r="D342" i="5"/>
  <c r="E342" i="5"/>
  <c r="D343" i="5"/>
  <c r="E343" i="5"/>
  <c r="D344" i="5"/>
  <c r="E344" i="5"/>
  <c r="D345" i="5"/>
  <c r="E345" i="5"/>
  <c r="D346" i="5"/>
  <c r="E346" i="5"/>
  <c r="D347" i="5"/>
  <c r="E347" i="5"/>
  <c r="D348" i="5"/>
  <c r="E348" i="5"/>
  <c r="D349" i="5"/>
  <c r="E349" i="5"/>
  <c r="D350" i="5"/>
  <c r="E350" i="5"/>
  <c r="D351" i="5"/>
  <c r="E351" i="5"/>
  <c r="D352" i="5"/>
  <c r="E352" i="5"/>
  <c r="D353" i="5"/>
  <c r="E353" i="5"/>
  <c r="D354" i="5"/>
  <c r="E354" i="5"/>
  <c r="D355" i="5"/>
  <c r="E355" i="5"/>
  <c r="D356" i="5"/>
  <c r="E356" i="5"/>
  <c r="D357" i="5"/>
  <c r="E357" i="5"/>
  <c r="D358" i="5"/>
  <c r="E358" i="5"/>
  <c r="D359" i="5"/>
  <c r="E359" i="5"/>
  <c r="D360" i="5"/>
  <c r="E360" i="5"/>
  <c r="D361" i="5"/>
  <c r="E361" i="5"/>
  <c r="D362" i="5"/>
  <c r="E362" i="5"/>
  <c r="D363" i="5"/>
  <c r="E363" i="5"/>
  <c r="D364" i="5"/>
  <c r="E364" i="5"/>
  <c r="D365" i="5"/>
  <c r="E365" i="5"/>
  <c r="D366" i="5"/>
  <c r="E366" i="5"/>
  <c r="D367" i="5"/>
  <c r="E367" i="5"/>
  <c r="D368" i="5"/>
  <c r="E368" i="5"/>
  <c r="D369" i="5"/>
  <c r="E369" i="5"/>
  <c r="D370" i="5"/>
  <c r="E370" i="5"/>
  <c r="D371" i="5"/>
  <c r="E371" i="5"/>
  <c r="D372" i="5"/>
  <c r="E372" i="5"/>
  <c r="D373" i="5"/>
  <c r="E373" i="5"/>
  <c r="D374" i="5"/>
  <c r="E374" i="5"/>
  <c r="D375" i="5"/>
  <c r="E375" i="5"/>
  <c r="D376" i="5"/>
  <c r="E376" i="5"/>
  <c r="D377" i="5"/>
  <c r="E377" i="5"/>
  <c r="D378" i="5"/>
  <c r="E378" i="5"/>
  <c r="D379" i="5"/>
  <c r="E379" i="5"/>
  <c r="D380" i="5"/>
  <c r="E380" i="5"/>
  <c r="D381" i="5"/>
  <c r="E381" i="5"/>
  <c r="D382" i="5"/>
  <c r="E382" i="5"/>
  <c r="D383" i="5"/>
  <c r="E383" i="5"/>
  <c r="D384" i="5"/>
  <c r="E384" i="5"/>
  <c r="D385" i="5"/>
  <c r="E385" i="5"/>
  <c r="D386" i="5"/>
  <c r="E386" i="5"/>
  <c r="D387" i="5"/>
  <c r="E387" i="5"/>
  <c r="D388" i="5"/>
  <c r="E388" i="5"/>
  <c r="D389" i="5"/>
  <c r="E389" i="5"/>
  <c r="D390" i="5"/>
  <c r="E390" i="5"/>
  <c r="D391" i="5"/>
  <c r="E391" i="5"/>
  <c r="D392" i="5"/>
  <c r="E392" i="5"/>
  <c r="D393" i="5"/>
  <c r="E393" i="5"/>
  <c r="D394" i="5"/>
  <c r="E394" i="5"/>
  <c r="D395" i="5"/>
  <c r="E395" i="5"/>
  <c r="D396" i="5"/>
  <c r="E396" i="5"/>
  <c r="D397" i="5"/>
  <c r="E397" i="5"/>
  <c r="D398" i="5"/>
  <c r="E398" i="5"/>
  <c r="D399" i="5"/>
  <c r="E399" i="5"/>
  <c r="D400" i="5"/>
  <c r="E400" i="5"/>
  <c r="D401" i="5"/>
  <c r="E401" i="5"/>
  <c r="D402" i="5"/>
  <c r="E402" i="5"/>
  <c r="D403" i="5"/>
  <c r="E403" i="5"/>
  <c r="D404" i="5"/>
  <c r="E404" i="5"/>
  <c r="D405" i="5"/>
  <c r="E405" i="5"/>
  <c r="D406" i="5"/>
  <c r="E406" i="5"/>
  <c r="D407" i="5"/>
  <c r="E407" i="5"/>
  <c r="D408" i="5"/>
  <c r="E408" i="5"/>
  <c r="D409" i="5"/>
  <c r="E409" i="5"/>
  <c r="D410" i="5"/>
  <c r="E410" i="5"/>
  <c r="D411" i="5"/>
  <c r="E411" i="5"/>
  <c r="D412" i="5"/>
  <c r="E412" i="5"/>
  <c r="D413" i="5"/>
  <c r="E413" i="5"/>
  <c r="D414" i="5"/>
  <c r="E414" i="5"/>
  <c r="D415" i="5"/>
  <c r="E415" i="5"/>
  <c r="D416" i="5"/>
  <c r="E416" i="5"/>
  <c r="D417" i="5"/>
  <c r="E417" i="5"/>
  <c r="D418" i="5"/>
  <c r="E418" i="5"/>
  <c r="D419" i="5"/>
  <c r="E419" i="5"/>
  <c r="D420" i="5"/>
  <c r="E420" i="5"/>
  <c r="D421" i="5"/>
  <c r="E421" i="5"/>
  <c r="D422" i="5"/>
  <c r="E422" i="5"/>
  <c r="D423" i="5"/>
  <c r="E423" i="5"/>
  <c r="D424" i="5"/>
  <c r="E424" i="5"/>
  <c r="D425" i="5"/>
  <c r="E425" i="5"/>
  <c r="D426" i="5"/>
  <c r="E426" i="5"/>
  <c r="D427" i="5"/>
  <c r="E427" i="5"/>
  <c r="D428" i="5"/>
  <c r="E428" i="5"/>
  <c r="D429" i="5"/>
  <c r="E429" i="5"/>
  <c r="D430" i="5"/>
  <c r="E430" i="5"/>
  <c r="D431" i="5"/>
  <c r="E431" i="5"/>
  <c r="D432" i="5"/>
  <c r="E432" i="5"/>
  <c r="D433" i="5"/>
  <c r="E433" i="5"/>
  <c r="D434" i="5"/>
  <c r="E434" i="5"/>
  <c r="D435" i="5"/>
  <c r="E435" i="5"/>
  <c r="D436" i="5"/>
  <c r="E436" i="5"/>
  <c r="D437" i="5"/>
  <c r="E437" i="5"/>
  <c r="D438" i="5"/>
  <c r="E438" i="5"/>
  <c r="D439" i="5"/>
  <c r="E439" i="5"/>
  <c r="D440" i="5"/>
  <c r="E440" i="5"/>
  <c r="D441" i="5"/>
  <c r="E441" i="5"/>
  <c r="D442" i="5"/>
  <c r="E442" i="5"/>
  <c r="D443" i="5"/>
  <c r="E443" i="5"/>
  <c r="D444" i="5"/>
  <c r="E444" i="5"/>
  <c r="D445" i="5"/>
  <c r="E445" i="5"/>
  <c r="D446" i="5"/>
  <c r="E446" i="5"/>
  <c r="D447" i="5"/>
  <c r="E447" i="5"/>
  <c r="D448" i="5"/>
  <c r="E448" i="5"/>
  <c r="D449" i="5"/>
  <c r="E449" i="5"/>
  <c r="D450" i="5"/>
  <c r="E450" i="5"/>
  <c r="D451" i="5"/>
  <c r="E451" i="5"/>
  <c r="D452" i="5"/>
  <c r="E452" i="5"/>
  <c r="D453" i="5"/>
  <c r="E453" i="5"/>
  <c r="D454" i="5"/>
  <c r="E454" i="5"/>
  <c r="D455" i="5"/>
  <c r="E455" i="5"/>
  <c r="D456" i="5"/>
  <c r="E456" i="5"/>
  <c r="D457" i="5"/>
  <c r="E457" i="5"/>
  <c r="D458" i="5"/>
  <c r="E458" i="5"/>
  <c r="D459" i="5"/>
  <c r="E459" i="5"/>
  <c r="D460" i="5"/>
  <c r="E460" i="5"/>
  <c r="D461" i="5"/>
  <c r="E461" i="5"/>
  <c r="D462" i="5"/>
  <c r="E462" i="5"/>
  <c r="D463" i="5"/>
  <c r="E463" i="5"/>
  <c r="D464" i="5"/>
  <c r="E464" i="5"/>
  <c r="D465" i="5"/>
  <c r="E465" i="5"/>
  <c r="D466" i="5"/>
  <c r="E466" i="5"/>
  <c r="D467" i="5"/>
  <c r="E467" i="5"/>
  <c r="D468" i="5"/>
  <c r="E468" i="5"/>
  <c r="D469" i="5"/>
  <c r="E469" i="5"/>
  <c r="D470" i="5"/>
  <c r="E470" i="5"/>
  <c r="D471" i="5"/>
  <c r="E471" i="5"/>
  <c r="D472" i="5"/>
  <c r="E472" i="5"/>
  <c r="D473" i="5"/>
  <c r="E473" i="5"/>
  <c r="D474" i="5"/>
  <c r="E474" i="5"/>
  <c r="D475" i="5"/>
  <c r="E475" i="5"/>
  <c r="D476" i="5"/>
  <c r="E476" i="5"/>
  <c r="D477" i="5"/>
  <c r="E477" i="5"/>
  <c r="D478" i="5"/>
  <c r="E478" i="5"/>
  <c r="D479" i="5"/>
  <c r="E479" i="5"/>
  <c r="D480" i="5"/>
  <c r="E480" i="5"/>
  <c r="D481" i="5"/>
  <c r="E481" i="5"/>
  <c r="D482" i="5"/>
  <c r="E482" i="5"/>
  <c r="D483" i="5"/>
  <c r="E483" i="5"/>
  <c r="D484" i="5"/>
  <c r="E484" i="5"/>
  <c r="D485" i="5"/>
  <c r="E485" i="5"/>
  <c r="D486" i="5"/>
  <c r="E486" i="5"/>
  <c r="D487" i="5"/>
  <c r="E487" i="5"/>
  <c r="D488" i="5"/>
  <c r="E488" i="5"/>
  <c r="D489" i="5"/>
  <c r="E489" i="5"/>
  <c r="D490" i="5"/>
  <c r="E490" i="5"/>
  <c r="D491" i="5"/>
  <c r="E491" i="5"/>
  <c r="D492" i="5"/>
  <c r="E492" i="5"/>
  <c r="D493" i="5"/>
  <c r="E493" i="5"/>
  <c r="D494" i="5"/>
  <c r="E494" i="5"/>
  <c r="D495" i="5"/>
  <c r="E495" i="5"/>
  <c r="D496" i="5"/>
  <c r="E496" i="5"/>
  <c r="D497" i="5"/>
  <c r="E497" i="5"/>
  <c r="D498" i="5"/>
  <c r="E498" i="5"/>
  <c r="D499" i="5"/>
  <c r="E499" i="5"/>
  <c r="D500" i="5"/>
  <c r="E500" i="5"/>
  <c r="D501" i="5"/>
  <c r="E501" i="5"/>
  <c r="D502" i="5"/>
  <c r="E502" i="5"/>
  <c r="D503" i="5"/>
  <c r="E503" i="5"/>
  <c r="D504" i="5"/>
  <c r="E504" i="5"/>
  <c r="D505" i="5"/>
  <c r="E505" i="5"/>
  <c r="D506" i="5"/>
  <c r="E506" i="5"/>
  <c r="D507" i="5"/>
  <c r="E507" i="5"/>
  <c r="D508" i="5"/>
  <c r="E508" i="5"/>
  <c r="D509" i="5"/>
  <c r="E509" i="5"/>
  <c r="D510" i="5"/>
  <c r="E510" i="5"/>
  <c r="D511" i="5"/>
  <c r="E511" i="5"/>
  <c r="D512" i="5"/>
  <c r="E512" i="5"/>
  <c r="D513" i="5"/>
  <c r="E513" i="5"/>
  <c r="D514" i="5"/>
  <c r="E514" i="5"/>
  <c r="D515" i="5"/>
  <c r="E515" i="5"/>
  <c r="D516" i="5"/>
  <c r="E516" i="5"/>
  <c r="D517" i="5"/>
  <c r="E517" i="5"/>
  <c r="D518" i="5"/>
  <c r="E518" i="5"/>
  <c r="D519" i="5"/>
  <c r="E519" i="5"/>
  <c r="D520" i="5"/>
  <c r="E520" i="5"/>
  <c r="D521" i="5"/>
  <c r="E521" i="5"/>
  <c r="D522" i="5"/>
  <c r="E522" i="5"/>
  <c r="D523" i="5"/>
  <c r="E523" i="5"/>
  <c r="D524" i="5"/>
  <c r="E524" i="5"/>
  <c r="D525" i="5"/>
  <c r="E525" i="5"/>
  <c r="D526" i="5"/>
  <c r="E526" i="5"/>
  <c r="D527" i="5"/>
  <c r="E527" i="5"/>
  <c r="D528" i="5"/>
  <c r="E528" i="5"/>
  <c r="D529" i="5"/>
  <c r="E529" i="5"/>
  <c r="D530" i="5"/>
  <c r="E530" i="5"/>
  <c r="D531" i="5"/>
  <c r="E531" i="5"/>
  <c r="D532" i="5"/>
  <c r="E532" i="5"/>
  <c r="D533" i="5"/>
  <c r="E533" i="5"/>
  <c r="D534" i="5"/>
  <c r="E534" i="5"/>
  <c r="D535" i="5"/>
  <c r="E535" i="5"/>
  <c r="D536" i="5"/>
  <c r="E536" i="5"/>
  <c r="D537" i="5"/>
  <c r="E537" i="5"/>
  <c r="D538" i="5"/>
  <c r="E538" i="5"/>
  <c r="D539" i="5"/>
  <c r="E539" i="5"/>
  <c r="D540" i="5"/>
  <c r="E540" i="5"/>
  <c r="D541" i="5"/>
  <c r="E541" i="5"/>
  <c r="D542" i="5"/>
  <c r="E542" i="5"/>
  <c r="D543" i="5"/>
  <c r="E543" i="5"/>
  <c r="D544" i="5"/>
  <c r="E544" i="5"/>
  <c r="D545" i="5"/>
  <c r="E545" i="5"/>
  <c r="D546" i="5"/>
  <c r="E546" i="5"/>
  <c r="D547" i="5"/>
  <c r="E547" i="5"/>
  <c r="D548" i="5"/>
  <c r="E548" i="5"/>
  <c r="D549" i="5"/>
  <c r="E549" i="5"/>
  <c r="D550" i="5"/>
  <c r="E550" i="5"/>
  <c r="D551" i="5"/>
  <c r="E551" i="5"/>
  <c r="D552" i="5"/>
  <c r="E552" i="5"/>
  <c r="D553" i="5"/>
  <c r="E553" i="5"/>
  <c r="D554" i="5"/>
  <c r="E554" i="5"/>
  <c r="D555" i="5"/>
  <c r="E555" i="5"/>
  <c r="D556" i="5"/>
  <c r="E556" i="5"/>
  <c r="D557" i="5"/>
  <c r="E557" i="5"/>
  <c r="D558" i="5"/>
  <c r="E558" i="5"/>
  <c r="D559" i="5"/>
  <c r="E559" i="5"/>
  <c r="D560" i="5"/>
  <c r="E560" i="5"/>
  <c r="D561" i="5"/>
  <c r="E561" i="5"/>
  <c r="D562" i="5"/>
  <c r="E562" i="5"/>
  <c r="D563" i="5"/>
  <c r="E563" i="5"/>
  <c r="D564" i="5"/>
  <c r="E564" i="5"/>
  <c r="D565" i="5"/>
  <c r="E565" i="5"/>
  <c r="D566" i="5"/>
  <c r="E566" i="5"/>
  <c r="D567" i="5"/>
  <c r="E567" i="5"/>
  <c r="D568" i="5"/>
  <c r="E568" i="5"/>
  <c r="D569" i="5"/>
  <c r="E569" i="5"/>
  <c r="D570" i="5"/>
  <c r="E570" i="5"/>
  <c r="D571" i="5"/>
  <c r="E571" i="5"/>
  <c r="D572" i="5"/>
  <c r="E572" i="5"/>
  <c r="D573" i="5"/>
  <c r="E573" i="5"/>
  <c r="D574" i="5"/>
  <c r="E574" i="5"/>
  <c r="D575" i="5"/>
  <c r="E575" i="5"/>
  <c r="D576" i="5"/>
  <c r="E576" i="5"/>
  <c r="D577" i="5"/>
  <c r="E577" i="5"/>
  <c r="D578" i="5"/>
  <c r="E578" i="5"/>
  <c r="D579" i="5"/>
  <c r="E579" i="5"/>
  <c r="D580" i="5"/>
  <c r="E580" i="5"/>
  <c r="D581" i="5"/>
  <c r="E581" i="5"/>
  <c r="D582" i="5"/>
  <c r="E582" i="5"/>
  <c r="D583" i="5"/>
  <c r="E583" i="5"/>
  <c r="D584" i="5"/>
  <c r="E584" i="5"/>
  <c r="D585" i="5"/>
  <c r="E585" i="5"/>
  <c r="D586" i="5"/>
  <c r="E586" i="5"/>
  <c r="D587" i="5"/>
  <c r="E587" i="5"/>
  <c r="D588" i="5"/>
  <c r="E588" i="5"/>
  <c r="D589" i="5"/>
  <c r="E589" i="5"/>
  <c r="D590" i="5"/>
  <c r="E590" i="5"/>
  <c r="D591" i="5"/>
  <c r="E591" i="5"/>
  <c r="D592" i="5"/>
  <c r="E592" i="5"/>
  <c r="D593" i="5"/>
  <c r="E593" i="5"/>
  <c r="D594" i="5"/>
  <c r="E594" i="5"/>
  <c r="D595" i="5"/>
  <c r="E595" i="5"/>
  <c r="D596" i="5"/>
  <c r="E596" i="5"/>
  <c r="D597" i="5"/>
  <c r="E597" i="5"/>
  <c r="D598" i="5"/>
  <c r="E598" i="5"/>
  <c r="D599" i="5"/>
  <c r="E599" i="5"/>
  <c r="D600" i="5"/>
  <c r="E600" i="5"/>
  <c r="D601" i="5"/>
  <c r="E601" i="5"/>
  <c r="D602" i="5"/>
  <c r="E602" i="5"/>
  <c r="D603" i="5"/>
  <c r="E603" i="5"/>
  <c r="D604" i="5"/>
  <c r="E604" i="5"/>
  <c r="D605" i="5"/>
  <c r="E605" i="5"/>
  <c r="D606" i="5"/>
  <c r="E606" i="5"/>
  <c r="D607" i="5"/>
  <c r="E607" i="5"/>
  <c r="D608" i="5"/>
  <c r="E608" i="5"/>
  <c r="D609" i="5"/>
  <c r="E609" i="5"/>
  <c r="D610" i="5"/>
  <c r="E610" i="5"/>
  <c r="D611" i="5"/>
  <c r="E611" i="5"/>
  <c r="D612" i="5"/>
  <c r="E612" i="5"/>
  <c r="D613" i="5"/>
  <c r="E613" i="5"/>
  <c r="D614" i="5"/>
  <c r="E614" i="5"/>
  <c r="D615" i="5"/>
  <c r="E615" i="5"/>
  <c r="D616" i="5"/>
  <c r="E616" i="5"/>
  <c r="D617" i="5"/>
  <c r="E617" i="5"/>
  <c r="D618" i="5"/>
  <c r="E618" i="5"/>
  <c r="D619" i="5"/>
  <c r="E619" i="5"/>
  <c r="D620" i="5"/>
  <c r="E620" i="5"/>
  <c r="D621" i="5"/>
  <c r="E621" i="5"/>
  <c r="D622" i="5"/>
  <c r="E622" i="5"/>
  <c r="D623" i="5"/>
  <c r="E623" i="5"/>
  <c r="D624" i="5"/>
  <c r="E624" i="5"/>
  <c r="D625" i="5"/>
  <c r="E625" i="5"/>
  <c r="D626" i="5"/>
  <c r="E626" i="5"/>
  <c r="D627" i="5"/>
  <c r="E627" i="5"/>
  <c r="D628" i="5"/>
  <c r="E628" i="5"/>
  <c r="D629" i="5"/>
  <c r="E629" i="5"/>
  <c r="D630" i="5"/>
  <c r="E630" i="5"/>
  <c r="D631" i="5"/>
  <c r="E631" i="5"/>
  <c r="D632" i="5"/>
  <c r="E632" i="5"/>
  <c r="D633" i="5"/>
  <c r="E633" i="5"/>
  <c r="D634" i="5"/>
  <c r="E634" i="5"/>
  <c r="D635" i="5"/>
  <c r="E635" i="5"/>
  <c r="D636" i="5"/>
  <c r="E636" i="5"/>
  <c r="D637" i="5"/>
  <c r="E637" i="5"/>
  <c r="D638" i="5"/>
  <c r="E638" i="5"/>
  <c r="D639" i="5"/>
  <c r="E639" i="5"/>
  <c r="D640" i="5"/>
  <c r="E640" i="5"/>
  <c r="D641" i="5"/>
  <c r="E641" i="5"/>
  <c r="D642" i="5"/>
  <c r="E642" i="5"/>
  <c r="D643" i="5"/>
  <c r="E643" i="5"/>
  <c r="D644" i="5"/>
  <c r="E644" i="5"/>
  <c r="D645" i="5"/>
  <c r="E645" i="5"/>
  <c r="D646" i="5"/>
  <c r="E646" i="5"/>
  <c r="D647" i="5"/>
  <c r="E647" i="5"/>
  <c r="D648" i="5"/>
  <c r="E648" i="5"/>
  <c r="D649" i="5"/>
  <c r="E649" i="5"/>
  <c r="D650" i="5"/>
  <c r="E650" i="5"/>
  <c r="D651" i="5"/>
  <c r="E651" i="5"/>
  <c r="D652" i="5"/>
  <c r="E652" i="5"/>
  <c r="D653" i="5"/>
  <c r="E653" i="5"/>
  <c r="D654" i="5"/>
  <c r="E654" i="5"/>
  <c r="D655" i="5"/>
  <c r="E655" i="5"/>
  <c r="D656" i="5"/>
  <c r="E656" i="5"/>
  <c r="D657" i="5"/>
  <c r="E657" i="5"/>
  <c r="D658" i="5"/>
  <c r="E658" i="5"/>
  <c r="D659" i="5"/>
  <c r="E659" i="5"/>
  <c r="D660" i="5"/>
  <c r="E660" i="5"/>
  <c r="D661" i="5"/>
  <c r="E661" i="5"/>
  <c r="D662" i="5"/>
  <c r="E662" i="5"/>
  <c r="D663" i="5"/>
  <c r="E663" i="5"/>
  <c r="D664" i="5"/>
  <c r="E664" i="5"/>
  <c r="D665" i="5"/>
  <c r="E665" i="5"/>
  <c r="D666" i="5"/>
  <c r="E666" i="5"/>
  <c r="D667" i="5"/>
  <c r="E667" i="5"/>
  <c r="D668" i="5"/>
  <c r="E668" i="5"/>
  <c r="D669" i="5"/>
  <c r="E669" i="5"/>
  <c r="D670" i="5"/>
  <c r="E670" i="5"/>
  <c r="D671" i="5"/>
  <c r="E671" i="5"/>
  <c r="D672" i="5"/>
  <c r="E672" i="5"/>
  <c r="D673" i="5"/>
  <c r="E673" i="5"/>
  <c r="D674" i="5"/>
  <c r="E674" i="5"/>
  <c r="D675" i="5"/>
  <c r="E675" i="5"/>
  <c r="D676" i="5"/>
  <c r="E676" i="5"/>
  <c r="D677" i="5"/>
  <c r="E677" i="5"/>
  <c r="D678" i="5"/>
  <c r="E678" i="5"/>
  <c r="D679" i="5"/>
  <c r="E679" i="5"/>
  <c r="D680" i="5"/>
  <c r="E680" i="5"/>
  <c r="D681" i="5"/>
  <c r="E681" i="5"/>
  <c r="D682" i="5"/>
  <c r="E682" i="5"/>
  <c r="D683" i="5"/>
  <c r="E683" i="5"/>
  <c r="D684" i="5"/>
  <c r="E684" i="5"/>
  <c r="D685" i="5"/>
  <c r="E685" i="5"/>
  <c r="D686" i="5"/>
  <c r="E686" i="5"/>
  <c r="D687" i="5"/>
  <c r="E687" i="5"/>
  <c r="D688" i="5"/>
  <c r="E688" i="5"/>
  <c r="D689" i="5"/>
  <c r="E689" i="5"/>
  <c r="D690" i="5"/>
  <c r="E690" i="5"/>
  <c r="D691" i="5"/>
  <c r="E691" i="5"/>
  <c r="D692" i="5"/>
  <c r="E692" i="5"/>
  <c r="D693" i="5"/>
  <c r="E693" i="5"/>
  <c r="D694" i="5"/>
  <c r="E694" i="5"/>
  <c r="D695" i="5"/>
  <c r="E695" i="5"/>
  <c r="D696" i="5"/>
  <c r="E696" i="5"/>
  <c r="D697" i="5"/>
  <c r="E697" i="5"/>
  <c r="D698" i="5"/>
  <c r="E698" i="5"/>
  <c r="D699" i="5"/>
  <c r="E699" i="5"/>
  <c r="D700" i="5"/>
  <c r="E700" i="5"/>
  <c r="D701" i="5"/>
  <c r="E701" i="5"/>
  <c r="D702" i="5"/>
  <c r="E702" i="5"/>
  <c r="D703" i="5"/>
  <c r="E703" i="5"/>
  <c r="D704" i="5"/>
  <c r="E704" i="5"/>
  <c r="D705" i="5"/>
  <c r="E705" i="5"/>
  <c r="D706" i="5"/>
  <c r="E706" i="5"/>
  <c r="D707" i="5"/>
  <c r="E707" i="5"/>
  <c r="D708" i="5"/>
  <c r="E708" i="5"/>
  <c r="D709" i="5"/>
  <c r="E709" i="5"/>
  <c r="D710" i="5"/>
  <c r="E710" i="5"/>
  <c r="D711" i="5"/>
  <c r="E711" i="5"/>
  <c r="D712" i="5"/>
  <c r="E712" i="5"/>
  <c r="D713" i="5"/>
  <c r="E713" i="5"/>
  <c r="D714" i="5"/>
  <c r="E714" i="5"/>
  <c r="D715" i="5"/>
  <c r="E715" i="5"/>
  <c r="D716" i="5"/>
  <c r="E716" i="5"/>
  <c r="D717" i="5"/>
  <c r="E717" i="5"/>
  <c r="D718" i="5"/>
  <c r="E718" i="5"/>
  <c r="D719" i="5"/>
  <c r="E719" i="5"/>
  <c r="D720" i="5"/>
  <c r="E720" i="5"/>
  <c r="D721" i="5"/>
  <c r="E721" i="5"/>
  <c r="D722" i="5"/>
  <c r="E722" i="5"/>
  <c r="D723" i="5"/>
  <c r="E723" i="5"/>
  <c r="D724" i="5"/>
  <c r="E724" i="5"/>
  <c r="D725" i="5"/>
  <c r="E725" i="5"/>
  <c r="D726" i="5"/>
  <c r="E726" i="5"/>
  <c r="D727" i="5"/>
  <c r="E727" i="5"/>
  <c r="D728" i="5"/>
  <c r="E728" i="5"/>
  <c r="D729" i="5"/>
  <c r="E729" i="5"/>
  <c r="D730" i="5"/>
  <c r="E730" i="5"/>
  <c r="D731" i="5"/>
  <c r="E731" i="5"/>
  <c r="D732" i="5"/>
  <c r="E732" i="5"/>
  <c r="D733" i="5"/>
  <c r="E733" i="5"/>
  <c r="D734" i="5"/>
  <c r="E734" i="5"/>
  <c r="D735" i="5"/>
  <c r="E735" i="5"/>
  <c r="D736" i="5"/>
  <c r="E736" i="5"/>
  <c r="D737" i="5"/>
  <c r="E737" i="5"/>
  <c r="D738" i="5"/>
  <c r="E738" i="5"/>
  <c r="D739" i="5"/>
  <c r="E739" i="5"/>
  <c r="D740" i="5"/>
  <c r="E740" i="5"/>
  <c r="D741" i="5"/>
  <c r="E741" i="5"/>
  <c r="D742" i="5"/>
  <c r="E742" i="5"/>
  <c r="D743" i="5"/>
  <c r="E743" i="5"/>
  <c r="D744" i="5"/>
  <c r="E744" i="5"/>
  <c r="D745" i="5"/>
  <c r="E745" i="5"/>
  <c r="D746" i="5"/>
  <c r="E746" i="5"/>
  <c r="D747" i="5"/>
  <c r="E747" i="5"/>
  <c r="D748" i="5"/>
  <c r="E748" i="5"/>
  <c r="D749" i="5"/>
  <c r="E749" i="5"/>
  <c r="D750" i="5"/>
  <c r="E750" i="5"/>
  <c r="D751" i="5"/>
  <c r="E751" i="5"/>
  <c r="D752" i="5"/>
  <c r="E752" i="5"/>
  <c r="D753" i="5"/>
  <c r="E753" i="5"/>
  <c r="D754" i="5"/>
  <c r="E754" i="5"/>
  <c r="D755" i="5"/>
  <c r="E755" i="5"/>
  <c r="D756" i="5"/>
  <c r="E756" i="5"/>
  <c r="D757" i="5"/>
  <c r="E757" i="5"/>
  <c r="D758" i="5"/>
  <c r="E758" i="5"/>
  <c r="D759" i="5"/>
  <c r="E759" i="5"/>
  <c r="D760" i="5"/>
  <c r="E760" i="5"/>
  <c r="D761" i="5"/>
  <c r="E761" i="5"/>
  <c r="D762" i="5"/>
  <c r="E762" i="5"/>
  <c r="D763" i="5"/>
  <c r="E763" i="5"/>
  <c r="D764" i="5"/>
  <c r="E764" i="5"/>
  <c r="D765" i="5"/>
  <c r="E765" i="5"/>
  <c r="D766" i="5"/>
  <c r="E766" i="5"/>
  <c r="D767" i="5"/>
  <c r="E767" i="5"/>
  <c r="D768" i="5"/>
  <c r="E768" i="5"/>
  <c r="D769" i="5"/>
  <c r="E769" i="5"/>
  <c r="D770" i="5"/>
  <c r="E770" i="5"/>
  <c r="D771" i="5"/>
  <c r="E771" i="5"/>
  <c r="D772" i="5"/>
  <c r="E772" i="5"/>
  <c r="D773" i="5"/>
  <c r="E773" i="5"/>
  <c r="D774" i="5"/>
  <c r="E774" i="5"/>
  <c r="D775" i="5"/>
  <c r="E775" i="5"/>
  <c r="D776" i="5"/>
  <c r="E776" i="5"/>
  <c r="D777" i="5"/>
  <c r="E777" i="5"/>
  <c r="D778" i="5"/>
  <c r="E778" i="5"/>
  <c r="D779" i="5"/>
  <c r="E779" i="5"/>
  <c r="D780" i="5"/>
  <c r="E780" i="5"/>
  <c r="D781" i="5"/>
  <c r="E781" i="5"/>
  <c r="D782" i="5"/>
  <c r="E782" i="5"/>
  <c r="D783" i="5"/>
  <c r="E783" i="5"/>
  <c r="D784" i="5"/>
  <c r="E784" i="5"/>
  <c r="D785" i="5"/>
  <c r="E785" i="5"/>
  <c r="D786" i="5"/>
  <c r="E786" i="5"/>
  <c r="D787" i="5"/>
  <c r="E787" i="5"/>
  <c r="D788" i="5"/>
  <c r="E788" i="5"/>
  <c r="D789" i="5"/>
  <c r="E789" i="5"/>
  <c r="D790" i="5"/>
  <c r="E790" i="5"/>
  <c r="D791" i="5"/>
  <c r="E791" i="5"/>
  <c r="D792" i="5"/>
  <c r="E792" i="5"/>
  <c r="D793" i="5"/>
  <c r="E793" i="5"/>
  <c r="D794" i="5"/>
  <c r="E794" i="5"/>
  <c r="D795" i="5"/>
  <c r="E795" i="5"/>
  <c r="D796" i="5"/>
  <c r="E796" i="5"/>
  <c r="D797" i="5"/>
  <c r="E797" i="5"/>
  <c r="D798" i="5"/>
  <c r="E798" i="5"/>
  <c r="D799" i="5"/>
  <c r="E799" i="5"/>
  <c r="D800" i="5"/>
  <c r="E800" i="5"/>
  <c r="D801" i="5"/>
  <c r="E801" i="5"/>
  <c r="D802" i="5"/>
  <c r="E802" i="5"/>
  <c r="D803" i="5"/>
  <c r="E803" i="5"/>
  <c r="D804" i="5"/>
  <c r="E804" i="5"/>
  <c r="D805" i="5"/>
  <c r="E805" i="5"/>
  <c r="D806" i="5"/>
  <c r="E806" i="5"/>
  <c r="D807" i="5"/>
  <c r="E807" i="5"/>
  <c r="D808" i="5"/>
  <c r="E808" i="5"/>
  <c r="D809" i="5"/>
  <c r="E809" i="5"/>
  <c r="D810" i="5"/>
  <c r="E810" i="5"/>
  <c r="D811" i="5"/>
  <c r="E811" i="5"/>
  <c r="D812" i="5"/>
  <c r="E812" i="5"/>
  <c r="D813" i="5"/>
  <c r="E813" i="5"/>
  <c r="D814" i="5"/>
  <c r="E814" i="5"/>
  <c r="D815" i="5"/>
  <c r="E815" i="5"/>
  <c r="D816" i="5"/>
  <c r="E816" i="5"/>
  <c r="D817" i="5"/>
  <c r="E817" i="5"/>
  <c r="D818" i="5"/>
  <c r="E818" i="5"/>
  <c r="D819" i="5"/>
  <c r="E819" i="5"/>
  <c r="D820" i="5"/>
  <c r="E820" i="5"/>
  <c r="D821" i="5"/>
  <c r="E821" i="5"/>
  <c r="D822" i="5"/>
  <c r="E822" i="5"/>
  <c r="D823" i="5"/>
  <c r="E823" i="5"/>
  <c r="D824" i="5"/>
  <c r="E824" i="5"/>
  <c r="D825" i="5"/>
  <c r="E825" i="5"/>
  <c r="D826" i="5"/>
  <c r="E826" i="5"/>
  <c r="D827" i="5"/>
  <c r="E827" i="5"/>
  <c r="D828" i="5"/>
  <c r="E828" i="5"/>
  <c r="D829" i="5"/>
  <c r="E829" i="5"/>
  <c r="D830" i="5"/>
  <c r="E830" i="5"/>
  <c r="D831" i="5"/>
  <c r="E831" i="5"/>
  <c r="D832" i="5"/>
  <c r="E832" i="5"/>
  <c r="D833" i="5"/>
  <c r="E833" i="5"/>
  <c r="D834" i="5"/>
  <c r="E834" i="5"/>
  <c r="D835" i="5"/>
  <c r="E835" i="5"/>
  <c r="D836" i="5"/>
  <c r="E836" i="5"/>
  <c r="D837" i="5"/>
  <c r="E837" i="5"/>
  <c r="D838" i="5"/>
  <c r="E838" i="5"/>
  <c r="D839" i="5"/>
  <c r="E839" i="5"/>
  <c r="D840" i="5"/>
  <c r="E840" i="5"/>
  <c r="D841" i="5"/>
  <c r="E841" i="5"/>
  <c r="D842" i="5"/>
  <c r="E842" i="5"/>
  <c r="D843" i="5"/>
  <c r="E843" i="5"/>
  <c r="D844" i="5"/>
  <c r="E844" i="5"/>
  <c r="D845" i="5"/>
  <c r="E845" i="5"/>
  <c r="D846" i="5"/>
  <c r="E846" i="5"/>
  <c r="D847" i="5"/>
  <c r="E847" i="5"/>
  <c r="D848" i="5"/>
  <c r="E848" i="5"/>
  <c r="D849" i="5"/>
  <c r="E849" i="5"/>
  <c r="D850" i="5"/>
  <c r="E850" i="5"/>
  <c r="D851" i="5"/>
  <c r="E851" i="5"/>
  <c r="D852" i="5"/>
  <c r="E852" i="5"/>
  <c r="D853" i="5"/>
  <c r="E853" i="5"/>
  <c r="D854" i="5"/>
  <c r="E854" i="5"/>
  <c r="D855" i="5"/>
  <c r="E855" i="5"/>
  <c r="D856" i="5"/>
  <c r="E856" i="5"/>
  <c r="D857" i="5"/>
  <c r="E857" i="5"/>
  <c r="D858" i="5"/>
  <c r="E858" i="5"/>
  <c r="D859" i="5"/>
  <c r="E859" i="5"/>
  <c r="D860" i="5"/>
  <c r="E860" i="5"/>
  <c r="D861" i="5"/>
  <c r="E861" i="5"/>
  <c r="D862" i="5"/>
  <c r="E862" i="5"/>
  <c r="D863" i="5"/>
  <c r="E863" i="5"/>
  <c r="D864" i="5"/>
  <c r="E864" i="5"/>
  <c r="D865" i="5"/>
  <c r="E865" i="5"/>
  <c r="D866" i="5"/>
  <c r="E866" i="5"/>
  <c r="D867" i="5"/>
  <c r="E867" i="5"/>
  <c r="D868" i="5"/>
  <c r="E868" i="5"/>
  <c r="D869" i="5"/>
  <c r="E869" i="5"/>
  <c r="D870" i="5"/>
  <c r="E870" i="5"/>
  <c r="D871" i="5"/>
  <c r="E871" i="5"/>
  <c r="D872" i="5"/>
  <c r="E872" i="5"/>
  <c r="D873" i="5"/>
  <c r="E873" i="5"/>
  <c r="D874" i="5"/>
  <c r="E874" i="5"/>
  <c r="D875" i="5"/>
  <c r="E875" i="5"/>
  <c r="D876" i="5"/>
  <c r="E876" i="5"/>
  <c r="D877" i="5"/>
  <c r="E877" i="5"/>
  <c r="D878" i="5"/>
  <c r="E878" i="5"/>
  <c r="D879" i="5"/>
  <c r="E879" i="5"/>
  <c r="D880" i="5"/>
  <c r="E880" i="5"/>
  <c r="D881" i="5"/>
  <c r="E881" i="5"/>
  <c r="D882" i="5"/>
  <c r="E882" i="5"/>
  <c r="D883" i="5"/>
  <c r="E883" i="5"/>
  <c r="D884" i="5"/>
  <c r="E884" i="5"/>
  <c r="D885" i="5"/>
  <c r="E885" i="5"/>
  <c r="D886" i="5"/>
  <c r="E886" i="5"/>
  <c r="D887" i="5"/>
  <c r="E887" i="5"/>
  <c r="D888" i="5"/>
  <c r="E888" i="5"/>
  <c r="D889" i="5"/>
  <c r="E889" i="5"/>
  <c r="D890" i="5"/>
  <c r="E890" i="5"/>
  <c r="D891" i="5"/>
  <c r="E891" i="5"/>
  <c r="D892" i="5"/>
  <c r="E892" i="5"/>
  <c r="D893" i="5"/>
  <c r="E893" i="5"/>
  <c r="D894" i="5"/>
  <c r="E894" i="5"/>
  <c r="D895" i="5"/>
  <c r="E895" i="5"/>
  <c r="D896" i="5"/>
  <c r="E896" i="5"/>
  <c r="D897" i="5"/>
  <c r="E897" i="5"/>
  <c r="D898" i="5"/>
  <c r="E898" i="5"/>
  <c r="D899" i="5"/>
  <c r="E899" i="5"/>
  <c r="D900" i="5"/>
  <c r="E900" i="5"/>
  <c r="D901" i="5"/>
  <c r="E901" i="5"/>
  <c r="D902" i="5"/>
  <c r="E902" i="5"/>
  <c r="D903" i="5"/>
  <c r="E903" i="5"/>
  <c r="D904" i="5"/>
  <c r="E904" i="5"/>
  <c r="D905" i="5"/>
  <c r="E905" i="5"/>
  <c r="D906" i="5"/>
  <c r="E906" i="5"/>
  <c r="D907" i="5"/>
  <c r="E907" i="5"/>
  <c r="D908" i="5"/>
  <c r="E908" i="5"/>
  <c r="D909" i="5"/>
  <c r="E909" i="5"/>
  <c r="D910" i="5"/>
  <c r="E910" i="5"/>
  <c r="D911" i="5"/>
  <c r="E911" i="5"/>
  <c r="D912" i="5"/>
  <c r="E912" i="5"/>
  <c r="D913" i="5"/>
  <c r="E913" i="5"/>
  <c r="D914" i="5"/>
  <c r="E914" i="5"/>
  <c r="D915" i="5"/>
  <c r="E915" i="5"/>
  <c r="D916" i="5"/>
  <c r="E916" i="5"/>
  <c r="D917" i="5"/>
  <c r="E917" i="5"/>
  <c r="D918" i="5"/>
  <c r="E918" i="5"/>
  <c r="D919" i="5"/>
  <c r="E919" i="5"/>
  <c r="D920" i="5"/>
  <c r="E920" i="5"/>
  <c r="D921" i="5"/>
  <c r="E921" i="5"/>
  <c r="D922" i="5"/>
  <c r="E922" i="5"/>
  <c r="D923" i="5"/>
  <c r="E923" i="5"/>
  <c r="D924" i="5"/>
  <c r="E924" i="5"/>
  <c r="D925" i="5"/>
  <c r="E925" i="5"/>
  <c r="D926" i="5"/>
  <c r="E926" i="5"/>
  <c r="D927" i="5"/>
  <c r="E927" i="5"/>
  <c r="D928" i="5"/>
  <c r="E928" i="5"/>
  <c r="D929" i="5"/>
  <c r="E929" i="5"/>
  <c r="D930" i="5"/>
  <c r="E930" i="5"/>
  <c r="D931" i="5"/>
  <c r="E931" i="5"/>
  <c r="D932" i="5"/>
  <c r="E932" i="5"/>
  <c r="D933" i="5"/>
  <c r="E933" i="5"/>
  <c r="D934" i="5"/>
  <c r="E934" i="5"/>
  <c r="D935" i="5"/>
  <c r="E935" i="5"/>
  <c r="D936" i="5"/>
  <c r="E936" i="5"/>
  <c r="D937" i="5"/>
  <c r="E937" i="5"/>
  <c r="D938" i="5"/>
  <c r="E938" i="5"/>
  <c r="D939" i="5"/>
  <c r="E939" i="5"/>
  <c r="D940" i="5"/>
  <c r="E940" i="5"/>
  <c r="D941" i="5"/>
  <c r="E941" i="5"/>
  <c r="D942" i="5"/>
  <c r="E942" i="5"/>
  <c r="D943" i="5"/>
  <c r="E943" i="5"/>
  <c r="D944" i="5"/>
  <c r="E944" i="5"/>
  <c r="D945" i="5"/>
  <c r="E945" i="5"/>
  <c r="D946" i="5"/>
  <c r="E946" i="5"/>
  <c r="D947" i="5"/>
  <c r="E947" i="5"/>
  <c r="D948" i="5"/>
  <c r="E948" i="5"/>
  <c r="D949" i="5"/>
  <c r="E949" i="5"/>
  <c r="D950" i="5"/>
  <c r="E950" i="5"/>
  <c r="D951" i="5"/>
  <c r="E951" i="5"/>
  <c r="D952" i="5"/>
  <c r="E952" i="5"/>
  <c r="D953" i="5"/>
  <c r="E953" i="5"/>
  <c r="D954" i="5"/>
  <c r="E954" i="5"/>
  <c r="D955" i="5"/>
  <c r="E955" i="5"/>
  <c r="D956" i="5"/>
  <c r="E956" i="5"/>
  <c r="D957" i="5"/>
  <c r="E957" i="5"/>
  <c r="D958" i="5"/>
  <c r="E958" i="5"/>
  <c r="D959" i="5"/>
  <c r="E959" i="5"/>
  <c r="D960" i="5"/>
  <c r="E960" i="5"/>
  <c r="D961" i="5"/>
  <c r="E961" i="5"/>
  <c r="D962" i="5"/>
  <c r="E962" i="5"/>
  <c r="D963" i="5"/>
  <c r="E963" i="5"/>
  <c r="D964" i="5"/>
  <c r="E964" i="5"/>
  <c r="D965" i="5"/>
  <c r="E965" i="5"/>
  <c r="D966" i="5"/>
  <c r="E966" i="5"/>
  <c r="D967" i="5"/>
  <c r="E967" i="5"/>
  <c r="D968" i="5"/>
  <c r="E968" i="5"/>
  <c r="D969" i="5"/>
  <c r="E969" i="5"/>
  <c r="D970" i="5"/>
  <c r="E970" i="5"/>
  <c r="D971" i="5"/>
  <c r="E971" i="5"/>
  <c r="D972" i="5"/>
  <c r="E972" i="5"/>
  <c r="D973" i="5"/>
  <c r="E973" i="5"/>
  <c r="D974" i="5"/>
  <c r="E974" i="5"/>
  <c r="D975" i="5"/>
  <c r="E975" i="5"/>
  <c r="D976" i="5"/>
  <c r="E976" i="5"/>
  <c r="D977" i="5"/>
  <c r="E977" i="5"/>
  <c r="D978" i="5"/>
  <c r="E978" i="5"/>
  <c r="D979" i="5"/>
  <c r="E979" i="5"/>
  <c r="D980" i="5"/>
  <c r="E980" i="5"/>
  <c r="D981" i="5"/>
  <c r="E981" i="5"/>
  <c r="D982" i="5"/>
  <c r="E982" i="5"/>
  <c r="D983" i="5"/>
  <c r="E983" i="5"/>
  <c r="D984" i="5"/>
  <c r="E984" i="5"/>
  <c r="D985" i="5"/>
  <c r="E985" i="5"/>
  <c r="D986" i="5"/>
  <c r="E986" i="5"/>
  <c r="D987" i="5"/>
  <c r="E987" i="5"/>
  <c r="D988" i="5"/>
  <c r="E988" i="5"/>
  <c r="D989" i="5"/>
  <c r="E989" i="5"/>
  <c r="D990" i="5"/>
  <c r="E990" i="5"/>
  <c r="D991" i="5"/>
  <c r="E991" i="5"/>
  <c r="D992" i="5"/>
  <c r="E992" i="5"/>
  <c r="D993" i="5"/>
  <c r="E993" i="5"/>
  <c r="D994" i="5"/>
  <c r="E994" i="5"/>
  <c r="D995" i="5"/>
  <c r="E995" i="5"/>
  <c r="D996" i="5"/>
  <c r="E996" i="5"/>
  <c r="D997" i="5"/>
  <c r="E997" i="5"/>
  <c r="D998" i="5"/>
  <c r="E998" i="5"/>
  <c r="D999" i="5"/>
  <c r="E999" i="5"/>
  <c r="D1000" i="5"/>
  <c r="E1000" i="5"/>
  <c r="D1001" i="5"/>
  <c r="E1001" i="5"/>
  <c r="D1002" i="5"/>
  <c r="E1002" i="5"/>
  <c r="D1003" i="5"/>
  <c r="E1003" i="5"/>
  <c r="D1004" i="5"/>
  <c r="E1004" i="5"/>
  <c r="D1005" i="5"/>
  <c r="E1005" i="5"/>
  <c r="D1006" i="5"/>
  <c r="E1006" i="5"/>
  <c r="D1007" i="5"/>
  <c r="E1007" i="5"/>
  <c r="D1008" i="5"/>
  <c r="E1008" i="5"/>
  <c r="D1009" i="5"/>
  <c r="E1009" i="5"/>
  <c r="D1010" i="5"/>
  <c r="E1010" i="5"/>
  <c r="D1011" i="5"/>
  <c r="E1011" i="5"/>
  <c r="D1012" i="5"/>
  <c r="E1012" i="5"/>
  <c r="D1013" i="5"/>
  <c r="E1013" i="5"/>
  <c r="D1014" i="5"/>
  <c r="E1014" i="5"/>
  <c r="D1015" i="5"/>
  <c r="E1015" i="5"/>
  <c r="D1016" i="5"/>
  <c r="E1016" i="5"/>
  <c r="D1017" i="5"/>
  <c r="E1017" i="5"/>
  <c r="D1018" i="5"/>
  <c r="E1018" i="5"/>
  <c r="D1019" i="5"/>
  <c r="E1019" i="5"/>
  <c r="D1020" i="5"/>
  <c r="E1020" i="5"/>
  <c r="D1021" i="5"/>
  <c r="E1021" i="5"/>
  <c r="D1022" i="5"/>
  <c r="E1022" i="5"/>
  <c r="D1023" i="5"/>
  <c r="E1023" i="5"/>
  <c r="D1024" i="5"/>
  <c r="E1024" i="5"/>
  <c r="D1025" i="5"/>
  <c r="E1025" i="5"/>
  <c r="D1026" i="5"/>
  <c r="E1026" i="5"/>
  <c r="D1027" i="5"/>
  <c r="E1027" i="5"/>
  <c r="D1028" i="5"/>
  <c r="E1028" i="5"/>
  <c r="D1029" i="5"/>
  <c r="E1029" i="5"/>
  <c r="D1030" i="5"/>
  <c r="E1030" i="5"/>
  <c r="D1031" i="5"/>
  <c r="E1031" i="5"/>
  <c r="D1032" i="5"/>
  <c r="E1032" i="5"/>
  <c r="D1033" i="5"/>
  <c r="E1033" i="5"/>
  <c r="D1034" i="5"/>
  <c r="E1034" i="5"/>
  <c r="D1035" i="5"/>
  <c r="E1035" i="5"/>
  <c r="D1036" i="5"/>
  <c r="E1036" i="5"/>
  <c r="D1037" i="5"/>
  <c r="E1037" i="5"/>
  <c r="D1038" i="5"/>
  <c r="E1038" i="5"/>
  <c r="D1039" i="5"/>
  <c r="E1039" i="5"/>
  <c r="D1040" i="5"/>
  <c r="E1040" i="5"/>
  <c r="D1041" i="5"/>
  <c r="E1041" i="5"/>
  <c r="D1042" i="5"/>
  <c r="E1042" i="5"/>
  <c r="D1043" i="5"/>
  <c r="E1043" i="5"/>
  <c r="D1044" i="5"/>
  <c r="E1044" i="5"/>
  <c r="D1045" i="5"/>
  <c r="E1045" i="5"/>
  <c r="D1046" i="5"/>
  <c r="E1046" i="5"/>
  <c r="D1047" i="5"/>
  <c r="E1047" i="5"/>
  <c r="D1048" i="5"/>
  <c r="E1048" i="5"/>
  <c r="D1049" i="5"/>
  <c r="E1049" i="5"/>
  <c r="D1050" i="5"/>
  <c r="E1050" i="5"/>
  <c r="D1051" i="5"/>
  <c r="E1051" i="5"/>
  <c r="D1052" i="5"/>
  <c r="E1052" i="5"/>
  <c r="D1053" i="5"/>
  <c r="E1053" i="5"/>
  <c r="D1054" i="5"/>
  <c r="E1054" i="5"/>
  <c r="D1055" i="5"/>
  <c r="E1055" i="5"/>
  <c r="D1056" i="5"/>
  <c r="E1056" i="5"/>
  <c r="D1057" i="5"/>
  <c r="E1057" i="5"/>
  <c r="D1058" i="5"/>
  <c r="E1058" i="5"/>
  <c r="D1059" i="5"/>
  <c r="E1059" i="5"/>
  <c r="D1060" i="5"/>
  <c r="E1060" i="5"/>
  <c r="D1061" i="5"/>
  <c r="E1061" i="5"/>
  <c r="D1062" i="5"/>
  <c r="E1062" i="5"/>
  <c r="D1063" i="5"/>
  <c r="E1063" i="5"/>
  <c r="D1064" i="5"/>
  <c r="E1064" i="5"/>
  <c r="D1065" i="5"/>
  <c r="E1065" i="5"/>
  <c r="D1066" i="5"/>
  <c r="E1066" i="5"/>
  <c r="D1067" i="5"/>
  <c r="E1067" i="5"/>
  <c r="D1068" i="5"/>
  <c r="E1068" i="5"/>
  <c r="D1069" i="5"/>
  <c r="E1069" i="5"/>
  <c r="D1070" i="5"/>
  <c r="E1070" i="5"/>
  <c r="D1071" i="5"/>
  <c r="E1071" i="5"/>
  <c r="D1072" i="5"/>
  <c r="E1072" i="5"/>
  <c r="D1073" i="5"/>
  <c r="E1073" i="5"/>
  <c r="D1074" i="5"/>
  <c r="E1074" i="5"/>
  <c r="D1075" i="5"/>
  <c r="E1075" i="5"/>
  <c r="D1076" i="5"/>
  <c r="E1076" i="5"/>
  <c r="D1077" i="5"/>
  <c r="E1077" i="5"/>
  <c r="D1078" i="5"/>
  <c r="E1078" i="5"/>
  <c r="D1079" i="5"/>
  <c r="E1079" i="5"/>
  <c r="D1080" i="5"/>
  <c r="E1080" i="5"/>
  <c r="D1081" i="5"/>
  <c r="E1081" i="5"/>
  <c r="D1082" i="5"/>
  <c r="E1082" i="5"/>
  <c r="D1083" i="5"/>
  <c r="E1083" i="5"/>
  <c r="D1084" i="5"/>
  <c r="E1084" i="5"/>
  <c r="D1085" i="5"/>
  <c r="E1085" i="5"/>
  <c r="D1086" i="5"/>
  <c r="E1086" i="5"/>
  <c r="D1087" i="5"/>
  <c r="E1087" i="5"/>
  <c r="D1088" i="5"/>
  <c r="E1088" i="5"/>
  <c r="D1089" i="5"/>
  <c r="E1089" i="5"/>
  <c r="D1090" i="5"/>
  <c r="E1090" i="5"/>
  <c r="D3" i="5"/>
  <c r="E3" i="5"/>
  <c r="D4" i="5"/>
  <c r="E4" i="5"/>
  <c r="D5" i="5"/>
  <c r="E5" i="5"/>
  <c r="D6" i="5"/>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2" i="5"/>
  <c r="E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tc={8408004C-9CF4-44D8-B0E7-0AAD154DA0B7}</author>
    <author>tc={D550D304-9CD5-4193-BCE9-3DCD82FFC222}</author>
    <author>tc={3F47DAF3-D864-41BA-8B70-1FD24349472C}</author>
  </authors>
  <commentList>
    <comment ref="B29" authorId="0" shapeId="0" xr:uid="{8408004C-9CF4-44D8-B0E7-0AAD154DA0B7}">
      <text>
        <t>[Threaded comment]
Your version of Excel allows you to read this threaded comment; however, any edits to it will get removed if the file is opened in a newer version of Excel. Learn more: https://go.microsoft.com/fwlink/?linkid=870924
Comment:
    Not in this version of c2m
Reply:
    This is introduced in SP1.</t>
      </text>
    </comment>
    <comment ref="B48" authorId="1" shapeId="0" xr:uid="{D550D304-9CD5-4193-BCE9-3DCD82FFC222}">
      <text>
        <t>[Threaded comment]
Your version of Excel allows you to read this threaded comment; however, any edits to it will get removed if the file is opened in a newer version of Excel. Learn more: https://go.microsoft.com/fwlink/?linkid=870924
Comment:
    How do I expose these data area elemetns?  I thought we would not create a BODA View for this.  Your comments indicate “no mapping” but should these data still need to be displayed at the very least?</t>
      </text>
    </comment>
    <comment ref="B122" authorId="2" shapeId="0" xr:uid="{3F47DAF3-D864-41BA-8B70-1FD24349472C}">
      <text>
        <t>[Threaded comment]
Your version of Excel allows you to read this threaded comment; however, any edits to it will get removed if the file is opened in a newer version of Excel. Learn more: https://go.microsoft.com/fwlink/?linkid=870924
Comment:
    Not yet in this version of c2m
Reply:
    This is introduced in SP1.</t>
      </text>
    </comment>
  </commentList>
</comments>
</file>

<file path=xl/sharedStrings.xml><?xml version="1.0" encoding="utf-8"?>
<sst xmlns="http://schemas.openxmlformats.org/spreadsheetml/2006/main" count="20194" uniqueCount="3189">
  <si>
    <t>TBL_NAME</t>
  </si>
  <si>
    <t>TBL_DESCR</t>
  </si>
  <si>
    <t>TBL_VOLUME</t>
  </si>
  <si>
    <t xml:space="preserve">C1_BI_FTGL_MONTHLY_A          </t>
  </si>
  <si>
    <t>Financial Transaction GL Monthly Aggregate</t>
  </si>
  <si>
    <t>Medium Volume</t>
  </si>
  <si>
    <t xml:space="preserve">C1_BI_FT_MONTHLY_A            </t>
  </si>
  <si>
    <t>Financial Transaction Monthly Aggregate</t>
  </si>
  <si>
    <t xml:space="preserve">C1_BI_SA_SNAPSHOT             </t>
  </si>
  <si>
    <t>SA Arrears Snapshot</t>
  </si>
  <si>
    <t xml:space="preserve">C1_CONT                       </t>
  </si>
  <si>
    <t>Consumer Contract</t>
  </si>
  <si>
    <t xml:space="preserve">C1_CS_REQ                     </t>
  </si>
  <si>
    <t>Customer Service Request</t>
  </si>
  <si>
    <t xml:space="preserve">C1_CS_REQ_ACCT                </t>
  </si>
  <si>
    <t>Customer Service Request Account</t>
  </si>
  <si>
    <t xml:space="preserve">C1_CS_REQ_CONT                </t>
  </si>
  <si>
    <t>Customer Service Request Consumer Contract</t>
  </si>
  <si>
    <t xml:space="preserve">C1_CS_REQ_CONT_PROD           </t>
  </si>
  <si>
    <t>Customer Service Request Contract Product</t>
  </si>
  <si>
    <t xml:space="preserve">C1_CS_REQ_PER                 </t>
  </si>
  <si>
    <t>Customer Service Request Person</t>
  </si>
  <si>
    <t xml:space="preserve">C1_CS_REQ_PREM                </t>
  </si>
  <si>
    <t>Customer Service Request Premise</t>
  </si>
  <si>
    <t xml:space="preserve">C1_CS_REQ_SA                  </t>
  </si>
  <si>
    <t>Customer Service Request SA</t>
  </si>
  <si>
    <t xml:space="preserve">C1_CS_REQ_SVC_LOC             </t>
  </si>
  <si>
    <t>Customer Service Request Service Location</t>
  </si>
  <si>
    <t xml:space="preserve">C1_CUST_REL_REQ               </t>
  </si>
  <si>
    <t>Customer Relationship Request</t>
  </si>
  <si>
    <t xml:space="preserve">C1_LEAD                       </t>
  </si>
  <si>
    <t>Lead</t>
  </si>
  <si>
    <t xml:space="preserve">C1_LEAD_EVT                   </t>
  </si>
  <si>
    <t>Lead Event</t>
  </si>
  <si>
    <t xml:space="preserve">C1_MKTMSG_CHG                 </t>
  </si>
  <si>
    <t>Market Charge</t>
  </si>
  <si>
    <t xml:space="preserve">C1_MKTMSG_PAY                 </t>
  </si>
  <si>
    <t>Market Payment</t>
  </si>
  <si>
    <t xml:space="preserve">C1_MKTMSG_USG                 </t>
  </si>
  <si>
    <t>Market Usage</t>
  </si>
  <si>
    <t xml:space="preserve">C1_MKT_RP                     </t>
  </si>
  <si>
    <t>Registration Point</t>
  </si>
  <si>
    <t xml:space="preserve">C1_NTF_PREF                   </t>
  </si>
  <si>
    <t>Communication Preference</t>
  </si>
  <si>
    <t xml:space="preserve">C1_OFFCYC_BGEN                </t>
  </si>
  <si>
    <t>Off Cycle Bill Generator</t>
  </si>
  <si>
    <t xml:space="preserve">C1_PA_RQST                    </t>
  </si>
  <si>
    <t>Payment Arrangement Request</t>
  </si>
  <si>
    <t xml:space="preserve">C1_RESPONSE                   </t>
  </si>
  <si>
    <t>Response</t>
  </si>
  <si>
    <t xml:space="preserve">C1_USAGE                      </t>
  </si>
  <si>
    <t>Usage</t>
  </si>
  <si>
    <t xml:space="preserve">C1_WEB_USER                   </t>
  </si>
  <si>
    <t>Web User</t>
  </si>
  <si>
    <t xml:space="preserve">C1_WEB_USER_ACCT              </t>
  </si>
  <si>
    <t>Web User Account</t>
  </si>
  <si>
    <t xml:space="preserve">CI_ACCT                       </t>
  </si>
  <si>
    <t>Account</t>
  </si>
  <si>
    <t xml:space="preserve">CI_ADJ                        </t>
  </si>
  <si>
    <t>Adjustment</t>
  </si>
  <si>
    <t xml:space="preserve">CI_ADJ_STG_CTL                </t>
  </si>
  <si>
    <t>Adjustment Staging Control</t>
  </si>
  <si>
    <t xml:space="preserve">CI_ADJ_STG_UP                 </t>
  </si>
  <si>
    <t>Adjustment Upload</t>
  </si>
  <si>
    <t xml:space="preserve">CI_AM_REQ                     </t>
  </si>
  <si>
    <t>Activity Request</t>
  </si>
  <si>
    <t xml:space="preserve">CI_APPR_REQ                   </t>
  </si>
  <si>
    <t>Approval Request</t>
  </si>
  <si>
    <t xml:space="preserve">CI_AUDIT                      </t>
  </si>
  <si>
    <t>Audit</t>
  </si>
  <si>
    <t xml:space="preserve">CI_BAL_CTL_GRP                </t>
  </si>
  <si>
    <t>Balance Control Group</t>
  </si>
  <si>
    <t xml:space="preserve">CI_BATCH_JOB                  </t>
  </si>
  <si>
    <t>Batch Job Ad-Hoc Queues</t>
  </si>
  <si>
    <t xml:space="preserve">CI_BATCH_RUN                  </t>
  </si>
  <si>
    <t>Batch Run</t>
  </si>
  <si>
    <t xml:space="preserve">CI_BCHG_UP                    </t>
  </si>
  <si>
    <t>Billable Charge Upload</t>
  </si>
  <si>
    <t xml:space="preserve">CI_BILL                       </t>
  </si>
  <si>
    <t>Bill Header</t>
  </si>
  <si>
    <t xml:space="preserve">CI_BILL_CHG                   </t>
  </si>
  <si>
    <t>Billable Charge</t>
  </si>
  <si>
    <t xml:space="preserve">CI_BILL_RVW_SCH               </t>
  </si>
  <si>
    <t>Bill Review Schedule</t>
  </si>
  <si>
    <t xml:space="preserve">CI_BPRT_GRP                   </t>
  </si>
  <si>
    <t>Bill Print Group</t>
  </si>
  <si>
    <t xml:space="preserve">CI_BSEG                       </t>
  </si>
  <si>
    <t>Bill Segment</t>
  </si>
  <si>
    <t xml:space="preserve">CI_BUD_RVW                    </t>
  </si>
  <si>
    <t>Budget Review</t>
  </si>
  <si>
    <t xml:space="preserve">CI_CASE                       </t>
  </si>
  <si>
    <t>Case</t>
  </si>
  <si>
    <t xml:space="preserve">CI_CC                         </t>
  </si>
  <si>
    <t>Customer Contact</t>
  </si>
  <si>
    <t xml:space="preserve">CI_COLL_AGY_REF               </t>
  </si>
  <si>
    <t>Collection Agency Referral</t>
  </si>
  <si>
    <t xml:space="preserve">CI_COLL_PROC                  </t>
  </si>
  <si>
    <t>Collection Process</t>
  </si>
  <si>
    <t xml:space="preserve">CI_COP                        </t>
  </si>
  <si>
    <t xml:space="preserve">Contract Option  </t>
  </si>
  <si>
    <t xml:space="preserve">CI_COP_EVT                    </t>
  </si>
  <si>
    <t>Contract Option Event</t>
  </si>
  <si>
    <t xml:space="preserve">CI_CUT_PROC                   </t>
  </si>
  <si>
    <t>Cut Process</t>
  </si>
  <si>
    <t xml:space="preserve">CI_DCL                        </t>
  </si>
  <si>
    <t>Declaration</t>
  </si>
  <si>
    <t xml:space="preserve">CI_DEP_CTL                    </t>
  </si>
  <si>
    <t>Deposit Control</t>
  </si>
  <si>
    <t xml:space="preserve">CI_DEP_CTL_ST                 </t>
  </si>
  <si>
    <t>Deposit Control Staging</t>
  </si>
  <si>
    <t xml:space="preserve">CI_DEP_RVW                    </t>
  </si>
  <si>
    <t>Deposit Review</t>
  </si>
  <si>
    <t xml:space="preserve">CI_DV_TEST                    </t>
  </si>
  <si>
    <t>Device Test</t>
  </si>
  <si>
    <t xml:space="preserve">CI_DV_TEST_SEL                </t>
  </si>
  <si>
    <t>Device Test Selection</t>
  </si>
  <si>
    <t xml:space="preserve">CI_ENRL                       </t>
  </si>
  <si>
    <t>Order</t>
  </si>
  <si>
    <t xml:space="preserve">CI_FA                         </t>
  </si>
  <si>
    <t>Field Activity</t>
  </si>
  <si>
    <t xml:space="preserve">CI_FA_STAGE_UP                </t>
  </si>
  <si>
    <t>FA Upload Staging</t>
  </si>
  <si>
    <t xml:space="preserve">CI_FO                         </t>
  </si>
  <si>
    <t>Field Order</t>
  </si>
  <si>
    <t xml:space="preserve">CI_FO_STG_DWN                 </t>
  </si>
  <si>
    <t>Field Order Download Staging</t>
  </si>
  <si>
    <t xml:space="preserve">CI_FT                         </t>
  </si>
  <si>
    <t>Financial Transaction</t>
  </si>
  <si>
    <t xml:space="preserve">CI_INTV_DATA_SET              </t>
  </si>
  <si>
    <t>Interval Data Set</t>
  </si>
  <si>
    <t xml:space="preserve">CI_INTV_PF                    </t>
  </si>
  <si>
    <t>Interval Data Profile</t>
  </si>
  <si>
    <t xml:space="preserve">CI_INTV_VAL_SET               </t>
  </si>
  <si>
    <t>Interval Value Set</t>
  </si>
  <si>
    <t xml:space="preserve">CI_ITEM                       </t>
  </si>
  <si>
    <t>Item</t>
  </si>
  <si>
    <t xml:space="preserve">CI_ITEM_SQ_EST                </t>
  </si>
  <si>
    <t>Item Type SQ Estimate</t>
  </si>
  <si>
    <t xml:space="preserve">CI_LANDLORD                   </t>
  </si>
  <si>
    <t>Landlord Agreement</t>
  </si>
  <si>
    <t xml:space="preserve">CI_MATCH_EVT                  </t>
  </si>
  <si>
    <t>Match Event</t>
  </si>
  <si>
    <t xml:space="preserve">CI_MR                         </t>
  </si>
  <si>
    <t>Meter Read</t>
  </si>
  <si>
    <t xml:space="preserve">CI_MR_STAGE_DWN               </t>
  </si>
  <si>
    <t>Meter Read Download Staging</t>
  </si>
  <si>
    <t xml:space="preserve">CI_MR_STAGE_UP                </t>
  </si>
  <si>
    <t>Meter Read Upload Staging</t>
  </si>
  <si>
    <t xml:space="preserve">CI_MSG_LOG                    </t>
  </si>
  <si>
    <t>Message Log</t>
  </si>
  <si>
    <t xml:space="preserve">CI_MTR                        </t>
  </si>
  <si>
    <t>Meter</t>
  </si>
  <si>
    <t xml:space="preserve">CI_MTR_CONFIG                 </t>
  </si>
  <si>
    <t>Meter Configuration</t>
  </si>
  <si>
    <t xml:space="preserve">CI_NT_DWN                     </t>
  </si>
  <si>
    <t>Notification Download Staging</t>
  </si>
  <si>
    <t xml:space="preserve">CI_NT_UP                      </t>
  </si>
  <si>
    <t>Notification Upload Staging</t>
  </si>
  <si>
    <t xml:space="preserve">CI_NT_UP_XSPL                 </t>
  </si>
  <si>
    <t>NT Upload Staging Extension Sample</t>
  </si>
  <si>
    <t xml:space="preserve">CI_OD_PROC                    </t>
  </si>
  <si>
    <t>Overdue Process</t>
  </si>
  <si>
    <t xml:space="preserve">CI_PAY                        </t>
  </si>
  <si>
    <t>Payment Header</t>
  </si>
  <si>
    <t xml:space="preserve">CI_PAY_EVENT                  </t>
  </si>
  <si>
    <t>Payment Event</t>
  </si>
  <si>
    <t xml:space="preserve">CI_PAY_TNDR_ST                </t>
  </si>
  <si>
    <t>Payment Tender Staging</t>
  </si>
  <si>
    <t xml:space="preserve">CI_PER                        </t>
  </si>
  <si>
    <t>Person</t>
  </si>
  <si>
    <t xml:space="preserve">CI_PEVT_DTL_ST                </t>
  </si>
  <si>
    <t>Payment Event Upload Staging</t>
  </si>
  <si>
    <t xml:space="preserve">CI_PP                         </t>
  </si>
  <si>
    <t>Pay Plan</t>
  </si>
  <si>
    <t xml:space="preserve">CI_PREM                       </t>
  </si>
  <si>
    <t>Premise</t>
  </si>
  <si>
    <t xml:space="preserve">CI_QUOTE                      </t>
  </si>
  <si>
    <t>Quote</t>
  </si>
  <si>
    <t xml:space="preserve">CI_REBATE_CLAIM               </t>
  </si>
  <si>
    <t>Rebate Claim</t>
  </si>
  <si>
    <t xml:space="preserve">CI_REBATE_LINE                </t>
  </si>
  <si>
    <t>Rebate Claim Line</t>
  </si>
  <si>
    <t xml:space="preserve">CI_REG_DATA_SET               </t>
  </si>
  <si>
    <t>Interval Register Data Set</t>
  </si>
  <si>
    <t xml:space="preserve">CI_SA                         </t>
  </si>
  <si>
    <t>SA (Service Agreement)</t>
  </si>
  <si>
    <t xml:space="preserve">CI_SA_REL                     </t>
  </si>
  <si>
    <t>SA Relationship</t>
  </si>
  <si>
    <t xml:space="preserve">CI_SCM                        </t>
  </si>
  <si>
    <t>Service Credit Membership</t>
  </si>
  <si>
    <t xml:space="preserve">CI_SC_EVT                     </t>
  </si>
  <si>
    <t>Service Credit Event</t>
  </si>
  <si>
    <t xml:space="preserve">CI_SEV_PROC                   </t>
  </si>
  <si>
    <t>Severance Process</t>
  </si>
  <si>
    <t xml:space="preserve">CI_SP                         </t>
  </si>
  <si>
    <t>Service Point - CCB</t>
  </si>
  <si>
    <t xml:space="preserve">CI_SPR                        </t>
  </si>
  <si>
    <t>Service Provider - CCB</t>
  </si>
  <si>
    <t>Low Volume</t>
  </si>
  <si>
    <t xml:space="preserve">CI_SP_ITEM_HIST               </t>
  </si>
  <si>
    <t>SP Item History</t>
  </si>
  <si>
    <t xml:space="preserve">CI_SP_MTR_HIST                </t>
  </si>
  <si>
    <t>SP/Meter History</t>
  </si>
  <si>
    <t xml:space="preserve">CI_STK_LOC                    </t>
  </si>
  <si>
    <t>Stock Location</t>
  </si>
  <si>
    <t xml:space="preserve">CI_STM                        </t>
  </si>
  <si>
    <t>Statement</t>
  </si>
  <si>
    <t xml:space="preserve">CI_STM_CNST                   </t>
  </si>
  <si>
    <t>Statement Construct</t>
  </si>
  <si>
    <t xml:space="preserve">CI_SVC_RTE_STG_DWN            </t>
  </si>
  <si>
    <t>Service Route Download Staging</t>
  </si>
  <si>
    <t xml:space="preserve">CI_TD_ENTRY                   </t>
  </si>
  <si>
    <t>To Do Entry</t>
  </si>
  <si>
    <t xml:space="preserve">CI_TNDR_CTL                   </t>
  </si>
  <si>
    <t>Tender Control</t>
  </si>
  <si>
    <t xml:space="preserve">CI_TOS                        </t>
  </si>
  <si>
    <t>Terms of Service</t>
  </si>
  <si>
    <t xml:space="preserve">CI_TOU_DATA_SET               </t>
  </si>
  <si>
    <t>TOU Data Set</t>
  </si>
  <si>
    <t xml:space="preserve">CI_TOU_MAP                    </t>
  </si>
  <si>
    <t>Time Of Use Map Classic</t>
  </si>
  <si>
    <t xml:space="preserve">CI_TREND                      </t>
  </si>
  <si>
    <t>Trend</t>
  </si>
  <si>
    <t xml:space="preserve">CI_UA                         </t>
  </si>
  <si>
    <t>Umbrella Agreement</t>
  </si>
  <si>
    <t xml:space="preserve">CI_VAL_ERR                    </t>
  </si>
  <si>
    <t>Validation Error</t>
  </si>
  <si>
    <t xml:space="preserve">CI_VAL_FK_ERR                 </t>
  </si>
  <si>
    <t>Validation Error Foreign Keys</t>
  </si>
  <si>
    <t xml:space="preserve">CI_WF_PROC                    </t>
  </si>
  <si>
    <t>WF Process</t>
  </si>
  <si>
    <t xml:space="preserve">CI_WO_PROC                    </t>
  </si>
  <si>
    <t>Write Off Process</t>
  </si>
  <si>
    <t xml:space="preserve">CI_XAI_DWN                    </t>
  </si>
  <si>
    <t>XAI Download</t>
  </si>
  <si>
    <t xml:space="preserve">CI_XML_STGUP                  </t>
  </si>
  <si>
    <t>XAI Upload Staging</t>
  </si>
  <si>
    <t xml:space="preserve">CI_XML_STG_CTL                </t>
  </si>
  <si>
    <t>XAI Staging Control</t>
  </si>
  <si>
    <t xml:space="preserve">D1_ACTIVITY                   </t>
  </si>
  <si>
    <t>Activity</t>
  </si>
  <si>
    <t xml:space="preserve">D1_ADS                        </t>
  </si>
  <si>
    <t>Attribute Data Snapshot</t>
  </si>
  <si>
    <t xml:space="preserve">D1_AGG_GROUP_RUN              </t>
  </si>
  <si>
    <t>Aggregation Group Run</t>
  </si>
  <si>
    <t xml:space="preserve">D1_AGG_MSRMT                  </t>
  </si>
  <si>
    <t>Aggregation Measurement</t>
  </si>
  <si>
    <t xml:space="preserve">D1_ATTR_VAL                   </t>
  </si>
  <si>
    <t>Attribute Values</t>
  </si>
  <si>
    <t xml:space="preserve">D1_COMM_IN                    </t>
  </si>
  <si>
    <t>Communication In</t>
  </si>
  <si>
    <t xml:space="preserve">D1_COMM_OUT                   </t>
  </si>
  <si>
    <t>Communication Out</t>
  </si>
  <si>
    <t xml:space="preserve">D1_COMPL_EVT                  </t>
  </si>
  <si>
    <t>Completion Event</t>
  </si>
  <si>
    <t xml:space="preserve">D1_CONTACT                    </t>
  </si>
  <si>
    <t>Contact</t>
  </si>
  <si>
    <t xml:space="preserve">D1_DVC                        </t>
  </si>
  <si>
    <t>Device</t>
  </si>
  <si>
    <t xml:space="preserve">D1_DVC_CFG                    </t>
  </si>
  <si>
    <t>Device Configuration</t>
  </si>
  <si>
    <t xml:space="preserve">D1_DVC_EVT                    </t>
  </si>
  <si>
    <t>Device Event</t>
  </si>
  <si>
    <t xml:space="preserve">D1_DYN_OPT                    </t>
  </si>
  <si>
    <t>Dynamic Option</t>
  </si>
  <si>
    <t xml:space="preserve">D1_DYN_OPT_EVENT              </t>
  </si>
  <si>
    <t>Dynamic Option Event</t>
  </si>
  <si>
    <t xml:space="preserve">D1_EVT_PARTICIPATION          </t>
  </si>
  <si>
    <t>Event Participation</t>
  </si>
  <si>
    <t xml:space="preserve">D1_FACILITY                   </t>
  </si>
  <si>
    <t>Facility</t>
  </si>
  <si>
    <t xml:space="preserve">D1_INIT_MSRMT_DATA            </t>
  </si>
  <si>
    <t>Initial Measurement Data</t>
  </si>
  <si>
    <t xml:space="preserve">D1_INIT_MSRMT_SNAP            </t>
  </si>
  <si>
    <t>Initial Measurement Snapshot</t>
  </si>
  <si>
    <t xml:space="preserve">D1_INSTALL_EVT                </t>
  </si>
  <si>
    <t>Install Event</t>
  </si>
  <si>
    <t xml:space="preserve">D1_INT_SNAP_MAP               </t>
  </si>
  <si>
    <t>Interval Snapshot Mapping</t>
  </si>
  <si>
    <t xml:space="preserve">D1_MC_COMPAR_PERIOD           </t>
  </si>
  <si>
    <t>MC Comparison Period</t>
  </si>
  <si>
    <t xml:space="preserve">D1_MDSI                       </t>
  </si>
  <si>
    <t>Measurement Data Snapshot Interval</t>
  </si>
  <si>
    <t xml:space="preserve">D1_MDSS                       </t>
  </si>
  <si>
    <t>Measurement Data Snapshot Scalar</t>
  </si>
  <si>
    <t xml:space="preserve">D1_MEASR_COMP                 </t>
  </si>
  <si>
    <t>Measuring Component</t>
  </si>
  <si>
    <t xml:space="preserve">D1_MKT_AWARD                  </t>
  </si>
  <si>
    <t>Market Award</t>
  </si>
  <si>
    <t xml:space="preserve">D1_MKT_CONTRACT               </t>
  </si>
  <si>
    <t>Market Contract</t>
  </si>
  <si>
    <t xml:space="preserve">D1_MKT_PRODUCT                </t>
  </si>
  <si>
    <t>Market Product</t>
  </si>
  <si>
    <t xml:space="preserve">D1_MKT_RP                     </t>
  </si>
  <si>
    <t xml:space="preserve">D1_MSRMT                      </t>
  </si>
  <si>
    <t>Measurement</t>
  </si>
  <si>
    <t xml:space="preserve">D1_MSRMT_LOG                  </t>
  </si>
  <si>
    <t>Measurement Log</t>
  </si>
  <si>
    <t xml:space="preserve">D1_NW_LOC                     </t>
  </si>
  <si>
    <t>Network Location</t>
  </si>
  <si>
    <t xml:space="preserve">D1_SP                         </t>
  </si>
  <si>
    <t>Service Point - MDM</t>
  </si>
  <si>
    <t xml:space="preserve">D1_SP_MSRMT_CYC_SCHED_RTE     </t>
  </si>
  <si>
    <t>SP/Measurement Cycle Schedule Route</t>
  </si>
  <si>
    <t xml:space="preserve">D1_SP_QTY                     </t>
  </si>
  <si>
    <t>Service Point Quantity</t>
  </si>
  <si>
    <t xml:space="preserve">D1_SP_SNAP_DL                 </t>
  </si>
  <si>
    <t>Service Pont Snapshot Download</t>
  </si>
  <si>
    <t xml:space="preserve">D1_SP_UNR_USG_SNAP_DL         </t>
  </si>
  <si>
    <t>SP Unreported Usage Snapshot Download</t>
  </si>
  <si>
    <t xml:space="preserve">D1_SP_USG_SNAP_DL             </t>
  </si>
  <si>
    <t>Service Point Usage Snapshot Download</t>
  </si>
  <si>
    <t xml:space="preserve">D1_SP_VEE_EXCP_SNAP_DL        </t>
  </si>
  <si>
    <t>SP VEE Exception Snapshot Download</t>
  </si>
  <si>
    <t xml:space="preserve">D1_US                         </t>
  </si>
  <si>
    <t>Usage Subscription</t>
  </si>
  <si>
    <t xml:space="preserve">D1_USAGE                      </t>
  </si>
  <si>
    <t xml:space="preserve">D1_USAGE_EXCP                 </t>
  </si>
  <si>
    <t>Usage Transaction Exception</t>
  </si>
  <si>
    <t xml:space="preserve">D1_US_MKT_PART                </t>
  </si>
  <si>
    <t>Usage Subscription Market Participant</t>
  </si>
  <si>
    <t xml:space="preserve">D1_US_QTY                     </t>
  </si>
  <si>
    <t>Usage Subscription Quantity</t>
  </si>
  <si>
    <t xml:space="preserve">D1_US_USG_GRP_DL              </t>
  </si>
  <si>
    <t>Usage Subscription Usage Group Download</t>
  </si>
  <si>
    <t xml:space="preserve">D1_VEE_EXCP                   </t>
  </si>
  <si>
    <t>VEE Exception</t>
  </si>
  <si>
    <t xml:space="preserve">F1_ATTACHMENT                 </t>
  </si>
  <si>
    <t>Attachment</t>
  </si>
  <si>
    <t xml:space="preserve">F1_BATCH_RUN_ANALYTICS_SNAP   </t>
  </si>
  <si>
    <t>Batch Run Analytics Snapshot</t>
  </si>
  <si>
    <t>High Volume</t>
  </si>
  <si>
    <t xml:space="preserve">F1_BATCH_THD_ANALYTICS_SNAP   </t>
  </si>
  <si>
    <t>Batch Thread Analytics Snapshot</t>
  </si>
  <si>
    <t xml:space="preserve">F1_BNDL                       </t>
  </si>
  <si>
    <t>Bundle</t>
  </si>
  <si>
    <t xml:space="preserve">F1_BUS_EVT_LOG                </t>
  </si>
  <si>
    <t>Business Event Log</t>
  </si>
  <si>
    <t xml:space="preserve">F1_BUS_FLG                    </t>
  </si>
  <si>
    <t>Business Flag</t>
  </si>
  <si>
    <t xml:space="preserve">F1_CALENDAR_D                 </t>
  </si>
  <si>
    <t>Calendar Dimension</t>
  </si>
  <si>
    <t xml:space="preserve">F1_CUBE_VIEW                  </t>
  </si>
  <si>
    <t>Cube View</t>
  </si>
  <si>
    <t xml:space="preserve">F1_DEPLOYMENT                 </t>
  </si>
  <si>
    <t>Deployment</t>
  </si>
  <si>
    <t xml:space="preserve">F1_ERASURE_SCHED              </t>
  </si>
  <si>
    <t>Object Erasure Schedule</t>
  </si>
  <si>
    <t xml:space="preserve">F1_FACT                       </t>
  </si>
  <si>
    <t>Fact</t>
  </si>
  <si>
    <t xml:space="preserve">F1_GEN_PROC                   </t>
  </si>
  <si>
    <t>General Process</t>
  </si>
  <si>
    <t xml:space="preserve">F1_GNRL_AUDIT                 </t>
  </si>
  <si>
    <t>General Audit</t>
  </si>
  <si>
    <t xml:space="preserve">F1_MDT                        </t>
  </si>
  <si>
    <t>Mobile Data Terminal</t>
  </si>
  <si>
    <t xml:space="preserve">F1_MDT_TYPE                   </t>
  </si>
  <si>
    <t>Mobile Data Terminal Type</t>
  </si>
  <si>
    <t xml:space="preserve">F1_MIGR_DATA_ST               </t>
  </si>
  <si>
    <t>Migration Data Set</t>
  </si>
  <si>
    <t xml:space="preserve">F1_MIGR_OBJ                   </t>
  </si>
  <si>
    <t>Migration Object</t>
  </si>
  <si>
    <t xml:space="preserve">F1_MIGR_TRANS                 </t>
  </si>
  <si>
    <t>Migration Transaction</t>
  </si>
  <si>
    <t xml:space="preserve">F1_MKTMSG_IN                  </t>
  </si>
  <si>
    <t>Inbound Market Message</t>
  </si>
  <si>
    <t xml:space="preserve">F1_MKTMSG_OUT                 </t>
  </si>
  <si>
    <t>Outbound Market Message</t>
  </si>
  <si>
    <t xml:space="preserve">F1_MKTPROC                    </t>
  </si>
  <si>
    <t>Market Process</t>
  </si>
  <si>
    <t xml:space="preserve">F1_MKTPROC_EVT                </t>
  </si>
  <si>
    <t>Market Process Event</t>
  </si>
  <si>
    <t xml:space="preserve">F1_OBJ_REV                    </t>
  </si>
  <si>
    <t>Object Revision</t>
  </si>
  <si>
    <t xml:space="preserve">F1_OUTMSG                     </t>
  </si>
  <si>
    <t>Outbound Message</t>
  </si>
  <si>
    <t xml:space="preserve">F1_PROC_STORE                 </t>
  </si>
  <si>
    <t>Process Flow</t>
  </si>
  <si>
    <t xml:space="preserve">F1_REMOTE_MSG                 </t>
  </si>
  <si>
    <t>Mobile Remote Message</t>
  </si>
  <si>
    <t xml:space="preserve">F1_REQ                        </t>
  </si>
  <si>
    <t>Request</t>
  </si>
  <si>
    <t xml:space="preserve">F1_STATS_SNPSHT               </t>
  </si>
  <si>
    <t>Statistics Snapshot</t>
  </si>
  <si>
    <t xml:space="preserve">F1_SVC_TASK                   </t>
  </si>
  <si>
    <t>Service Task</t>
  </si>
  <si>
    <t xml:space="preserve">F1_SYNC_REQ                   </t>
  </si>
  <si>
    <t>Sync Request</t>
  </si>
  <si>
    <t xml:space="preserve">F1_SYNC_REQ_IN                </t>
  </si>
  <si>
    <t>Inbound Sync Request</t>
  </si>
  <si>
    <t xml:space="preserve">F1_TIME_D                     </t>
  </si>
  <si>
    <t>Time Dimension</t>
  </si>
  <si>
    <t xml:space="preserve">W1_ACPT_LINE                  </t>
  </si>
  <si>
    <t>Accept Line</t>
  </si>
  <si>
    <t xml:space="preserve">W1_ACTIVITY                   </t>
  </si>
  <si>
    <t xml:space="preserve">W1_ACT_CONSTR_LOC             </t>
  </si>
  <si>
    <t>Activity Construction Location</t>
  </si>
  <si>
    <t xml:space="preserve">W1_ACT_RECON                  </t>
  </si>
  <si>
    <t>Activity Reconciliation</t>
  </si>
  <si>
    <t xml:space="preserve">W1_ACT_RESRC_REQMT            </t>
  </si>
  <si>
    <t>Activity Resource Requirement</t>
  </si>
  <si>
    <t xml:space="preserve">W1_ADJUSTMENT                 </t>
  </si>
  <si>
    <t>Cost Adjustment</t>
  </si>
  <si>
    <t xml:space="preserve">W1_APPROVAL_REQ               </t>
  </si>
  <si>
    <t xml:space="preserve">W1_ASSET                      </t>
  </si>
  <si>
    <t>Asset</t>
  </si>
  <si>
    <t xml:space="preserve">W1_BC_HEADER                  </t>
  </si>
  <si>
    <t>Blanket Contract Header</t>
  </si>
  <si>
    <t xml:space="preserve">W1_BC_LINE                    </t>
  </si>
  <si>
    <t>Blanket Contract Line</t>
  </si>
  <si>
    <t xml:space="preserve">W1_BOM_PART                   </t>
  </si>
  <si>
    <t>Bill of Materials Part</t>
  </si>
  <si>
    <t xml:space="preserve">W1_CHANGE_REQ                 </t>
  </si>
  <si>
    <t>Change Request</t>
  </si>
  <si>
    <t xml:space="preserve">W1_CHKLST                     </t>
  </si>
  <si>
    <t>Checklist</t>
  </si>
  <si>
    <t xml:space="preserve">W1_CMPL_EVT                   </t>
  </si>
  <si>
    <t xml:space="preserve">W1_COMMUNICATION              </t>
  </si>
  <si>
    <t>Communication</t>
  </si>
  <si>
    <t xml:space="preserve">W1_COMM_IN                    </t>
  </si>
  <si>
    <t xml:space="preserve">W1_CONFIG                     </t>
  </si>
  <si>
    <t>Configuration</t>
  </si>
  <si>
    <t xml:space="preserve">W1_CONFIG_RPT                 </t>
  </si>
  <si>
    <t>Configuration Report</t>
  </si>
  <si>
    <t xml:space="preserve">W1_CONTACT                    </t>
  </si>
  <si>
    <t xml:space="preserve">W1_CREW                       </t>
  </si>
  <si>
    <t>Crew</t>
  </si>
  <si>
    <t xml:space="preserve">W1_CREW_SHIFT                 </t>
  </si>
  <si>
    <t>Crew Shift</t>
  </si>
  <si>
    <t xml:space="preserve">W1_CU                         </t>
  </si>
  <si>
    <t>Compatible Unit</t>
  </si>
  <si>
    <t xml:space="preserve">W1_CU_CNTRCTR_BID             </t>
  </si>
  <si>
    <t>CU Contractor Bid</t>
  </si>
  <si>
    <t xml:space="preserve">W1_DESIGN_ELEMENT             </t>
  </si>
  <si>
    <t>Design Element</t>
  </si>
  <si>
    <t xml:space="preserve">W1_DOCUMENT                   </t>
  </si>
  <si>
    <t>Document</t>
  </si>
  <si>
    <t xml:space="preserve">W1_EMPLOYEE                   </t>
  </si>
  <si>
    <t>Employee</t>
  </si>
  <si>
    <t xml:space="preserve">W1_EU                         </t>
  </si>
  <si>
    <t>Employee Unavailability</t>
  </si>
  <si>
    <t xml:space="preserve">W1_EXPEDITE                   </t>
  </si>
  <si>
    <t>Expedite Purchase Order</t>
  </si>
  <si>
    <t xml:space="preserve">W1_FT                         </t>
  </si>
  <si>
    <t xml:space="preserve">W1_INVOICE_GROUP              </t>
  </si>
  <si>
    <t>Invoice Group</t>
  </si>
  <si>
    <t xml:space="preserve">W1_INVOICE_HEADER             </t>
  </si>
  <si>
    <t>Invoice Header</t>
  </si>
  <si>
    <t xml:space="preserve">W1_INVOICE_LINE               </t>
  </si>
  <si>
    <t>Invoice Line</t>
  </si>
  <si>
    <t xml:space="preserve">W1_INV_ADJ                    </t>
  </si>
  <si>
    <t>Inventory Adjustment</t>
  </si>
  <si>
    <t xml:space="preserve">W1_MAINT_EVENT                </t>
  </si>
  <si>
    <t>Maintenance Event</t>
  </si>
  <si>
    <t xml:space="preserve">W1_MAINT_SCHEDULE             </t>
  </si>
  <si>
    <t>Maintenance Schedule</t>
  </si>
  <si>
    <t xml:space="preserve">W1_MAINT_TRIGGER              </t>
  </si>
  <si>
    <t>Maintenance Trigger</t>
  </si>
  <si>
    <t xml:space="preserve">W1_MAT_DISP                   </t>
  </si>
  <si>
    <t>Material Disposition</t>
  </si>
  <si>
    <t xml:space="preserve">W1_MAT_ISS_LINE               </t>
  </si>
  <si>
    <t>Material Issue Line</t>
  </si>
  <si>
    <t xml:space="preserve">W1_MAT_REQ_HEADER             </t>
  </si>
  <si>
    <t>Material Request Header</t>
  </si>
  <si>
    <t xml:space="preserve">W1_MAT_REQ_LINE               </t>
  </si>
  <si>
    <t>Material Request Line</t>
  </si>
  <si>
    <t xml:space="preserve">W1_MAT_REQ_TMPL               </t>
  </si>
  <si>
    <t>Material Request Template</t>
  </si>
  <si>
    <t xml:space="preserve">W1_MAT_RET_HEADER             </t>
  </si>
  <si>
    <t>Material Return Header</t>
  </si>
  <si>
    <t xml:space="preserve">W1_MAT_RET_LINE               </t>
  </si>
  <si>
    <t>Material Return Line</t>
  </si>
  <si>
    <t xml:space="preserve">W1_MEASUREMENT                </t>
  </si>
  <si>
    <t xml:space="preserve">W1_MOBILE_SUBSCR              </t>
  </si>
  <si>
    <t>Mobile Subscription</t>
  </si>
  <si>
    <t xml:space="preserve">W1_NODE                       </t>
  </si>
  <si>
    <t>Location/Organization</t>
  </si>
  <si>
    <t xml:space="preserve">W1_ODC                        </t>
  </si>
  <si>
    <t>Other Direct Charges</t>
  </si>
  <si>
    <t xml:space="preserve">W1_ODC_DTL                    </t>
  </si>
  <si>
    <t>Other Direct Charges Detail</t>
  </si>
  <si>
    <t xml:space="preserve">W1_PERMIT                     </t>
  </si>
  <si>
    <t>Permit</t>
  </si>
  <si>
    <t xml:space="preserve">W1_PI_CNT_LINE                </t>
  </si>
  <si>
    <t>Physical Inventory Count Line</t>
  </si>
  <si>
    <t xml:space="preserve">W1_PI_CNT_MST                 </t>
  </si>
  <si>
    <t>Physical Inventory Count Master</t>
  </si>
  <si>
    <t xml:space="preserve">W1_PI_HEADER                  </t>
  </si>
  <si>
    <t>Physical Inventory Header</t>
  </si>
  <si>
    <t xml:space="preserve">W1_PO_HEADER                  </t>
  </si>
  <si>
    <t>Purchase Order Header</t>
  </si>
  <si>
    <t xml:space="preserve">W1_PO_LINE                    </t>
  </si>
  <si>
    <t>Purchase Order Line</t>
  </si>
  <si>
    <t xml:space="preserve">W1_PROCESS                    </t>
  </si>
  <si>
    <t>Functional Process</t>
  </si>
  <si>
    <t xml:space="preserve">W1_PROJECT                    </t>
  </si>
  <si>
    <t>Project</t>
  </si>
  <si>
    <t xml:space="preserve">W1_PR_HDR                     </t>
  </si>
  <si>
    <t>Purchase Requisition Header</t>
  </si>
  <si>
    <t xml:space="preserve">W1_PR_LINE                    </t>
  </si>
  <si>
    <t>Purchase Requisition Line</t>
  </si>
  <si>
    <t xml:space="preserve">W1_RCPT_HDR                   </t>
  </si>
  <si>
    <t>Receipt Header</t>
  </si>
  <si>
    <t xml:space="preserve">W1_RCPT_LINE                  </t>
  </si>
  <si>
    <t>Receipt Line</t>
  </si>
  <si>
    <t xml:space="preserve">W1_REPORT_QUEUE               </t>
  </si>
  <si>
    <t>Report Queue</t>
  </si>
  <si>
    <t xml:space="preserve">W1_RESRC_TYPE                 </t>
  </si>
  <si>
    <t>Resource Type</t>
  </si>
  <si>
    <t xml:space="preserve">W1_RR                         </t>
  </si>
  <si>
    <t>Reorder Review</t>
  </si>
  <si>
    <t xml:space="preserve">W1_RTN_LINE                   </t>
  </si>
  <si>
    <t>Return Line</t>
  </si>
  <si>
    <t xml:space="preserve">W1_SHIFT_WEEKLY_TMPL          </t>
  </si>
  <si>
    <t>Shift Weekly Template</t>
  </si>
  <si>
    <t xml:space="preserve">W1_SHIPPING_LINE              </t>
  </si>
  <si>
    <t>Shipping Line</t>
  </si>
  <si>
    <t xml:space="preserve">W1_SHIPPING_MEMO              </t>
  </si>
  <si>
    <t>Shipping Memo</t>
  </si>
  <si>
    <t xml:space="preserve">W1_STOCK_ITEM_DTL             </t>
  </si>
  <si>
    <t>Stock Item Detail</t>
  </si>
  <si>
    <t xml:space="preserve">W1_STOCK_TRANS                </t>
  </si>
  <si>
    <t>Stock Transaction</t>
  </si>
  <si>
    <t xml:space="preserve">W1_SVC_HIST                   </t>
  </si>
  <si>
    <t>Service History</t>
  </si>
  <si>
    <t xml:space="preserve">W1_TIMESHEET                  </t>
  </si>
  <si>
    <t>Timesheet</t>
  </si>
  <si>
    <t xml:space="preserve">W1_TIMESHEET_DETAIL           </t>
  </si>
  <si>
    <t>Timesheet Detail</t>
  </si>
  <si>
    <t xml:space="preserve">W1_TMPL_ACT                   </t>
  </si>
  <si>
    <t>Template Activity</t>
  </si>
  <si>
    <t xml:space="preserve">W1_TMPL_ACT_RSRC              </t>
  </si>
  <si>
    <t>Template Activity Resource</t>
  </si>
  <si>
    <t xml:space="preserve">W1_TMPL_WO                    </t>
  </si>
  <si>
    <t>Template Work Order</t>
  </si>
  <si>
    <t xml:space="preserve">W1_VENDOR                     </t>
  </si>
  <si>
    <t>Vendor</t>
  </si>
  <si>
    <t xml:space="preserve">W1_VENDOR_LOC                 </t>
  </si>
  <si>
    <t>Vendor Location</t>
  </si>
  <si>
    <t xml:space="preserve">W1_WARRANTY                   </t>
  </si>
  <si>
    <t>Warranty</t>
  </si>
  <si>
    <t xml:space="preserve">W1_WO                         </t>
  </si>
  <si>
    <t>Work Order</t>
  </si>
  <si>
    <t xml:space="preserve">W1_WORK_DESIGN                </t>
  </si>
  <si>
    <t>Work Design</t>
  </si>
  <si>
    <t xml:space="preserve">W1_WORK_LOC                   </t>
  </si>
  <si>
    <t>Work Location</t>
  </si>
  <si>
    <t xml:space="preserve">W1_WORK_REQ                   </t>
  </si>
  <si>
    <t>Work Request</t>
  </si>
  <si>
    <t>Client</t>
  </si>
  <si>
    <t>Table Name</t>
  </si>
  <si>
    <t>Row Count</t>
  </si>
  <si>
    <t>Table Description</t>
  </si>
  <si>
    <t>Table Volume</t>
  </si>
  <si>
    <t>CityCorp</t>
  </si>
  <si>
    <t>College Station</t>
  </si>
  <si>
    <t>Ellensburg</t>
  </si>
  <si>
    <t>Fond du Lac</t>
  </si>
  <si>
    <t>Newark</t>
  </si>
  <si>
    <t>Sum of Row Count</t>
  </si>
  <si>
    <t>Column Labels</t>
  </si>
  <si>
    <t>Row Labels</t>
  </si>
  <si>
    <t>Total</t>
  </si>
  <si>
    <t>Assignee</t>
  </si>
  <si>
    <t>Status</t>
  </si>
  <si>
    <t>Grand Total</t>
  </si>
  <si>
    <t>Designer</t>
  </si>
  <si>
    <t>CLOB Data Source</t>
  </si>
  <si>
    <t>Designer Notes</t>
  </si>
  <si>
    <t>Josh's Notes</t>
  </si>
  <si>
    <t>Link</t>
  </si>
  <si>
    <t>Justification</t>
  </si>
  <si>
    <t>Josh</t>
  </si>
  <si>
    <t>DEV - Complete</t>
  </si>
  <si>
    <t>Likely, this needs to be created as it's one of the views for OUAV</t>
  </si>
  <si>
    <t>Doms</t>
  </si>
  <si>
    <t>Skip - Confirmed</t>
  </si>
  <si>
    <t xml:space="preserve">This is related to Process Flows and more on an Internal Processing of the lifecycle-based transaction. We can skip as the content is more technical than functional. </t>
  </si>
  <si>
    <t>Agree, this is more of an internal transaction to process and correct the read and rebill of the old bill segment using the new usage. This can be skipped</t>
  </si>
  <si>
    <t>This is more of an internal transaction, whose results are stored in a bill.  It's best to keep track of the bills instead.</t>
  </si>
  <si>
    <t>C1_PA_RQST</t>
  </si>
  <si>
    <t>Agree, a domain should be created as this table contains information on the arrangement downpayment, arrangement amounts, number of installments, and installment amount.</t>
  </si>
  <si>
    <t>This needs to be created because we don't have a fixed set of tables for the payment arrangements.  We only use the SA's recurring charge history page to keep track of payment arrangements.</t>
  </si>
  <si>
    <t>This table contains information on the arrangement downpayment, arrangement amounts, number of installments, and installment amount.</t>
  </si>
  <si>
    <t>C1_USAGE</t>
  </si>
  <si>
    <t>C-side Usage</t>
  </si>
  <si>
    <t>Lennice</t>
  </si>
  <si>
    <t>Agree, this is transitory/internal transaction. This can be skipped</t>
  </si>
  <si>
    <t>This is a transitory transaction which results to an adjustment being created and we have a report for that already.</t>
  </si>
  <si>
    <t>CI_APPR_REQ</t>
  </si>
  <si>
    <t>Agree, a domain should be created as this table contains information for the Approval History of the Adjustment until it is Frozen</t>
  </si>
  <si>
    <t>Related to adjustments.  Seems that we need to track this.</t>
  </si>
  <si>
    <t>This table contains information for the Approval History of the Adjustment until it is Frozen</t>
  </si>
  <si>
    <t>We can skip this since only a few tables have audit turned on. It's also not recommended to turn on auditing for many transaction tables at this time, as it would consume a lot of database space and may cause slowness on the server.</t>
  </si>
  <si>
    <t>Audit of database tables.  No need to keep track of this.  Just use the C2M pages</t>
  </si>
  <si>
    <t>We can skip this. The data being stored here which is the sum of Total and Current of FTs, are being processed by its background processes to check Integrity of the FTs in each historical Balance Control Group</t>
  </si>
  <si>
    <t>Similar to balancing deposit controls and tender controls, we should keep track of this as well.  See if creating a report here is still needed as c2m looks straightforward though.</t>
  </si>
  <si>
    <t>Records on this table came from the submitted rundeck jobs.  There is no need to keep track of these as we keep track of CI_BATCH_INST table separately.</t>
  </si>
  <si>
    <t>CI_BILL</t>
  </si>
  <si>
    <t>This table contains information of the Bill Details</t>
  </si>
  <si>
    <t xml:space="preserve"> The CI_BILL_CHG table does not need to be designed since it functions as an internal/staging record. It will be picked up in the next bill, and the calculation line details will be reflected in CI_BSEG_CALC_LN. The Billable Charge ID will be linked to CI_BSEG_CALC.</t>
  </si>
  <si>
    <t>CI_BSEG</t>
  </si>
  <si>
    <t>We can skip this. It’s mainly for C2M online use for users to easily view budget review records and directly navigate to the account.</t>
  </si>
  <si>
    <t>This is just one table and it's better to simply use what’s on C2M as it does more by going to the specific SA for further actionn</t>
  </si>
  <si>
    <t>We can skip this. This is a staging table for internal processing</t>
  </si>
  <si>
    <t>The information in the staging table is captured on both actual Deposit Control and Tender Control recods.</t>
  </si>
  <si>
    <t>We can skip this. It’s mainly for C2M online use for users to easily view deposit review records and directly navigate to the account.</t>
  </si>
  <si>
    <t>The order is being used by College Station to start a service, which is the object created by OCX during move-in. The end result is that the customer will have their SA started at the premise being moved into. We can skip this.</t>
  </si>
  <si>
    <t>We can secure a lot of insights here, especially for College Station</t>
  </si>
  <si>
    <t>No</t>
  </si>
  <si>
    <t>This can be skipped. In C2M this more on a backend data and the one being displayed online is the Activity (D1-Activity) which is the SOM Counterpart</t>
  </si>
  <si>
    <t>CI_FT</t>
  </si>
  <si>
    <t>This table contains information of the Financial Transactions</t>
  </si>
  <si>
    <t>This can be skipped.  These are batch run tree substitution values.</t>
  </si>
  <si>
    <t>CI_PREM</t>
  </si>
  <si>
    <t xml:space="preserve">We can skip this. The purpose of the SA Relationship is to record information if we handle the Billing of an External Server Provider (We Bill for Them) or it's us (the current utility provider). 
Currently, only City Corp is using this table, but only billing the currently utility, not an external service provide. So its not fully utilizing the Functionality. </t>
  </si>
  <si>
    <t>We are reporting on Sas anyways</t>
  </si>
  <si>
    <t>CI_SP</t>
  </si>
  <si>
    <t>We can skip this, the SP information in C2M is retrieved from the D1_SP table.</t>
  </si>
  <si>
    <t>We can skip this. This is for Data Conversion use.</t>
  </si>
  <si>
    <t>This is related to data conversion, which we are not going to do anymore after the project goes live.</t>
  </si>
  <si>
    <t>D1_ACTIVITY</t>
  </si>
  <si>
    <t>This table records information about Field Activities. It is useful for Clients as it allows them to easily access and extract FA-related data via reports.</t>
  </si>
  <si>
    <t>Yes</t>
  </si>
  <si>
    <t>The stored data consists of CLOB data and is used in integration processes. We can skip this.</t>
  </si>
  <si>
    <t>Final data is on D1_ACTIVITY, and we have a domain for this already</t>
  </si>
  <si>
    <t>The content is more technical than functional. Tables stores the Event Processes of an Activity. This can be skipped</t>
  </si>
  <si>
    <t xml:space="preserve">We can skip this. This is the equivalent of the Person Contact and IDs table in CCB which are viewable online on Person Page. </t>
  </si>
  <si>
    <t>We already have a Domain for Person Contact</t>
  </si>
  <si>
    <t>D1_DVC</t>
  </si>
  <si>
    <t>This table records information about a Device. It is useful for Clients as it allows them to view information of existing Device in C2M. Where they're located or if they're installed at a Service Point.</t>
  </si>
  <si>
    <t>D1_MSRMT</t>
  </si>
  <si>
    <t>Measurements</t>
  </si>
  <si>
    <t xml:space="preserve">Device configurations represent specific configurations of a device as of a certain time. During the life of a device it can have different configuration (effective-dated). A device configuration can have one or more measuring component associated with it.  It is useful for Clients as it allows them to easily access and extract the information. These includes Install Event and Measuring Component and Device. </t>
  </si>
  <si>
    <t>D1_DVC_EVT</t>
  </si>
  <si>
    <t>Device events are developments that have taken place relative to a device, and can include power outages, power restorations, tampering alerts, command completions, among others.</t>
  </si>
  <si>
    <t>D1_INIT_MSRMT_DATA</t>
  </si>
  <si>
    <t>Skipped - Duplicate</t>
  </si>
  <si>
    <t>This is handled on the Usage Exception and VEE exception</t>
  </si>
  <si>
    <t>Initial measurement data (IMD) is the term for measurement data in its initial (or raw) form. This is received from an external system or user created or system estimated in C2M. Once it's processed it will be stored as measurement(D1_MSRMT) or the IMD will be in Exception state depending on the VEE Rules setup. It is useful for Clients as it allows them to review the information of the expected number of reads uploaded to the system and how many are processed at a given period of time.
Note: This table holds a lot of data as a meter can have daily IMDs loaded into C2M. The adhoc view would be used to limit it via Badge Number, Measuring Component and IMD Date.</t>
  </si>
  <si>
    <t>D1_INSTALL_EVT</t>
  </si>
  <si>
    <t>The Install Event records the history of  the device that has been installed or removed at a Service Point. It is useful for Clients as it allows them to easily fetch the list of Service Points and the related device history</t>
  </si>
  <si>
    <t>D1_MEASR_COMP</t>
  </si>
  <si>
    <t xml:space="preserve">Measuring components are single points for which data will be received and stored in the system. Measuring components can be associated to a device or not (these are virtual or stand-alone). This is helpful for the Clients as it allows them to retrieve the Measuring Components that's either related to a SP or not used. </t>
  </si>
  <si>
    <t>Measurements have gone through VEE(validate-edit-estimate) and is ready to be used for Usage Calculation. This is useful to Client, retrieve the information if there are Measuring Components having more Estimated Measurements against Regular.</t>
  </si>
  <si>
    <t>D1_MSRMT_LOG</t>
  </si>
  <si>
    <t>D1_SP</t>
  </si>
  <si>
    <t>Design - For Review</t>
  </si>
  <si>
    <t>This table records information about Service Point - MDM. It is useful for Clients as it allows them to easily access and extract SP-related data via reports.</t>
  </si>
  <si>
    <t>D1_SP_MSRMT_CYC_SCHED_RTE</t>
  </si>
  <si>
    <t>D1_US</t>
  </si>
  <si>
    <t>Refer to MDM Usage</t>
  </si>
  <si>
    <t>D1_USAGE</t>
  </si>
  <si>
    <t>Usage Transactions are records of bill determinant calculations for a Usage Subscription. This is useful to the Client as it allows them to retrieve the Bill information to the usage and measurement</t>
  </si>
  <si>
    <t>D1_USAGE_EXCP</t>
  </si>
  <si>
    <t>This is a child object of D1_USAGE, and it’s not typical exception data. It has its own Business Object and can be viewed online. This is  covered under D1_USAGE.</t>
  </si>
  <si>
    <t xml:space="preserve">D1_VEE_EXCP </t>
  </si>
  <si>
    <t>This is a child object of D1_INIT_MSRMT_DATA, and it’s not typical exception data. It has its own Business Object and can be viewed online. This is  covered under D1_INIT_MSRMT_DATA.</t>
  </si>
  <si>
    <t>This table contains information for the VEE exceptions. It helps us identify which VEE rules generate the most exceptions and which service points or accounts are most affected.</t>
  </si>
  <si>
    <t>The data stored in the Attachment Table is base64-encoded and used for internal processing. OUAF will decode the data online so that users can access the file. We can skip this one, as it is not for Client Users because it is not related to transactional data.</t>
  </si>
  <si>
    <t>Agree.  Let us skip this.  The content is more technical than functional.  It also does not benefit Origin to keep track of this.</t>
  </si>
  <si>
    <t>F1_BNDL</t>
  </si>
  <si>
    <t>On a release management standpoint, wherein one query will allow us to know what is released or installed for a certain period</t>
  </si>
  <si>
    <t>Most of the data stored in the FACT table consists of CLOBs related to staging records, intended for internal processing. We can skip this.</t>
  </si>
  <si>
    <t>The data in this table is for internal processing like tagging specific data (e.g., Sync Request) for batch processing (e.g., extraction). We can skip this one, as it is not for Client Users because it is not related to transactional data.</t>
  </si>
  <si>
    <t>F1_MIGR_DATA_ST</t>
  </si>
  <si>
    <t>Please see bundle.  In effect, we want to create some sort of a CM list.</t>
  </si>
  <si>
    <t xml:space="preserve">The data stored in this table is like a staging or placeholder in case a circular reference issue occurs. The actual table that will store the specific objects being applied is the F1_MIGR_TRANS. We can skip this                </t>
  </si>
  <si>
    <t>F1_MIGR_TRANS</t>
  </si>
  <si>
    <t>Process Flow record is stored so that if a user loses track while initiating the Process Flow, they can resume processing later instead of starting over from the beginning.  We can skip this.</t>
  </si>
  <si>
    <t>The stored data consists of CLOB data for internal processing. We can skip this.</t>
  </si>
  <si>
    <t>We can skip this one, as it is not for Client Users because it is not related to transactional data.</t>
  </si>
  <si>
    <t>The data is stored as CLOB data and used as staging records to ease processing by MobileLite and OCX Services.  We can skip this.</t>
  </si>
  <si>
    <t>The content is more technical than functional. This is usually being used for Bulk Asset Replication. This can be skipped</t>
  </si>
  <si>
    <t>W1_ASSET</t>
  </si>
  <si>
    <t>Asset is the equivalent for M-Side's Device Record. The only difference with Asset record is that it stores the history of the movement of the Asset from the Storage Location until its installed to actual SP / Location. This is helpful for the Clients as it allows them to fetch available Assets from the Storeroom that can be installed at an available location.</t>
  </si>
  <si>
    <t>The content is more technical than functional. Tables stores the Event Processes of an Asset Activity</t>
  </si>
  <si>
    <t>We have not used this at all. Most of the processing is in the D1 tables</t>
  </si>
  <si>
    <t>W1_NODE</t>
  </si>
  <si>
    <t xml:space="preserve">Equivalent of CCB and MDM's SP Data but have specific data for the Stockroom/Receiving Location. </t>
  </si>
  <si>
    <t>Node (Location) is the equiavalent for M-Side's SP Record. The only difference with Node record is that it stores the Out of Service Locations (e.g. Storeroom). This is helpful for the Clients as it allows them to fetch Ouf of Service Locations where new Assets can be stored into.</t>
  </si>
  <si>
    <t>The content is more technical than functional. This is more on a Template Configuration. This can be skipped</t>
  </si>
  <si>
    <t>CI_ACCT_APAY</t>
  </si>
  <si>
    <t>Account Autopay</t>
  </si>
  <si>
    <t>OriginPay Convinience Fees</t>
  </si>
  <si>
    <t>Tender</t>
  </si>
  <si>
    <t>Account Alert</t>
  </si>
  <si>
    <t>Person Contact</t>
  </si>
  <si>
    <t>CMS_SA_SNAPSHOT</t>
  </si>
  <si>
    <t>Service Agreement Arrears</t>
  </si>
  <si>
    <t>Billable Charge Sas</t>
  </si>
  <si>
    <t>Cash Deposit Sas</t>
  </si>
  <si>
    <t>Loan Sas</t>
  </si>
  <si>
    <t>Non-Billed Budget Sas</t>
  </si>
  <si>
    <t>Payment Arrangement Sas</t>
  </si>
  <si>
    <t>Write Off Sas</t>
  </si>
  <si>
    <t>Budget Sas</t>
  </si>
  <si>
    <t>C1_REPRESENTATIVE</t>
  </si>
  <si>
    <t>Representative</t>
  </si>
  <si>
    <t>This will be used for the creation of Crew Based domain to measure Field Worker Performance (How many FAs can a crew complete within the Day)</t>
  </si>
  <si>
    <t>CI_BCHG_UP_EXCP</t>
  </si>
  <si>
    <t>Billable Charge Upload Exception</t>
  </si>
  <si>
    <t>This table contains information for the Billable Charge Upload Errors/Exceptions</t>
  </si>
  <si>
    <t>CI_BILL_EXCP</t>
  </si>
  <si>
    <t>Bill Exception</t>
  </si>
  <si>
    <t>This table contains information for the Bill Errors/Exceptions</t>
  </si>
  <si>
    <t>CI_BSEG_EXCP</t>
  </si>
  <si>
    <t>Bill Segment Exception</t>
  </si>
  <si>
    <t>This table contains information for the Bill Segment Errors/Exceptions</t>
  </si>
  <si>
    <t>CI_DV_TEST_EXCP</t>
  </si>
  <si>
    <t>Device Test Exception</t>
  </si>
  <si>
    <t>We will no longer be using these CCB tables in C2M, as they are from an older implementation related to Meter and FA.</t>
  </si>
  <si>
    <t>CI_MR_REM_EXCP</t>
  </si>
  <si>
    <t>Meter Read Remark Exception</t>
  </si>
  <si>
    <t>CI_NT_UP_EXCP</t>
  </si>
  <si>
    <t>Notification Upload Exception</t>
  </si>
  <si>
    <t>CI_PAY_EVT_EXCP</t>
  </si>
  <si>
    <t xml:space="preserve">	Payment Event Exception</t>
  </si>
  <si>
    <t>This table contains information for the Payment Event Errors/Exceptions</t>
  </si>
  <si>
    <t>CI_PAY_EXCP</t>
  </si>
  <si>
    <t>Payment Exception</t>
  </si>
  <si>
    <t>DEV - Ready</t>
  </si>
  <si>
    <t>This table contains information for the Payment Errors/Exceptions</t>
  </si>
  <si>
    <t>CI_TNDR_ST_EXCP</t>
  </si>
  <si>
    <t>Payment Tender Staging Exception</t>
  </si>
  <si>
    <t>N/A</t>
  </si>
  <si>
    <t>This table contains information for the Payment Tender Staging Errors/Exceptions</t>
  </si>
  <si>
    <t>D1_SP_VEE_EXCP_SNAP_DL</t>
  </si>
  <si>
    <t xml:space="preserve">	SP VEE Exception Snapshot Download</t>
  </si>
  <si>
    <t>Skip - For Review</t>
  </si>
  <si>
    <t>We are not using this. This is specifically for Oracle Utilities Analytics and BI-Oriented Configurations.</t>
  </si>
  <si>
    <t>F1_SYNC_REQ_IN_EXCP</t>
  </si>
  <si>
    <t>Inbound Sync Request Exception</t>
  </si>
  <si>
    <t>This table contains information for the Errors/Exceptions encountered during processing of Inbound Sync Request. Inbound Sync Requests are the objects being created to sync the data between CC&amp;B and MDM.</t>
  </si>
  <si>
    <t>Specific Domains</t>
  </si>
  <si>
    <t>MDM Usage (Unbilled Usage)</t>
  </si>
  <si>
    <t>M-side Usage</t>
  </si>
  <si>
    <t>Total Consumption (Billed Usage)</t>
  </si>
  <si>
    <t>MR Upload Activity</t>
  </si>
  <si>
    <t>MR Upload AMI</t>
  </si>
  <si>
    <t>Customer Information</t>
  </si>
  <si>
    <t>Checked the Business Question no request for a full profile of Account. this would be covered in D1_SP</t>
  </si>
  <si>
    <t>Customer</t>
  </si>
  <si>
    <t>Table</t>
  </si>
  <si>
    <t>Field</t>
  </si>
  <si>
    <t>Contrived Description</t>
  </si>
  <si>
    <t>CMS_D1_ACTIVITY_D1FA_BODA_VW</t>
  </si>
  <si>
    <t>APPOINTMENT_COMMENTS</t>
  </si>
  <si>
    <t>Appointment Comments</t>
  </si>
  <si>
    <t>APPOINTMENT_FLG</t>
  </si>
  <si>
    <t>Appointment Necessary</t>
  </si>
  <si>
    <t>APPOINTMENT_TAKEN_BY</t>
  </si>
  <si>
    <t>Appointment Taken By</t>
  </si>
  <si>
    <t>APPOINTMENT_TAKEN_DATE</t>
  </si>
  <si>
    <t>Appointement Taken Date</t>
  </si>
  <si>
    <t>CMS_D1_SP_BODA_VW</t>
  </si>
  <si>
    <t>SVC_QTY_IDNTFR_CD_ITEM_TYPE</t>
  </si>
  <si>
    <t>Item Type (SQI)</t>
  </si>
  <si>
    <t>w1_asset</t>
  </si>
  <si>
    <t>BODA VW Created (Y/N)</t>
  </si>
  <si>
    <t>BODA VW Name</t>
  </si>
  <si>
    <t>Alternate BODA VW</t>
  </si>
  <si>
    <t>N</t>
  </si>
  <si>
    <t>Y</t>
  </si>
  <si>
    <t>CMS_C1_PA_RQST_BODA_VW</t>
  </si>
  <si>
    <t>CMS_D1_ACTIVITY_D1FA_W_ML_BODA_VW</t>
  </si>
  <si>
    <t>CMS_C1_REPRESENTATIVE_BODA_VW</t>
  </si>
  <si>
    <t>CMS_CI_APPR_REQ_BODA_VW</t>
  </si>
  <si>
    <t>Environment</t>
  </si>
  <si>
    <t>Primary Key</t>
  </si>
  <si>
    <t>TST</t>
  </si>
  <si>
    <t>01211419413092</t>
  </si>
  <si>
    <t>51125812041817</t>
  </si>
  <si>
    <t>Summary</t>
  </si>
  <si>
    <t>Table Name:  D1_ACTIVITY</t>
  </si>
  <si>
    <t>Field Name</t>
  </si>
  <si>
    <t>Field Description</t>
  </si>
  <si>
    <t>Related Table</t>
  </si>
  <si>
    <t>Filter</t>
  </si>
  <si>
    <t>Join Type</t>
  </si>
  <si>
    <t>Reviewer Notes</t>
  </si>
  <si>
    <t>D1_ACTIVITY_ID</t>
  </si>
  <si>
    <t>Activity ID</t>
  </si>
  <si>
    <t>BUS_OBJ_CD</t>
  </si>
  <si>
    <t>Business Object</t>
  </si>
  <si>
    <t>*  F1_BUS_OBJ_L</t>
  </si>
  <si>
    <t>Inner Join</t>
  </si>
  <si>
    <t>BO_STATUS_CD</t>
  </si>
  <si>
    <t>*  F1_BUS_OBJ_STATUS_L</t>
  </si>
  <si>
    <t xml:space="preserve">ACTIVITY_TYPE_CD                 </t>
  </si>
  <si>
    <t>Activity Type</t>
  </si>
  <si>
    <t>*  D1_ACTIVITY_TYPE
*  D1_ACTIVITY_TYPE_L</t>
  </si>
  <si>
    <t>ACTIVITY_TYPE_CAT_FLG = ‘D1FA’</t>
  </si>
  <si>
    <t xml:space="preserve">START_DTTM                       </t>
  </si>
  <si>
    <t>Start Date/Time</t>
  </si>
  <si>
    <t>END_DTTM</t>
  </si>
  <si>
    <t>End Date/Time</t>
  </si>
  <si>
    <t>CRE_DTTM</t>
  </si>
  <si>
    <t>Create Date/Time</t>
  </si>
  <si>
    <t>STATUS_UPD_DTTM</t>
  </si>
  <si>
    <t>Status Date/Time</t>
  </si>
  <si>
    <t xml:space="preserve">BO_STATUS_REASON_CD                    </t>
  </si>
  <si>
    <t>Status Reason</t>
  </si>
  <si>
    <t>*  F1_BUS_OBJ_STATUS_RSN_L</t>
  </si>
  <si>
    <t>Left Join</t>
  </si>
  <si>
    <t>VERSION</t>
  </si>
  <si>
    <t>Version</t>
  </si>
  <si>
    <t>EFF_DTTM</t>
  </si>
  <si>
    <t>Effective Date/Time</t>
  </si>
  <si>
    <t>FIELD_TASK_TYPE</t>
  </si>
  <si>
    <t>Field Task Type</t>
  </si>
  <si>
    <t>* F1_EXT_LOOKUP_VAL, 
* F1_EXT_LOOKUP_VAL_L</t>
  </si>
  <si>
    <t>BUS_OBJ_CD = ‘D1-FieldTaskTypeLookup’</t>
  </si>
  <si>
    <t>CANCEL_REASON</t>
  </si>
  <si>
    <t>Cancel Reason</t>
  </si>
  <si>
    <t xml:space="preserve">* F1_EXT_LOOKUP_VAL
* F1_EXT_LOOKUP_VAL_L
</t>
  </si>
  <si>
    <t>BUS_OBJ_CD = ‘D1-CancelReasonLookup’</t>
  </si>
  <si>
    <t>ILM_DT</t>
  </si>
  <si>
    <t>ILM Date</t>
  </si>
  <si>
    <t>N/A. We can ignore</t>
  </si>
  <si>
    <t>ILM_ARCH_SW</t>
  </si>
  <si>
    <t>ILM Archive Switch</t>
  </si>
  <si>
    <t>RETENTION_PERIOD</t>
  </si>
  <si>
    <t>Retention Period</t>
  </si>
  <si>
    <t>RESCHEDULE_REASON</t>
  </si>
  <si>
    <t>Reschedule Reason</t>
  </si>
  <si>
    <t xml:space="preserve">* F1_EXT_LOOKUP_VAL
* F1_EXT_LOOKUP_VAL_L
</t>
  </si>
  <si>
    <t>BUS_OBJ_CD = ‘D1-RescheduleReasonLookup’</t>
  </si>
  <si>
    <t>Left Outer</t>
  </si>
  <si>
    <t>EXPIRATION_DTTM</t>
  </si>
  <si>
    <t>Expiration Date Time</t>
  </si>
  <si>
    <t>BO_DATA_AREA</t>
  </si>
  <si>
    <t>TBD. Left Outer if we are going to use a View to get the BO_DATA_AREA values</t>
  </si>
  <si>
    <t xml:space="preserve">D11_ACTIVITY_REL
</t>
  </si>
  <si>
    <t>PARENT_ACTIVITY_ID</t>
  </si>
  <si>
    <t>Parent Activity ID</t>
  </si>
  <si>
    <t xml:space="preserve">* D1_ACTIVITY_REL
</t>
  </si>
  <si>
    <t>ACTIVITY_REL_TYPE_FLG = ‘D1PR’</t>
  </si>
  <si>
    <t>Service Point</t>
  </si>
  <si>
    <t>* D1_ACTIVITY_REL_OBJ
* D1_SP</t>
  </si>
  <si>
    <t>MAINT_OBJ_CD = ‘D1-SP’
ACTIVITY_REL_OBJ_TYPE_FLG = ‘D1RO’</t>
  </si>
  <si>
    <t>D1_SP_TYPE_CD</t>
  </si>
  <si>
    <t>Service Point Type</t>
  </si>
  <si>
    <t>* D1_SP
* D1_SP_TYPE_L</t>
  </si>
  <si>
    <t>APPOINTMENT_WINDOW_START_DTTM</t>
  </si>
  <si>
    <t>Appointment Window Start Date/Time</t>
  </si>
  <si>
    <t>APPOINTMENT_WINDOW_END_DTTM</t>
  </si>
  <si>
    <t>Appointment Window End Date/Time</t>
  </si>
  <si>
    <t>D1_TAKEN_BY</t>
  </si>
  <si>
    <t>D1_TAKEN_DATE</t>
  </si>
  <si>
    <t>Appointment Taken Date</t>
  </si>
  <si>
    <t>D1_COMMENT</t>
  </si>
  <si>
    <t>Appointment Comment</t>
  </si>
  <si>
    <t>CR_RECIPIENT</t>
  </si>
  <si>
    <t>Recipient</t>
  </si>
  <si>
    <t xml:space="preserve">* D1_ACTIVITY_REL_OBJ
* D1_SPR_L
</t>
  </si>
  <si>
    <t>MAINT_OBJ_CD = ‘D1-SVCPROVDR’
ACTIVITY_REL_OBJ_TYPE_FLG = ‘D1RC’</t>
  </si>
  <si>
    <t>COMMENTS</t>
  </si>
  <si>
    <t>Comments</t>
  </si>
  <si>
    <t>D1_INSTRUCTIONS</t>
  </si>
  <si>
    <t>Instructions</t>
  </si>
  <si>
    <t>D1_DEVICE_ID</t>
  </si>
  <si>
    <t>Device ID</t>
  </si>
  <si>
    <t xml:space="preserve">* D1_ACTIVITY_REL_OBJ
* D1_DVC
</t>
  </si>
  <si>
    <t>MAINT_OBJ_CD = ‘D1-DEVICE’</t>
  </si>
  <si>
    <t>DEVICE_TYPE_CD</t>
  </si>
  <si>
    <t>Device Type</t>
  </si>
  <si>
    <t>* D1_DVC 
* D1_DVC_TYPE
* D1_DVC_TYPE_L</t>
  </si>
  <si>
    <t>D1_BADGE_NBR</t>
  </si>
  <si>
    <t>Badge Number</t>
  </si>
  <si>
    <t xml:space="preserve">* D1_DVC
* D1_DVC_IDENTIFIER
</t>
  </si>
  <si>
    <t>DVC_ID_TYPE_FLG = ‘D1BN’</t>
  </si>
  <si>
    <t>CR_REQUESTER</t>
  </si>
  <si>
    <t>Requester</t>
  </si>
  <si>
    <t>CR_RQSTR_TRAN_ID</t>
  </si>
  <si>
    <t>Requester Transaction ID</t>
  </si>
  <si>
    <t>* D1_ACTIVITY_IDENTIFIER</t>
  </si>
  <si>
    <t>ACTIVITY_ID_TYPE_FLG = ‘D1RI’</t>
  </si>
  <si>
    <t>EXT_REFERENCE_ID</t>
  </si>
  <si>
    <t>External Reference ID</t>
  </si>
  <si>
    <t>TBD.Left Join if we are going to use a View to get the BO_DATA_AREA values</t>
  </si>
  <si>
    <t>ADDRESS1_UPR</t>
  </si>
  <si>
    <t>Address</t>
  </si>
  <si>
    <t>Additional info outside D1_ACTIVITY</t>
  </si>
  <si>
    <t>CITY_UPPER</t>
  </si>
  <si>
    <t>City</t>
  </si>
  <si>
    <t>COUNTY</t>
  </si>
  <si>
    <t>County</t>
  </si>
  <si>
    <t>POSTAL</t>
  </si>
  <si>
    <t>Postal</t>
  </si>
  <si>
    <t>STATE</t>
  </si>
  <si>
    <t>State</t>
  </si>
  <si>
    <t>COUNTRY</t>
  </si>
  <si>
    <t>Country</t>
  </si>
  <si>
    <t>D1_GEO_LAT</t>
  </si>
  <si>
    <t>Geographic Latitude</t>
  </si>
  <si>
    <t>D1_GEO_LONG</t>
  </si>
  <si>
    <t>Geographic Longitude</t>
  </si>
  <si>
    <t>D1_CONT_EXTERNAL_ID</t>
  </si>
  <si>
    <t>Person ID</t>
  </si>
  <si>
    <t>D1_CUSTOMERNAME</t>
  </si>
  <si>
    <t>Customer Name</t>
  </si>
  <si>
    <t>D1_CONTACTNAME</t>
  </si>
  <si>
    <t>Contact Name</t>
  </si>
  <si>
    <t>D1_MAINPHONE</t>
  </si>
  <si>
    <t>Main Phone</t>
  </si>
  <si>
    <t>D1_CELLPHONE</t>
  </si>
  <si>
    <t>Cell Phone</t>
  </si>
  <si>
    <t>EMAIL_VALUE</t>
  </si>
  <si>
    <t xml:space="preserve">Email </t>
  </si>
  <si>
    <t>EXTERNAL_ACCT_ID</t>
  </si>
  <si>
    <t>Account ID</t>
  </si>
  <si>
    <t>* F1_BUS_OBJ_L</t>
  </si>
  <si>
    <t>* F1_BUS_OBJ_STATUS_L</t>
  </si>
  <si>
    <t>* D1_ACTIVITY_TYPE
* D1_ACTIVITY_TYPE_L</t>
  </si>
  <si>
    <t>* F1_BUS_OBJ_STATUS_RSN_L</t>
  </si>
  <si>
    <t>* F1_EXT_LOOKUP_VAL
* F1_EXT_LOOKUP_VAL_L</t>
  </si>
  <si>
    <t>Data Area:  D1-FieldActivity</t>
  </si>
  <si>
    <t>Related Table / XPAth</t>
  </si>
  <si>
    <t xml:space="preserve">ACTIVITY_TYPE_CD              </t>
  </si>
  <si>
    <t>D1_ACTIVITY_TYPE_L</t>
  </si>
  <si>
    <t>ACTIVITY_TYPE_CAT_FLG = 'D1FA'</t>
  </si>
  <si>
    <t xml:space="preserve">BO_DATA_AREA                  </t>
  </si>
  <si>
    <t>Business Object Data Area</t>
  </si>
  <si>
    <t xml:space="preserve">BO_STATUS_CD                  </t>
  </si>
  <si>
    <t>F1_BUS_OBJ_STATUS_L</t>
  </si>
  <si>
    <t xml:space="preserve">BO_STATUS_REASON_CD           </t>
  </si>
  <si>
    <t>F1_BUS_OBJ_STATUS_RSN_L</t>
  </si>
  <si>
    <t xml:space="preserve">BUS_OBJ_CD                    </t>
  </si>
  <si>
    <t>F1_BUS_OBJ_L</t>
  </si>
  <si>
    <t xml:space="preserve">CANCEL_REASON                 </t>
  </si>
  <si>
    <t>F1_EXT_LOOKUP_VAL_L</t>
  </si>
  <si>
    <t>BUS_OBJ_CD = 'D1-CancelReasonLookup'</t>
  </si>
  <si>
    <t xml:space="preserve">CRE_DTTM                      </t>
  </si>
  <si>
    <t xml:space="preserve">D1_ACTIVITY_ID                </t>
  </si>
  <si>
    <t xml:space="preserve">EFF_DTTM                      </t>
  </si>
  <si>
    <t xml:space="preserve">END_DTTM                      </t>
  </si>
  <si>
    <t xml:space="preserve">FIELD_TASK_TYPE               </t>
  </si>
  <si>
    <t>BUS_OBJ_CD = 'D1-FieldTaskTypeLookup'</t>
  </si>
  <si>
    <t xml:space="preserve">ILM_ARCH_SW                   </t>
  </si>
  <si>
    <t xml:space="preserve">ILM_DT                        </t>
  </si>
  <si>
    <t xml:space="preserve">RESCHEDULE_REASON             </t>
  </si>
  <si>
    <t>BUS_OBJ_CD = 'D1-RescheduleReasonLookup'</t>
  </si>
  <si>
    <t xml:space="preserve">RETENTION_PERIOD              </t>
  </si>
  <si>
    <t xml:space="preserve">START_DTTM                    </t>
  </si>
  <si>
    <t xml:space="preserve">STATUS_UPD_DTTM               </t>
  </si>
  <si>
    <t xml:space="preserve">VERSION                       </t>
  </si>
  <si>
    <t xml:space="preserve">D1_ACTIVITY_REL  (linkage)             </t>
  </si>
  <si>
    <t xml:space="preserve">ACTIVITY_REL_TYPE_FLG         </t>
  </si>
  <si>
    <t>Activity Relationship Type</t>
  </si>
  <si>
    <t>FIELD_NAME = 'ACTIVITY_REL_TYPE_FLG'
Field_VALUE = parent</t>
  </si>
  <si>
    <t xml:space="preserve">REL_ACTIVITY_ID               </t>
  </si>
  <si>
    <t>Related Activity</t>
  </si>
  <si>
    <t>Right Outer</t>
  </si>
  <si>
    <t xml:space="preserve">D1_ACTIVITY_REL_OBJ (linkage to D1_SP)          </t>
  </si>
  <si>
    <t xml:space="preserve">ACTIVITY_REL_OBJ_TYPE_FLG     </t>
  </si>
  <si>
    <t>Activity Related Object Type</t>
  </si>
  <si>
    <t>ACTIVITY_REL_OBJ_TYPE_FLG = 'D1RO'</t>
  </si>
  <si>
    <t xml:space="preserve">MAINT_OBJ_CD                  </t>
  </si>
  <si>
    <t>Maintenance Object</t>
  </si>
  <si>
    <t>CI_MD_MO_L</t>
  </si>
  <si>
    <t>MAINT_OBJ_CD = 'D1-SP'</t>
  </si>
  <si>
    <t xml:space="preserve">PK_VALUE1                     </t>
  </si>
  <si>
    <t>Primary Key 1</t>
  </si>
  <si>
    <t xml:space="preserve">PK_VALUE2                     </t>
  </si>
  <si>
    <t>Primary Key 2</t>
  </si>
  <si>
    <t xml:space="preserve">PK_VALUE3                     </t>
  </si>
  <si>
    <t>Primary Key 3</t>
  </si>
  <si>
    <t xml:space="preserve">PK_VALUE4                     </t>
  </si>
  <si>
    <t>Primary Key 4</t>
  </si>
  <si>
    <t xml:space="preserve">PK_VALUE5                     </t>
  </si>
  <si>
    <t>Primary Key 5</t>
  </si>
  <si>
    <t>Appointment</t>
  </si>
  <si>
    <t>Appointment End Date Time</t>
  </si>
  <si>
    <t>Appointment Window Date Time</t>
  </si>
  <si>
    <t>CR_REQUESTER_USER</t>
  </si>
  <si>
    <t>Requester User</t>
  </si>
  <si>
    <t>SC_USER</t>
  </si>
  <si>
    <t>Contact External ID</t>
  </si>
  <si>
    <t>Email</t>
  </si>
  <si>
    <t>Expiration Date/Time</t>
  </si>
  <si>
    <t>External Account ID</t>
  </si>
  <si>
    <t>CM_ML_IS_PICKUP_FLG</t>
  </si>
  <si>
    <t>Pickup Order</t>
  </si>
  <si>
    <t xml:space="preserve">ACCESS_GRP_CD                 </t>
  </si>
  <si>
    <t>Access Group</t>
  </si>
  <si>
    <t>CI_ACC_GRP_L</t>
  </si>
  <si>
    <t xml:space="preserve">ADDRESS1                      </t>
  </si>
  <si>
    <t xml:space="preserve">ADDRESS1_UPPER                </t>
  </si>
  <si>
    <t>Address Line 1 Upper Case</t>
  </si>
  <si>
    <t xml:space="preserve">ADDRESS2                      </t>
  </si>
  <si>
    <t>Address 2</t>
  </si>
  <si>
    <t xml:space="preserve">ADDRESS3                      </t>
  </si>
  <si>
    <t>Address 3</t>
  </si>
  <si>
    <t xml:space="preserve">ADDRESS4                      </t>
  </si>
  <si>
    <t>Address 4</t>
  </si>
  <si>
    <t xml:space="preserve">CITY                          </t>
  </si>
  <si>
    <t xml:space="preserve">CITY_UPPER                    </t>
  </si>
  <si>
    <t>City Upper Case</t>
  </si>
  <si>
    <t xml:space="preserve">COUNTRY                       </t>
  </si>
  <si>
    <t xml:space="preserve">COUNTY                        </t>
  </si>
  <si>
    <t xml:space="preserve">D1_ABOLISH_DT                 </t>
  </si>
  <si>
    <t>Abolish Date</t>
  </si>
  <si>
    <t xml:space="preserve">D1_GEO_LAT                    </t>
  </si>
  <si>
    <t xml:space="preserve">D1_GEO_LONG                   </t>
  </si>
  <si>
    <t xml:space="preserve">D1_INSTALL_DT                 </t>
  </si>
  <si>
    <t>Install Date</t>
  </si>
  <si>
    <t xml:space="preserve">D1_LS_SL_DESCR                </t>
  </si>
  <si>
    <t>Description</t>
  </si>
  <si>
    <t xml:space="preserve">D1_LS_SL_FLG                  </t>
  </si>
  <si>
    <t>Life Support / Sensitive Load</t>
  </si>
  <si>
    <t xml:space="preserve">D1_SP_ID                      </t>
  </si>
  <si>
    <t>Service Point ID</t>
  </si>
  <si>
    <t>D1_ACTIVITY_REL_OBJ.PK_VALUE1</t>
  </si>
  <si>
    <t xml:space="preserve">D1_SP_TYPE_CD                 </t>
  </si>
  <si>
    <t>D1_SP_TYPE_L</t>
  </si>
  <si>
    <t xml:space="preserve">DISCONN_LOC_FLG               </t>
  </si>
  <si>
    <t>Disconnect Location</t>
  </si>
  <si>
    <t>CI_LOOKUP_VAL_L</t>
  </si>
  <si>
    <t>FieldName = 'DISCONN_LOC_FLG'</t>
  </si>
  <si>
    <t xml:space="preserve">DIVISION_CD                   </t>
  </si>
  <si>
    <t>Division</t>
  </si>
  <si>
    <t xml:space="preserve">GEO_CODE                      </t>
  </si>
  <si>
    <t>Geographical Code</t>
  </si>
  <si>
    <t xml:space="preserve">HOUSE_TYPE                    </t>
  </si>
  <si>
    <t>House Type</t>
  </si>
  <si>
    <t xml:space="preserve">IN_CITY_LIMIT                 </t>
  </si>
  <si>
    <t>In City Limit</t>
  </si>
  <si>
    <t xml:space="preserve">MKT_CD                        </t>
  </si>
  <si>
    <t>Market</t>
  </si>
  <si>
    <t>D1_MKT_L</t>
  </si>
  <si>
    <t xml:space="preserve">MSRMT_CYC_CD                  </t>
  </si>
  <si>
    <t>Measurement Cycle</t>
  </si>
  <si>
    <t>D1_MSRMT_CYC_L</t>
  </si>
  <si>
    <t xml:space="preserve">MSRMT_CYC_RTE_CD              </t>
  </si>
  <si>
    <t>Route</t>
  </si>
  <si>
    <t>D1_MSMRT_CYC_RTE_L</t>
  </si>
  <si>
    <t xml:space="preserve">MSRMT_CYC_RTE_SEQ             </t>
  </si>
  <si>
    <t>Sequence</t>
  </si>
  <si>
    <t xml:space="preserve">NUM1                          </t>
  </si>
  <si>
    <t>Number 1</t>
  </si>
  <si>
    <t xml:space="preserve">NUM2                          </t>
  </si>
  <si>
    <t>Number 2</t>
  </si>
  <si>
    <t xml:space="preserve">POSTAL                        </t>
  </si>
  <si>
    <t xml:space="preserve">SP_SRC_STAT_FLG               </t>
  </si>
  <si>
    <t>Source Status</t>
  </si>
  <si>
    <t>FIeldName = 'SP_SRC_STAT_FLG'</t>
  </si>
  <si>
    <t xml:space="preserve">STATE                         </t>
  </si>
  <si>
    <t>CI_STATE_L</t>
  </si>
  <si>
    <t xml:space="preserve">TIME_ZONE_CD                  </t>
  </si>
  <si>
    <t>Time Zone</t>
  </si>
  <si>
    <t>CI_TIME_ZONE_L</t>
  </si>
  <si>
    <t>Is Pickup Order</t>
  </si>
  <si>
    <t>*  BO_DATA_AREA
*  CI_LOOKUP_VAL
*  CI_LOOKUP_VAL_L</t>
  </si>
  <si>
    <t>FIELD_NAME = ‘F1_YESNO_FLG’</t>
  </si>
  <si>
    <t xml:space="preserve">TBD.Left Join if we are going to use a View to get the BO_DATA_AREA values
*** This will be introduced on 25.1 Release
</t>
  </si>
  <si>
    <t>Mobile Lite Details</t>
  </si>
  <si>
    <t>D1_ACTIVITY_CHAR</t>
  </si>
  <si>
    <t>FA_PRIORITY_FLG</t>
  </si>
  <si>
    <t>Field Activity Priority</t>
  </si>
  <si>
    <t>*  D1_ACTIVITY_CHAR
*  CI_LOOKUP_VAL
*  CI_LOOKUP_VAL_L</t>
  </si>
  <si>
    <t>CHAR_TYPE_CD = ‘CMFAPRIO’
FIELD_NAME = ‘FA_PRIORITY_FLG’</t>
  </si>
  <si>
    <t>FA_INT_STATUS_FLG</t>
  </si>
  <si>
    <t>Intermediate Status</t>
  </si>
  <si>
    <t xml:space="preserve">*  D1_ACTIVITY_CHAR
*  CI_LOOKUP_VAL
*  CI_LOOKUP_VAL_L
</t>
  </si>
  <si>
    <t>CHAR_TYPE_CD = ‘CMFAINST’
FIELD_NAME = ‘FA_INT_STATUS_FLG’</t>
  </si>
  <si>
    <t>THRD_PTY_REP_CD</t>
  </si>
  <si>
    <t>*  D1_ACTIVITY_CHAR
*  C1_REPRESENTATIVE
*  C1_REPRESENTATIVE_L</t>
  </si>
  <si>
    <t>CHAR_TYPE_CD = ‘CMFAREP ’</t>
  </si>
  <si>
    <t>CM_ML_SVC_AREA</t>
  </si>
  <si>
    <t>Service Area</t>
  </si>
  <si>
    <t>*  D1_ACTIVITY_CHAR
*  F1_EXT_LOOKUP_VAL
*  F1_EXT_LOOKUP_VAL_L</t>
  </si>
  <si>
    <t>CHAR_TYPE_CD = ‘CMMLSVAR’
BUS_OBJ_CD = ‘CM-MLServiceArea’</t>
  </si>
  <si>
    <t>Left Join
*** This will be introduced on 25.1 Release</t>
  </si>
  <si>
    <t>Table Name:  D1_DVC</t>
  </si>
  <si>
    <t>Justification:</t>
  </si>
  <si>
    <t>Domain -&gt; Device</t>
  </si>
  <si>
    <t>Designer:</t>
  </si>
  <si>
    <t>D1_DVC - display</t>
  </si>
  <si>
    <t>done</t>
  </si>
  <si>
    <t>D1_DVC_CFG - display</t>
  </si>
  <si>
    <t>Related Table/ Xpath</t>
  </si>
  <si>
    <t>D1_INSTALL_EVT - display</t>
  </si>
  <si>
    <t xml:space="preserve">D1_DEVICE_ID                  </t>
  </si>
  <si>
    <t>D1_SP - link only</t>
  </si>
  <si>
    <t xml:space="preserve">DEVICE_TYPE_CD                </t>
  </si>
  <si>
    <t>* D1_DVC_TYPE
* D1_DVC_TYPE_L</t>
  </si>
  <si>
    <t>CI_PREM - display</t>
  </si>
  <si>
    <t>CI_ACCT - link</t>
  </si>
  <si>
    <t xml:space="preserve">MANUFACTURER_CD               </t>
  </si>
  <si>
    <t>Manufacturer</t>
  </si>
  <si>
    <t>* D1_MANUFACTURER_L</t>
  </si>
  <si>
    <t>CI_PER_NAME - display</t>
  </si>
  <si>
    <t xml:space="preserve">D1_MODEL_CD                   </t>
  </si>
  <si>
    <t>Model</t>
  </si>
  <si>
    <t>* D1_MODEL_L</t>
  </si>
  <si>
    <t>D1_SP_CONTACT</t>
  </si>
  <si>
    <t>n/a</t>
  </si>
  <si>
    <t xml:space="preserve">D1_SPR_CD                     </t>
  </si>
  <si>
    <t>Service Provider</t>
  </si>
  <si>
    <t>D1_SPR_L</t>
  </si>
  <si>
    <t xml:space="preserve">IN_DATA_SHIFT_FLG             </t>
  </si>
  <si>
    <t>Incoming Data Shift</t>
  </si>
  <si>
    <t>*  CI_LOOKUP_VAL_L</t>
  </si>
  <si>
    <t>Change to MEASUREMENT</t>
  </si>
  <si>
    <t xml:space="preserve">D1_DVC_CFG </t>
  </si>
  <si>
    <t>D1_DVC_CFG_CHAR --remove</t>
  </si>
  <si>
    <t>D1_INSTALL_EVT - link only</t>
  </si>
  <si>
    <t xml:space="preserve">ARMING_REQ_FLG                </t>
  </si>
  <si>
    <t>Arming Required</t>
  </si>
  <si>
    <t xml:space="preserve">
Field = ARMING_REQ_FLG</t>
  </si>
  <si>
    <t>D1_MEASR_COMP - display</t>
  </si>
  <si>
    <t xml:space="preserve">HEAD_END_REGISTR_STATUS_FLG   </t>
  </si>
  <si>
    <t>Head-End Registration Status</t>
  </si>
  <si>
    <t>* CI_LOOKUP_VAL_L</t>
  </si>
  <si>
    <t>Field = HEAD_END_REGISTR_STATUS_FLG</t>
  </si>
  <si>
    <t>D1_MSRMT - display</t>
  </si>
  <si>
    <t xml:space="preserve">D1_CMD_SET_CD                 </t>
  </si>
  <si>
    <t>Command Set</t>
  </si>
  <si>
    <t>* D1_COMMAND_SET_L</t>
  </si>
  <si>
    <t>* CI_ACC_GRP_L</t>
  </si>
  <si>
    <t>Device Events</t>
  </si>
  <si>
    <t>* F1_BUS_OBJ_STATUS_L
* latestBoStatus</t>
  </si>
  <si>
    <t>This information is stored on BO_DATA_AREA. Not all records have this value</t>
  </si>
  <si>
    <t>D1_DVC_EVT -display</t>
  </si>
  <si>
    <t>RETIREMENT_DTTM</t>
  </si>
  <si>
    <t>Retirement Date/Time</t>
  </si>
  <si>
    <t>* retirementDateTime</t>
  </si>
  <si>
    <t>D1_DVC_IDENTIFIER</t>
  </si>
  <si>
    <t>DVC_ID_TYPE_FLG</t>
  </si>
  <si>
    <t>Device Identifier Type</t>
  </si>
  <si>
    <t>Field = DVC_ID_TYPE_FLG</t>
  </si>
  <si>
    <t>ID_VALUE</t>
  </si>
  <si>
    <t>Identifier Value</t>
  </si>
  <si>
    <t>* D1_DVC_IDENTIFIER</t>
  </si>
  <si>
    <t>DVC_ID_TYPE_FLG = D1BN</t>
  </si>
  <si>
    <t>MDM Usage - not needed included in CI_BSEG_SQ Domain</t>
  </si>
  <si>
    <t>D1_DVC_CFG</t>
  </si>
  <si>
    <t>DEVICE_CONFIG_ID</t>
  </si>
  <si>
    <t>* D1_DVC</t>
  </si>
  <si>
    <t>Retrieve using Device Id</t>
  </si>
  <si>
    <t>DEVICE_CONFIG_TYPE_CD</t>
  </si>
  <si>
    <t>Device Configuration Type</t>
  </si>
  <si>
    <t>* D1_DVC_CFG_TYPE_L</t>
  </si>
  <si>
    <t>* F1_BUS_OBJ</t>
  </si>
  <si>
    <t>D1_USAGE_PERIOD_SQ</t>
  </si>
  <si>
    <t>INSTALL_EVT_ID</t>
  </si>
  <si>
    <t>Install Event ID</t>
  </si>
  <si>
    <t>* D1_DVC_CFG</t>
  </si>
  <si>
    <t>Retrieve using Device Config Id</t>
  </si>
  <si>
    <t>BUS_OBJ_CD in D1-ItemInstallEvent,D1-ManualMeterInstallEvent,D1-SmartMeterInstallEvent</t>
  </si>
  <si>
    <t>D1_INSTALL_DTTM</t>
  </si>
  <si>
    <t>Install Date/Time</t>
  </si>
  <si>
    <t>Retrieve the latest install date</t>
  </si>
  <si>
    <t>D1_REMOVAL_DTTM</t>
  </si>
  <si>
    <t>Removal Date/Time</t>
  </si>
  <si>
    <t>Retrieve the latest removal date</t>
  </si>
  <si>
    <t>D1_SP - TBD check if can be included on the Customer Information</t>
  </si>
  <si>
    <t>D1_SP_CONTACT - add to device</t>
  </si>
  <si>
    <t>FROM JACOB</t>
  </si>
  <si>
    <t>D1_SP_IDENTIFIER</t>
  </si>
  <si>
    <t xml:space="preserve">ARM_STAT_FLG                  </t>
  </si>
  <si>
    <t>Arming Status</t>
  </si>
  <si>
    <t>D1_INSTALL_EVT - to display</t>
  </si>
  <si>
    <t>D1_US - TBD for now</t>
  </si>
  <si>
    <t>D1_US_IDENTIFIER</t>
  </si>
  <si>
    <t>D1_US_CONTACT</t>
  </si>
  <si>
    <t xml:space="preserve">D1_INSTALL_DTTM               </t>
  </si>
  <si>
    <t>Installation Date/Time</t>
  </si>
  <si>
    <t>D1_US_SP</t>
  </si>
  <si>
    <t xml:space="preserve">D1_REMOVAL_DTTM               </t>
  </si>
  <si>
    <t>CI_SA</t>
  </si>
  <si>
    <t xml:space="preserve">DEVICE_CONFIG_ID              </t>
  </si>
  <si>
    <t xml:space="preserve">INSTALLATION_CONST            </t>
  </si>
  <si>
    <t>Installation Constant</t>
  </si>
  <si>
    <t xml:space="preserve">INSTALL_EVT_ID                </t>
  </si>
  <si>
    <t>D1_USAGE_EXCP_CHAR - need to be verified</t>
  </si>
  <si>
    <t>INSTALL EVT - not needed included in Measurement Domain</t>
  </si>
  <si>
    <t xml:space="preserve">DEVICE_CONFIG_TYPE_CD         </t>
  </si>
  <si>
    <t>D1_DVC_CFG_L</t>
  </si>
  <si>
    <t>IMD - remove</t>
  </si>
  <si>
    <t>D1_VEE_EXCP - on a separate domain</t>
  </si>
  <si>
    <t>D1_MEASR_COMP  - not needed included in Measurement Domain</t>
  </si>
  <si>
    <t>D1_MSRMT - not needed included in Measurement Domain</t>
  </si>
  <si>
    <t>D1_MSRMT_LOG - not needed included in Measurement Domain</t>
  </si>
  <si>
    <t>* CI_TIME_ZONE_L</t>
  </si>
  <si>
    <t>*CI_ACC_GRP_L</t>
  </si>
  <si>
    <t>* CI_COUNTRY_L</t>
  </si>
  <si>
    <t>* CI_STATE_L</t>
  </si>
  <si>
    <t>*  CI_LOOKUP_VAL
*  CI_LOOKUP_VAL_L</t>
  </si>
  <si>
    <t xml:space="preserve"> * D1_INSTALL_EVT</t>
  </si>
  <si>
    <t>D1_SP_ID</t>
  </si>
  <si>
    <t xml:space="preserve">DIVISION_CD </t>
  </si>
  <si>
    <t>D1_DIVISION_L</t>
  </si>
  <si>
    <t>D1_MSRMT_CYC_RTE_L</t>
  </si>
  <si>
    <t>-</t>
  </si>
  <si>
    <t>* D1_SP_TYPE
* D1_SP_TYPE_L</t>
  </si>
  <si>
    <t xml:space="preserve">ID_VALUE                      </t>
  </si>
  <si>
    <t xml:space="preserve">SP_ID_TYPE_FLG                </t>
  </si>
  <si>
    <t>Service Point Identifier Type</t>
  </si>
  <si>
    <t>D1EP, D1EI</t>
  </si>
  <si>
    <t>Filter by the D1EP to retrieve the Premise Id
Filter by D1EI to retrieve the CCB SP Id</t>
  </si>
  <si>
    <t xml:space="preserve">ADDRESS1_UPR                  </t>
  </si>
  <si>
    <t>Address Uppercase</t>
  </si>
  <si>
    <t xml:space="preserve">CIS_DIVISION                  </t>
  </si>
  <si>
    <t>CIS Division</t>
  </si>
  <si>
    <t xml:space="preserve">CITY_UPR                      </t>
  </si>
  <si>
    <t>City Uppercase</t>
  </si>
  <si>
    <t xml:space="preserve">KEY_ID                        </t>
  </si>
  <si>
    <t>Key ID</t>
  </si>
  <si>
    <t xml:space="preserve">KEY_SW                        </t>
  </si>
  <si>
    <t>Key</t>
  </si>
  <si>
    <t xml:space="preserve">LL_ID                         </t>
  </si>
  <si>
    <t>Landlord Agreement ID</t>
  </si>
  <si>
    <t xml:space="preserve">LS_SL_DESCR                   </t>
  </si>
  <si>
    <t xml:space="preserve">LS_SL_FLG                     </t>
  </si>
  <si>
    <t xml:space="preserve">MAIL_ADDR_SW                  </t>
  </si>
  <si>
    <t>Mailing Address</t>
  </si>
  <si>
    <t xml:space="preserve">MR_INSTR_CD                   </t>
  </si>
  <si>
    <t>Meter Read Instruction</t>
  </si>
  <si>
    <t xml:space="preserve">MR_INSTR_DETAILS              </t>
  </si>
  <si>
    <t>Instruction Details</t>
  </si>
  <si>
    <t xml:space="preserve">MR_WARN_CD                    </t>
  </si>
  <si>
    <t>Meter Read Warning</t>
  </si>
  <si>
    <t xml:space="preserve">OK_TO_ENTER_SW                </t>
  </si>
  <si>
    <t>OK to Enter</t>
  </si>
  <si>
    <t xml:space="preserve">PREM_DATA_AREA                </t>
  </si>
  <si>
    <t>Premise Data Area</t>
  </si>
  <si>
    <t xml:space="preserve">PREM_ID                       </t>
  </si>
  <si>
    <t>Premise ID</t>
  </si>
  <si>
    <t>Retrieve the Premise Id from the D1_SP_Identifier table</t>
  </si>
  <si>
    <t xml:space="preserve">PREM_TYPE_CD                  </t>
  </si>
  <si>
    <t>Premise Type</t>
  </si>
  <si>
    <t xml:space="preserve">PRNT_PREM_ID                  </t>
  </si>
  <si>
    <t>Parent Premise ID</t>
  </si>
  <si>
    <t xml:space="preserve">TREND_AREA_CD                 </t>
  </si>
  <si>
    <t>Trend Area</t>
  </si>
  <si>
    <t> </t>
  </si>
  <si>
    <t>* D1_DVC_CFG_TYPE
* D1_DVC_CFG_TYPE_L</t>
  </si>
  <si>
    <t>Adhoc Filter</t>
  </si>
  <si>
    <t>No element is stored on this field.</t>
  </si>
  <si>
    <t>Inner</t>
  </si>
  <si>
    <t>BO_STATUS_CD IN ('ON','CONN-COMM')</t>
  </si>
  <si>
    <t>This would retrieve all the devices that were installed/removed to an SP</t>
  </si>
  <si>
    <t>Retrieve the Removal Type, Crew from the CLOB that could be used as reference</t>
  </si>
  <si>
    <t>BODA_VIEW</t>
  </si>
  <si>
    <t>EVT_DTTM</t>
  </si>
  <si>
    <t>Date/Time</t>
  </si>
  <si>
    <t>eventDateTime</t>
  </si>
  <si>
    <t>latestBoStatus</t>
  </si>
  <si>
    <t>REMOVAL_TYPE_FLG</t>
  </si>
  <si>
    <t xml:space="preserve">
Removal Type</t>
  </si>
  <si>
    <t>Field = REMOVAL_TYPE_FLG</t>
  </si>
  <si>
    <t>possible not to be used</t>
  </si>
  <si>
    <t>CREW</t>
  </si>
  <si>
    <t>* D1_SP</t>
  </si>
  <si>
    <t xml:space="preserve">ADJ_LATEST_MSRMT_DTTM         </t>
  </si>
  <si>
    <t>Adjust Latest Measurement Date/Time</t>
  </si>
  <si>
    <t xml:space="preserve">ATTR_VAL_ID                   </t>
  </si>
  <si>
    <t>Attribute Value ID</t>
  </si>
  <si>
    <t>* D1_ATTR_VAL</t>
  </si>
  <si>
    <t>MEASR_COMP_ID</t>
  </si>
  <si>
    <t>To check</t>
  </si>
  <si>
    <t>READ_OUT_TYPE_FLG</t>
  </si>
  <si>
    <t>D1_TOLERANCE</t>
  </si>
  <si>
    <t>IGNORE_INST_CONST_FLG</t>
  </si>
  <si>
    <t xml:space="preserve">D1_FULL_SCALE                 </t>
  </si>
  <si>
    <t>Full Scale</t>
  </si>
  <si>
    <t xml:space="preserve">D1_NBR_OF_DGTS_LFT            </t>
  </si>
  <si>
    <t>Number of Digits Left</t>
  </si>
  <si>
    <t xml:space="preserve">D1_NBR_OF_DGTS_RGT            </t>
  </si>
  <si>
    <t>Number of Digits Right</t>
  </si>
  <si>
    <t xml:space="preserve">D1_READ_SEQ                   </t>
  </si>
  <si>
    <t>Read Sequence</t>
  </si>
  <si>
    <t xml:space="preserve">LATEST_MSRMT_DTTM             </t>
  </si>
  <si>
    <t>Latest Measurement Date/Time</t>
  </si>
  <si>
    <t xml:space="preserve">MEASR_COMP_ID                 </t>
  </si>
  <si>
    <t>Measuring Component ID</t>
  </si>
  <si>
    <t xml:space="preserve">MEASR_COMP_MULTIPLIER         </t>
  </si>
  <si>
    <t>Measuring Component Multiplier</t>
  </si>
  <si>
    <t xml:space="preserve">MEASR_COMP_TYPE_CD            </t>
  </si>
  <si>
    <t>Measuring Component Type</t>
  </si>
  <si>
    <t>* D1_MEASR_COMP_TYPE</t>
  </si>
  <si>
    <t xml:space="preserve">MEASR_COMP_USAGE_FLG          </t>
  </si>
  <si>
    <t>How To Use</t>
  </si>
  <si>
    <t xml:space="preserve">MOST_RECENT_MSRMT_DTTM        </t>
  </si>
  <si>
    <t>Most Recent Read Date/Time</t>
  </si>
  <si>
    <t>MOST_RECENT_MSRMT_READING_COND</t>
  </si>
  <si>
    <t>Most Recent Read Condition</t>
  </si>
  <si>
    <t xml:space="preserve">MOST_RECENT_MSRMT_READING_VAL </t>
  </si>
  <si>
    <t>Most Recent Read Value</t>
  </si>
  <si>
    <t>MOST_RECENT_NON_EST_MSRMT_DTTM</t>
  </si>
  <si>
    <t>Most Recent Non Estimated Read Date/Time</t>
  </si>
  <si>
    <t xml:space="preserve">USER_ID                       </t>
  </si>
  <si>
    <t>User</t>
  </si>
  <si>
    <t>* SC_USER</t>
  </si>
  <si>
    <t xml:space="preserve">COMBINED_MULTIPLIER           </t>
  </si>
  <si>
    <t>Combined Multiplier</t>
  </si>
  <si>
    <t xml:space="preserve">LAST_UPDATE_DTTM              </t>
  </si>
  <si>
    <t>Last Update Timestamp</t>
  </si>
  <si>
    <t>* D1_MEASR_COMP</t>
  </si>
  <si>
    <t xml:space="preserve">MSRMT_COND_FLG                </t>
  </si>
  <si>
    <t>Condition</t>
  </si>
  <si>
    <t xml:space="preserve">MSRMT_DTTM                    </t>
  </si>
  <si>
    <t>Measurement Date/Time</t>
  </si>
  <si>
    <t xml:space="preserve">MSRMT_LOCAL_DTTM              </t>
  </si>
  <si>
    <t>Local Date/Time</t>
  </si>
  <si>
    <t xml:space="preserve">MSRMT_USE_FLG                 </t>
  </si>
  <si>
    <t>Measurement Use</t>
  </si>
  <si>
    <t xml:space="preserve">MSRMT_VAL                     </t>
  </si>
  <si>
    <t xml:space="preserve">MSRMT_VAL1                    </t>
  </si>
  <si>
    <t>Value 1</t>
  </si>
  <si>
    <t xml:space="preserve">MSRMT_VAL10                   </t>
  </si>
  <si>
    <t>Value 10</t>
  </si>
  <si>
    <t xml:space="preserve">MSRMT_VAL2                    </t>
  </si>
  <si>
    <t>Value 2</t>
  </si>
  <si>
    <t xml:space="preserve">MSRMT_VAL3                    </t>
  </si>
  <si>
    <t>Value 3</t>
  </si>
  <si>
    <t xml:space="preserve">MSRMT_VAL4                    </t>
  </si>
  <si>
    <t>Value 4</t>
  </si>
  <si>
    <t xml:space="preserve">MSRMT_VAL5                    </t>
  </si>
  <si>
    <t>Value 5</t>
  </si>
  <si>
    <t xml:space="preserve">MSRMT_VAL6                    </t>
  </si>
  <si>
    <t>Value 6</t>
  </si>
  <si>
    <t xml:space="preserve">MSRMT_VAL7                    </t>
  </si>
  <si>
    <t>Value 7</t>
  </si>
  <si>
    <t xml:space="preserve">MSRMT_VAL8                    </t>
  </si>
  <si>
    <t>Value 8</t>
  </si>
  <si>
    <t xml:space="preserve">MSRMT_VAL9                    </t>
  </si>
  <si>
    <t>Value 9</t>
  </si>
  <si>
    <t xml:space="preserve">ORIG_INIT_MSRMT_ID            </t>
  </si>
  <si>
    <t>Initial Measurement</t>
  </si>
  <si>
    <t xml:space="preserve">PREV_MSRMT_DTTM               </t>
  </si>
  <si>
    <t>Previous Measurement Date/Time</t>
  </si>
  <si>
    <t xml:space="preserve">READING_COND_FLG              </t>
  </si>
  <si>
    <t>Reading Condition</t>
  </si>
  <si>
    <t xml:space="preserve">READING_VAL                   </t>
  </si>
  <si>
    <t>Reading Value</t>
  </si>
  <si>
    <t xml:space="preserve">USER_EDITED_FLG               </t>
  </si>
  <si>
    <t>User Edited</t>
  </si>
  <si>
    <t>Table Name:  D1_MSRMT</t>
  </si>
  <si>
    <t xml:space="preserve">Justification: </t>
  </si>
  <si>
    <t>D1_DVC_CFG_CHAR</t>
  </si>
  <si>
    <t>D1_DC_EXTERNAL_ID</t>
  </si>
  <si>
    <t>External Id</t>
  </si>
  <si>
    <t>*  D1_DVC_CFG_CHAR</t>
  </si>
  <si>
    <t>CHAR_TYPE_CD = ‘D1-EXTID’</t>
  </si>
  <si>
    <t>Found data in City Corp and Ellensburg</t>
  </si>
  <si>
    <t>D1_MDM_DC_EXTERNAL_ID</t>
  </si>
  <si>
    <t>MDM External Id</t>
  </si>
  <si>
    <t>CHAR_TYPE_CD = ‘D1-EXMID’</t>
  </si>
  <si>
    <t>Install Event Id</t>
  </si>
  <si>
    <t xml:space="preserve">* D1_INSTALL_EVT </t>
  </si>
  <si>
    <t>Service Point Id</t>
  </si>
  <si>
    <t>This filter is only for the installed device on the SP at the given date. 
Other filters will be included in the D1_INSTALL_EVT domain</t>
  </si>
  <si>
    <t>This is dependent if the Install Event is Connected/Commissioned or ON</t>
  </si>
  <si>
    <t>MEASR_COMP_TYPE_CD</t>
  </si>
  <si>
    <t>* D1_MEASR_COMP_TYPE_L</t>
  </si>
  <si>
    <t>LATEST_MSRMT_DTTM</t>
  </si>
  <si>
    <t>This would only provide the most recent non estimated read date but not the actual measurement value.</t>
  </si>
  <si>
    <t>MSRMT_DTTM</t>
  </si>
  <si>
    <t>* D1_MSRMT</t>
  </si>
  <si>
    <t>MSRMT_LOCAL_DTTM &gt;='LATEST_MSRMT_DTTM'</t>
  </si>
  <si>
    <t>This needs to be specific as only the latest/most recent value is retrieved</t>
  </si>
  <si>
    <t>MSRMT_VAL</t>
  </si>
  <si>
    <t>MSRMT_COND_FLG</t>
  </si>
  <si>
    <t>*  F1_EXT_LOOKUP_VAL
*  F1_EXT_LOOKUP_VAL_L</t>
  </si>
  <si>
    <t>BUS_OBJ_CD='D1-MeasurementConditionLookup'</t>
  </si>
  <si>
    <t xml:space="preserve">SELECT 
    A1.DEVICE_CONFIG_ID, A1.DEVICE_CONFIG_TYPE_CD, A1.D1_DEVICE_ID, A1.EFF_DTTM,
    A2.INSTALL_EVT_ID, A2.D1_SP_ID, A2.BO_STATUS_CD,
    A3.MEASR_COMP_ID, A3.MEASR_COMP_TYPE_CD, A3.LATEST_MSRMT_DTTM, A3.MOST_RECENT_NON_EST_MSRMT_DTTM,
    A4.MSRMT_COND_FLG, A4.MSRMT_DTTM, A4.MSRMT_VAL, A4.ORIG_INIT_MSRMT_ID
FROM CISADM.D1_DVC_CFG A1
JOIN CISADM.D1_INSTALL_EVT A2 ON A1.DEVICE_CONFIG_ID = A2.DEVICE_CONFIG_ID
JOIN CISADM.D1_MEASR_COMP A3 ON A2.DEVICE_CONFIG_ID = A3.DEVICE_CONFIG_ID
JOIN CISADM.D1_MSRMT A4 ON A3.MEASR_COMP_ID = A4.MEASR_COMP_ID
WHERE 
    A2.BO_STATUS_CD IN ('ON', 'CONN-COMM')
    AND A1.DEVICE_CONFIG_ID = '895680366000'
    AND A4.MSRMT_LOCAL_DTTM &gt;= TO_DATE('27-APR-25', 'DD-MON-YY');
</t>
  </si>
  <si>
    <t>Table Name:  D1_DVC_EVT</t>
  </si>
  <si>
    <t xml:space="preserve">DVC_EVT_ID                    </t>
  </si>
  <si>
    <t>Device Event ID</t>
  </si>
  <si>
    <t xml:space="preserve">DVC_EVT_TYPE_CD               </t>
  </si>
  <si>
    <t>Device Event Type</t>
  </si>
  <si>
    <t>* D1_DVC_EVT_TYPE
* D1_DVC_EVT_TYPE_L</t>
  </si>
  <si>
    <t xml:space="preserve">EXT_EVT_NAME_FLG              </t>
  </si>
  <si>
    <t>External Event Name</t>
  </si>
  <si>
    <t>Field: EXT_EVT_NAME_FLG</t>
  </si>
  <si>
    <t>* D1_SPR_L</t>
  </si>
  <si>
    <t xml:space="preserve">DVC_EVT_END_DTTM              </t>
  </si>
  <si>
    <t>Device Event End Date/Time</t>
  </si>
  <si>
    <t xml:space="preserve">DVC_EVT_DTTM                  </t>
  </si>
  <si>
    <t>Device Event Date/Time</t>
  </si>
  <si>
    <t>SENDER_LBL</t>
  </si>
  <si>
    <t>Sender</t>
  </si>
  <si>
    <t xml:space="preserve">* BO_DATA_AREA                  </t>
  </si>
  <si>
    <t>Inner Join if we are going to use a View to get the BO_DATA_AREA values</t>
  </si>
  <si>
    <t xml:space="preserve">Table Name:  </t>
  </si>
  <si>
    <t>D1_INSTALL_EVT    </t>
  </si>
  <si>
    <t>SELECT A1.INSTALL_EVT_ID, A1.D1_SP_ID, A1.DEVICE_CONFIG_ID, A1.BO_STATUS_CD,
       A3.DEVICE_CONFIG_TYPE_CD, A2.BO_STATUS_CD,
       A4.MEASR_COMP_ID, A4.MEASR_COMP_TYPE_CD, A4.MOST_RECENT_MSRMT_DTTM, A4.MOST_RECENT_NON_EST_MSRMT_DTTM
FROM CISADM.D1_INSTALL_EVT A1
JOIN CISADM.D1_SP A2 ON A2.D1_SP_ID = A1.D1_SP_ID
JOIN CISADM.D1_DVC_CFG A3 ON A1.DEVICE_CONFIG_ID = A3.DEVICE_CONFIG_ID
JOIN CISADM.D1_MEASR_COMP A4 ON A3.DEVICE_CONFIG_ID = A4.DEVICE_CONFIG_ID
WHERE A1.BO_STATUS_CD IN ('ON', 'CONN-COMM', 'OFF', 'REMOVE', 'DISCONN-COMM', 'CONN-DECOMM');</t>
  </si>
  <si>
    <t>BO_STATUS_CD IN ('ON','CONN-COMM','OFF','REMOVE','DISCONN-COMM','CONN-DECOMM')</t>
  </si>
  <si>
    <t>D1_DEVICE_ID
DVC_ID_TYPE_FLG = D1BN</t>
  </si>
  <si>
    <t>Can be removed and only use the install event status to filter the meter related to the SP</t>
  </si>
  <si>
    <t>* D1_INSTALL_EVT</t>
  </si>
  <si>
    <t>Retrieve device using the device config from the install event table</t>
  </si>
  <si>
    <t>Added as part of the comment in SC WS by Analytics - Working Doc</t>
  </si>
  <si>
    <t>VIEW</t>
  </si>
  <si>
    <t>* D1_SP_TYPE_CD_L</t>
  </si>
  <si>
    <t xml:space="preserve">D1_FROM_DTTM                  </t>
  </si>
  <si>
    <t>From Date/Time</t>
  </si>
  <si>
    <t xml:space="preserve">D1_TO_DTTM                    </t>
  </si>
  <si>
    <t>To Date/Time</t>
  </si>
  <si>
    <t xml:space="preserve">DATA_SRC_FLG                  </t>
  </si>
  <si>
    <t>Data Source</t>
  </si>
  <si>
    <t>Field: DATA_SRC_FLG</t>
  </si>
  <si>
    <t xml:space="preserve">IMD_BO_DATA_AREA              </t>
  </si>
  <si>
    <t>IMD Data Area</t>
  </si>
  <si>
    <t xml:space="preserve">IMD_EXT_ID                    </t>
  </si>
  <si>
    <t>External ID</t>
  </si>
  <si>
    <t xml:space="preserve">INIT_MSRMT_DATA_ID            </t>
  </si>
  <si>
    <t>Initial Measurement Data ID</t>
  </si>
  <si>
    <t xml:space="preserve">POSTVEE_BO_DATA_AREA          </t>
  </si>
  <si>
    <t>Post VEE BO Data Area</t>
  </si>
  <si>
    <t xml:space="preserve">PREVEE_BO_DATA_AREA           </t>
  </si>
  <si>
    <t>Pre VEE BO Data Area</t>
  </si>
  <si>
    <t xml:space="preserve">RAW_BO_DATA_AREA              </t>
  </si>
  <si>
    <t>Raw BO Data Area</t>
  </si>
  <si>
    <t xml:space="preserve">TRACE_BO_DATA_AREA            </t>
  </si>
  <si>
    <t>Trace BO Data Area</t>
  </si>
  <si>
    <t>* D1_INIT_MSRMT_DATA</t>
  </si>
  <si>
    <t>D1_VEE_EXCP</t>
  </si>
  <si>
    <t xml:space="preserve">EXCP_SEVERITY_FLG             </t>
  </si>
  <si>
    <t>Exception Severity</t>
  </si>
  <si>
    <t xml:space="preserve">EXCP_TYPE_CD                  </t>
  </si>
  <si>
    <t>Exception Type</t>
  </si>
  <si>
    <t>LEFT</t>
  </si>
  <si>
    <t xml:space="preserve">MESSAGE_CAT_NBR               </t>
  </si>
  <si>
    <t>Message Category</t>
  </si>
  <si>
    <t>* CI_MSG</t>
  </si>
  <si>
    <t xml:space="preserve">MESSAGE_NBR                   </t>
  </si>
  <si>
    <t>Message Number</t>
  </si>
  <si>
    <t xml:space="preserve">OPEN_CLOSE_FLG                </t>
  </si>
  <si>
    <t>Exception Status</t>
  </si>
  <si>
    <t xml:space="preserve">VEE_EXCP_ID                   </t>
  </si>
  <si>
    <t>VEE Exception ID</t>
  </si>
  <si>
    <t xml:space="preserve">VEE_GRP_CD                    </t>
  </si>
  <si>
    <t>VEE Group</t>
  </si>
  <si>
    <t xml:space="preserve">VEE_RULE_CD                   </t>
  </si>
  <si>
    <t>VEE Rule</t>
  </si>
  <si>
    <t>Table Name:  D1_MEASR_COMP</t>
  </si>
  <si>
    <t>BO_STATUS_CD='ACTIVE'</t>
  </si>
  <si>
    <t>lookup BO: D1-MeasurementConditionLookup
MSRMT_COND_FLG IN ('501000','402000' '301000')</t>
  </si>
  <si>
    <t>This would retrieve Regular and System Estimate and Office Estimate</t>
  </si>
  <si>
    <t>MSRMT_LOCAL_DTTM</t>
  </si>
  <si>
    <t>MSRMT_LOCAL_DTTM &gt;= :DAY OR :WEEK</t>
  </si>
  <si>
    <t>This filter is needed to limit the rows returned for the installed Measuring Components</t>
  </si>
  <si>
    <t>ORIG_INIT_MSRMT_ID</t>
  </si>
  <si>
    <t>Table Name:  D1_MSRMT_LOG</t>
  </si>
  <si>
    <t xml:space="preserve">ADHOC_CHAR_VAL                </t>
  </si>
  <si>
    <t>Adhoc Characteristic Value</t>
  </si>
  <si>
    <t xml:space="preserve">CHAR_TYPE_CD                  </t>
  </si>
  <si>
    <t>Characteristic Type</t>
  </si>
  <si>
    <t xml:space="preserve">CHAR_VAL                      </t>
  </si>
  <si>
    <t>Characteristic Value</t>
  </si>
  <si>
    <t xml:space="preserve">CHAR_VAL_FK1                  </t>
  </si>
  <si>
    <t>Characteristic Value FK 1</t>
  </si>
  <si>
    <t xml:space="preserve">CHAR_VAL_FK2                  </t>
  </si>
  <si>
    <t>Characteristic Value FK 2</t>
  </si>
  <si>
    <t xml:space="preserve">CHAR_VAL_FK3                  </t>
  </si>
  <si>
    <t>Characteristic Value FK 3</t>
  </si>
  <si>
    <t xml:space="preserve">CHAR_VAL_FK4                  </t>
  </si>
  <si>
    <t>Characteristic Value FK 4</t>
  </si>
  <si>
    <t xml:space="preserve">CHAR_VAL_FK5                  </t>
  </si>
  <si>
    <t>Characteristic Value FK 5</t>
  </si>
  <si>
    <t xml:space="preserve">DESCRLONG                     </t>
  </si>
  <si>
    <t>Detailed Description</t>
  </si>
  <si>
    <t xml:space="preserve">LOG_DTTM                      </t>
  </si>
  <si>
    <t>Date / Time</t>
  </si>
  <si>
    <t>* CI_MSG_L</t>
  </si>
  <si>
    <t xml:space="preserve">MSRMT_LOG_ENTRY_TYPE_FLG      </t>
  </si>
  <si>
    <t>Log Type</t>
  </si>
  <si>
    <t xml:space="preserve">SEQNO                         </t>
  </si>
  <si>
    <t>USER_ID</t>
  </si>
  <si>
    <t>FLD_NAME</t>
  </si>
  <si>
    <t>fieldChange/name</t>
  </si>
  <si>
    <t>LABEL_LONG</t>
  </si>
  <si>
    <t>fieldChange/label</t>
  </si>
  <si>
    <t>XPATH</t>
  </si>
  <si>
    <t>fieldChange/xpath</t>
  </si>
  <si>
    <t>D1_BEFORE</t>
  </si>
  <si>
    <t>fieldChange/before</t>
  </si>
  <si>
    <t>D1_AFTER</t>
  </si>
  <si>
    <t>fieldChange/after</t>
  </si>
  <si>
    <t>fieldChange/descrlong</t>
  </si>
  <si>
    <t>AUDIT_FLD_NAME</t>
  </si>
  <si>
    <t>fieldChange/mdField</t>
  </si>
  <si>
    <t>fieldChange/lookupField</t>
  </si>
  <si>
    <t>FK_REF_CD</t>
  </si>
  <si>
    <t>fieldChange/fkRef</t>
  </si>
  <si>
    <t>ORIG_MSRMT_BO_NAME</t>
  </si>
  <si>
    <t>originalMeasurement/originalMeasurementBO</t>
  </si>
  <si>
    <t>ORIG_MSRMT_BO_DATA_AREA</t>
  </si>
  <si>
    <t>originalMeasurement/originalMeasurementBOData</t>
  </si>
  <si>
    <t>READING_VAL</t>
  </si>
  <si>
    <t>readingValue</t>
  </si>
  <si>
    <t>READING_COND_FLG</t>
  </si>
  <si>
    <t>BO: D1-MeasurementConditionLookup
measurementCondition</t>
  </si>
  <si>
    <t>Use the value from the ORIG_INIT_MSRMT_ID as the INIT_MSRMT_DATA_ID</t>
  </si>
  <si>
    <t>Table Name:  D1_USAGE</t>
  </si>
  <si>
    <t xml:space="preserve">COMMENTS                      </t>
  </si>
  <si>
    <t xml:space="preserve">D1_USAGE_ID                   </t>
  </si>
  <si>
    <t>Usage Transaction ID</t>
  </si>
  <si>
    <t xml:space="preserve">D1_USG_CAL_TYPE_CD            </t>
  </si>
  <si>
    <t>Usage Calculation Type</t>
  </si>
  <si>
    <t>* D1_USG_CAL_TYPE_L</t>
  </si>
  <si>
    <t xml:space="preserve">LINKED_TO_FRZN_BSEG_FLG       </t>
  </si>
  <si>
    <t>Linked to Frozen Bill Segment</t>
  </si>
  <si>
    <t>* D1_MSRMT_CYC_L</t>
  </si>
  <si>
    <t>* D1_MSRMT_CYC_RTE_L</t>
  </si>
  <si>
    <t xml:space="preserve">ORG_USAGE_ID                  </t>
  </si>
  <si>
    <t>Original Usage ID</t>
  </si>
  <si>
    <t xml:space="preserve">REL_ORDER                     </t>
  </si>
  <si>
    <t>Relative Order</t>
  </si>
  <si>
    <t xml:space="preserve">SCH_SELECTION_DT              </t>
  </si>
  <si>
    <t>Scheduled Selection Date</t>
  </si>
  <si>
    <t xml:space="preserve">TOT_USG_TRANS_CNT             </t>
  </si>
  <si>
    <t>Total Usage Transaction Count</t>
  </si>
  <si>
    <t xml:space="preserve">USED_ON_BILL_FLG              </t>
  </si>
  <si>
    <t>Used on Bill</t>
  </si>
  <si>
    <t>USED_ON_BILL_FLG</t>
  </si>
  <si>
    <t xml:space="preserve">USG_EXT_ID                    </t>
  </si>
  <si>
    <t>Usage External ID</t>
  </si>
  <si>
    <t xml:space="preserve">USG_GRP_CD                    </t>
  </si>
  <si>
    <t>Calculation Group</t>
  </si>
  <si>
    <t>* D1_USG_GRP_L</t>
  </si>
  <si>
    <t xml:space="preserve">USG_SRC_FLG                   </t>
  </si>
  <si>
    <t>Usage Source</t>
  </si>
  <si>
    <t xml:space="preserve">US_ID                         </t>
  </si>
  <si>
    <t>* D1_US</t>
  </si>
  <si>
    <t>US_ID</t>
  </si>
  <si>
    <t>EST_THROUGH_DATE</t>
  </si>
  <si>
    <t>Estimate Through Date</t>
  </si>
  <si>
    <t>PREV_USG_ID</t>
  </si>
  <si>
    <t>Previous Usage Transaction</t>
  </si>
  <si>
    <t>BILL_COND_FLG</t>
  </si>
  <si>
    <t>Bill Condition</t>
  </si>
  <si>
    <t>AUTO_RETRY_FLG</t>
  </si>
  <si>
    <t>Automated Retry</t>
  </si>
  <si>
    <t>NEXT_RETRY_DTTM</t>
  </si>
  <si>
    <t>Next Retry Date/Time</t>
  </si>
  <si>
    <t>RETRY_UNTIL_DTTM</t>
  </si>
  <si>
    <t>Retry Until Date/Time</t>
  </si>
  <si>
    <t>DEFER_CALC_FLG</t>
  </si>
  <si>
    <t>Defer Calculation</t>
  </si>
  <si>
    <t>SUB_UT_EXISTS_FLG</t>
  </si>
  <si>
    <t>Sub Usage Transactions Exist</t>
  </si>
  <si>
    <t>TRACE_ON_FLG</t>
  </si>
  <si>
    <t>Trace</t>
  </si>
  <si>
    <t>USG_CALC_MODE_FLG</t>
  </si>
  <si>
    <t>Calculation Mode</t>
  </si>
  <si>
    <t>TD_ENTRY_ID</t>
  </si>
  <si>
    <t>To Do ID</t>
  </si>
  <si>
    <t>ALIGNMENT_DTTM</t>
  </si>
  <si>
    <t>Alignment Date/Time</t>
  </si>
  <si>
    <t>REQUEST_MODE_FLG</t>
  </si>
  <si>
    <t>Request Mode</t>
  </si>
  <si>
    <t>D1_USAGE_BO_DATA_AREA</t>
  </si>
  <si>
    <t>PROFILE_FACTOR_CD</t>
  </si>
  <si>
    <t>Profile Factor</t>
  </si>
  <si>
    <t>usageAdjustmentProfileFactors/profileFactorsList/profilefactor</t>
  </si>
  <si>
    <t>fields stored in the BO DATA AREA</t>
  </si>
  <si>
    <t>FACTOR_CHAR_VALUE</t>
  </si>
  <si>
    <t>usageAdjustmentProfileFactors/profileFactorsList/value</t>
  </si>
  <si>
    <t>SKIP_FLG</t>
  </si>
  <si>
    <t>Skip</t>
  </si>
  <si>
    <t>skipDetails/skip</t>
  </si>
  <si>
    <t>D2_SKIP_REASON_FLG</t>
  </si>
  <si>
    <t>Skip Reason</t>
  </si>
  <si>
    <t>skipDetails/skipReason</t>
  </si>
  <si>
    <t>DATE_BREAKS_LBL</t>
  </si>
  <si>
    <t>Date Break</t>
  </si>
  <si>
    <t>DATE_BREAK</t>
  </si>
  <si>
    <t>Date</t>
  </si>
  <si>
    <t>dateBreaks/dateBreakList/dateBreak</t>
  </si>
  <si>
    <t>INTERVAL_MC_LBL</t>
  </si>
  <si>
    <t>Interval Measuring Component</t>
  </si>
  <si>
    <t>START_DTTM</t>
  </si>
  <si>
    <t>intervalMC/startDateTime</t>
  </si>
  <si>
    <t>END_FROM_DTTM</t>
  </si>
  <si>
    <t>End Date/Time - From</t>
  </si>
  <si>
    <t>intervalMC/endDateTimeFrom</t>
  </si>
  <si>
    <t>END_TO_DTTM</t>
  </si>
  <si>
    <t>End Date/Time - To</t>
  </si>
  <si>
    <t>intervalMC/endDateTimeTo</t>
  </si>
  <si>
    <t>SCALAR_MC_LBL</t>
  </si>
  <si>
    <t>Scalar Measuring Component</t>
  </si>
  <si>
    <t>scalarMC/startDateTime</t>
  </si>
  <si>
    <t>D1_ESTIMATE_TIME_FLG</t>
  </si>
  <si>
    <t>Estimate Time</t>
  </si>
  <si>
    <t>scalarMC/estimateTime</t>
  </si>
  <si>
    <t>scalarMC/endDateTimeFrom</t>
  </si>
  <si>
    <t>scalarMC/endDateTimeTo</t>
  </si>
  <si>
    <t>SCALAR_END_RANGE_OPT_FLG</t>
  </si>
  <si>
    <t>End Range Option</t>
  </si>
  <si>
    <t>scalarMC/endRangeOption</t>
  </si>
  <si>
    <t>SCALAR_MIN_OFFSET_DAYS</t>
  </si>
  <si>
    <t>Minimum Offset Days</t>
  </si>
  <si>
    <t>scalarMC/minDaysOffset</t>
  </si>
  <si>
    <t>SCALAR_MAX_OFFSET_DAYS</t>
  </si>
  <si>
    <t>Maximum Offset Days</t>
  </si>
  <si>
    <t>scalarMC/maxDaysOffset</t>
  </si>
  <si>
    <t>D2_ALLOW_EST_FLG</t>
  </si>
  <si>
    <t>Allow Estimate</t>
  </si>
  <si>
    <t>scalarMC/allowEstimate</t>
  </si>
  <si>
    <t>ESTMT_DT</t>
  </si>
  <si>
    <t>Estimate Date</t>
  </si>
  <si>
    <t>scalarMC/estimateDate</t>
  </si>
  <si>
    <t>IS_ESTIMATE_FLG</t>
  </si>
  <si>
    <t>Is Estimate</t>
  </si>
  <si>
    <t>scalarMC/isEstimate</t>
  </si>
  <si>
    <t xml:space="preserve">D1_BILL_CYC_CD                </t>
  </si>
  <si>
    <t>Bill Cycle</t>
  </si>
  <si>
    <t>* D1_BILL_CYC_L</t>
  </si>
  <si>
    <t>* D1_DVISION_L</t>
  </si>
  <si>
    <t xml:space="preserve">MOST_RECENT_TRANS_DTTM        </t>
  </si>
  <si>
    <t>Most Recent Transaction Date/Time</t>
  </si>
  <si>
    <t xml:space="preserve">USG_APPR_REQ_FLG              </t>
  </si>
  <si>
    <t>Usage Approval</t>
  </si>
  <si>
    <t>* D1_USAGE</t>
  </si>
  <si>
    <t xml:space="preserve">US_MP_ID                      </t>
  </si>
  <si>
    <t>Usage Subscription Market Participant ID</t>
  </si>
  <si>
    <t>* D1_US_MKT_PART</t>
  </si>
  <si>
    <t xml:space="preserve">US_STAT_COND_FLG              </t>
  </si>
  <si>
    <t>Status Condition</t>
  </si>
  <si>
    <t xml:space="preserve">US_TYPE_CD                    </t>
  </si>
  <si>
    <t>Usage Subscription Type</t>
  </si>
  <si>
    <t>* D1_US_TYPE_L</t>
  </si>
  <si>
    <t xml:space="preserve">BILL_CYC_CD                   </t>
  </si>
  <si>
    <t>BO_STATUS_CD in ('BD-PROC')</t>
  </si>
  <si>
    <t>If filtered to retrieve BD-PROC status the next rows can retrieve up to account level.
When filtered status is CANCELLED, no related BSEG is retrieved</t>
  </si>
  <si>
    <t xml:space="preserve">BSEG_ID                       </t>
  </si>
  <si>
    <t>Bill Segment ID</t>
  </si>
  <si>
    <t xml:space="preserve">EXT_REFERENCE_ID              </t>
  </si>
  <si>
    <t xml:space="preserve">MASTER_USAGE_ID               </t>
  </si>
  <si>
    <t>Master Usage ID</t>
  </si>
  <si>
    <t xml:space="preserve">SA_ID                         </t>
  </si>
  <si>
    <t>Service Agreement</t>
  </si>
  <si>
    <t xml:space="preserve">SA_REL_ID                     </t>
  </si>
  <si>
    <t>SA Relationship ID</t>
  </si>
  <si>
    <t xml:space="preserve">SP_ID                         </t>
  </si>
  <si>
    <t xml:space="preserve">USAGE_ID                      </t>
  </si>
  <si>
    <t>Usage ID</t>
  </si>
  <si>
    <t>USG_EXT_ID</t>
  </si>
  <si>
    <t>The following rows retrieve the C-side information</t>
  </si>
  <si>
    <t xml:space="preserve">USG_DATA_AREA                 </t>
  </si>
  <si>
    <t>Consumption Data Area</t>
  </si>
  <si>
    <t xml:space="preserve">WIN_START_DT                  </t>
  </si>
  <si>
    <t>Window Start Date</t>
  </si>
  <si>
    <t xml:space="preserve">BILL_ID                       </t>
  </si>
  <si>
    <t xml:space="preserve">Bill ID                       </t>
  </si>
  <si>
    <t xml:space="preserve">BILL_SCNR_ID                  </t>
  </si>
  <si>
    <t>Bill Scenario ID</t>
  </si>
  <si>
    <t xml:space="preserve">BSEG_DATA_AREA                </t>
  </si>
  <si>
    <t>Bill Segment Data Area</t>
  </si>
  <si>
    <t>* C1_USAGE</t>
  </si>
  <si>
    <t>BSEG_ID</t>
  </si>
  <si>
    <t>Note: BSEG_ID would only be retrieved if CI_USAGE status is BD_PROC</t>
  </si>
  <si>
    <t xml:space="preserve">BSEG_STAT_FLG                 </t>
  </si>
  <si>
    <t>Bill Segment Status</t>
  </si>
  <si>
    <t xml:space="preserve">CAN_BSEG_ID                   </t>
  </si>
  <si>
    <t>Cancel Bill Segment ID</t>
  </si>
  <si>
    <t xml:space="preserve">CAN_RSN_CD                    </t>
  </si>
  <si>
    <t xml:space="preserve">CLOSING_BSEG_SW               </t>
  </si>
  <si>
    <t>Closing Bill Segment</t>
  </si>
  <si>
    <t xml:space="preserve">END_DT                        </t>
  </si>
  <si>
    <t>End Date</t>
  </si>
  <si>
    <t xml:space="preserve">EST_SW                        </t>
  </si>
  <si>
    <t>Estimate</t>
  </si>
  <si>
    <t xml:space="preserve">ITEM_OVERRIDE_SW              </t>
  </si>
  <si>
    <t>Item Override</t>
  </si>
  <si>
    <t xml:space="preserve">MASTER_BSEG_ID                </t>
  </si>
  <si>
    <t>Master Bill Segment Id</t>
  </si>
  <si>
    <t xml:space="preserve">MDM_END_DTTM                  </t>
  </si>
  <si>
    <t>MDM End Date/Time</t>
  </si>
  <si>
    <t xml:space="preserve">MDM_START_DTTM                </t>
  </si>
  <si>
    <t>MDM Start Date/Time</t>
  </si>
  <si>
    <t xml:space="preserve">QUOTE_DTL_ID                  </t>
  </si>
  <si>
    <t>Quote Detail ID</t>
  </si>
  <si>
    <t xml:space="preserve">REBILL_SEG_ID                 </t>
  </si>
  <si>
    <t>Rebill Segment ID</t>
  </si>
  <si>
    <t xml:space="preserve">SQ_OVERRIDE_SW                </t>
  </si>
  <si>
    <t>SQ Override</t>
  </si>
  <si>
    <t xml:space="preserve">START_DT                      </t>
  </si>
  <si>
    <t>Start Date</t>
  </si>
  <si>
    <t xml:space="preserve">STAT_CHG_DTTM                 </t>
  </si>
  <si>
    <t>Status Change Date/Time</t>
  </si>
  <si>
    <t xml:space="preserve">D1_FORMULA                    </t>
  </si>
  <si>
    <t>Formula</t>
  </si>
  <si>
    <t xml:space="preserve">D1_SQI_CD                     </t>
  </si>
  <si>
    <t>Service Quantity Identifier</t>
  </si>
  <si>
    <t>* D1_SQI_L</t>
  </si>
  <si>
    <t xml:space="preserve">D1_TOU_CD                     </t>
  </si>
  <si>
    <t>Time of Use</t>
  </si>
  <si>
    <t>* D1_TOU_L</t>
  </si>
  <si>
    <t xml:space="preserve">D1_TOU_MAP_ID                 </t>
  </si>
  <si>
    <t>TOU Map</t>
  </si>
  <si>
    <t xml:space="preserve">D1_UOM_CD                     </t>
  </si>
  <si>
    <t>Unit of Measure</t>
  </si>
  <si>
    <t>* D1_UOM_L</t>
  </si>
  <si>
    <t>D1_USAGE_ID</t>
  </si>
  <si>
    <t xml:space="preserve">D1_VARIABLE_NAME              </t>
  </si>
  <si>
    <t>Variable Name</t>
  </si>
  <si>
    <t xml:space="preserve">DATA_QLTY_ASSESSMENT_FLG      </t>
  </si>
  <si>
    <t>Data Quality Assessment</t>
  </si>
  <si>
    <t xml:space="preserve">EXTRACT_INTRVL_DATA_FLG       </t>
  </si>
  <si>
    <t>Extract Interval Data</t>
  </si>
  <si>
    <t xml:space="preserve">FACTOR_CD                     </t>
  </si>
  <si>
    <t>Factor</t>
  </si>
  <si>
    <t xml:space="preserve">INTRVL_DATA_FLG               </t>
  </si>
  <si>
    <t>Interval Data</t>
  </si>
  <si>
    <t xml:space="preserve">MKT_CONTRACT_ID               </t>
  </si>
  <si>
    <t>Market Contract ID</t>
  </si>
  <si>
    <t xml:space="preserve">PERIOD_SEQ_NUM                </t>
  </si>
  <si>
    <t>Period Sequence Number</t>
  </si>
  <si>
    <t xml:space="preserve">QUANTITY                      </t>
  </si>
  <si>
    <t>Quantity</t>
  </si>
  <si>
    <t xml:space="preserve">SEC_PER_INTRVL                </t>
  </si>
  <si>
    <t>Interval Size</t>
  </si>
  <si>
    <t xml:space="preserve">SQ_SEQ_NUM                    </t>
  </si>
  <si>
    <t>Service Quantity Sequence</t>
  </si>
  <si>
    <t xml:space="preserve">USAGE_SQ_TYPE_FLG             </t>
  </si>
  <si>
    <t>Usage Service Quantity Type</t>
  </si>
  <si>
    <t xml:space="preserve">USG_RULE_CD                   </t>
  </si>
  <si>
    <t>Calculation Rule</t>
  </si>
  <si>
    <t>* D1_USG_RULE_L</t>
  </si>
  <si>
    <t>* CI_MSG_CATEGORY</t>
  </si>
  <si>
    <t xml:space="preserve">USAGE_EXCP_ID                 </t>
  </si>
  <si>
    <t xml:space="preserve">USAGE_EXCP_TYPE_CD            </t>
  </si>
  <si>
    <t>* D1_USAGE_EXCP_TYPE_L</t>
  </si>
  <si>
    <t>Justification: This domain answers the business question "Total consumption by region and customer type"</t>
  </si>
  <si>
    <t>Sample Query (Customer Class)</t>
  </si>
  <si>
    <t>CI_ACCT</t>
  </si>
  <si>
    <t>select accts.cust_cl_cd, sum(mUsgDtl.final_quantity) 
from cisadm.ci_acct accts, cisadm.ci_sa sa1, cisadm.c1_usage cUsg, cisadm.d1_usage mUsg, cisadm.D1_USAGE_SCALAR_DTL mUsgDtl
where accts.acct_id = sa1.acct_id
and sa1.sa_id = cUsg.sa_id
and cUsg.usage_id = mUsg.usg_ext_id
and mUsg.d1_usage_id = mUsgDtl.d1_usage_id
AND SA1.SA_STATUS_FLG IN ('20','30','40')
and cUsg.bo_status_cd = 'BD-PROC'
and cUsg.win_start_dt between TO_DATE('01-JUL-25', 'DD-MON-RR') and TO_DATE('31-JUL-25', 'DD-MON-RR')
and mUsg.bo_status_cd = 'SENT'
GROUP BY 
    accts.cust_cl_cd;</t>
  </si>
  <si>
    <t xml:space="preserve">ACCT_DATA_AREA                </t>
  </si>
  <si>
    <t>Account Data Area</t>
  </si>
  <si>
    <t xml:space="preserve">ACCT_ID                       </t>
  </si>
  <si>
    <t>This will be used to link the CI_SA record</t>
  </si>
  <si>
    <t>Sample Query (Georgraphic Area)</t>
  </si>
  <si>
    <t xml:space="preserve">ACCT_MGMT_GRP_CD              </t>
  </si>
  <si>
    <t>Account Management Group</t>
  </si>
  <si>
    <t xml:space="preserve">ALERT_INFO                    </t>
  </si>
  <si>
    <t>Alert Information</t>
  </si>
  <si>
    <t xml:space="preserve">BILL_AFTER_DT                 </t>
  </si>
  <si>
    <t xml:space="preserve">Bill After                    </t>
  </si>
  <si>
    <t xml:space="preserve">BILL_PRT_INTERCEPT            </t>
  </si>
  <si>
    <t>Bill Print Intercept</t>
  </si>
  <si>
    <t xml:space="preserve">BUD_PLAN_CD                   </t>
  </si>
  <si>
    <t>Budget Plan</t>
  </si>
  <si>
    <t xml:space="preserve">COLL_CL_CD                    </t>
  </si>
  <si>
    <t>Collection Class</t>
  </si>
  <si>
    <t xml:space="preserve">CR_REVIEW_DT                  </t>
  </si>
  <si>
    <t>Last Credit Review Date</t>
  </si>
  <si>
    <t xml:space="preserve">CURRENCY_CD                   </t>
  </si>
  <si>
    <t>Currency Code</t>
  </si>
  <si>
    <t xml:space="preserve">CUST_CL_CD                    </t>
  </si>
  <si>
    <t>Customer Class</t>
  </si>
  <si>
    <t>This can be used as a filter to group the usage</t>
  </si>
  <si>
    <t xml:space="preserve">INT_CR_REVIEW_SW              </t>
  </si>
  <si>
    <t>Internal Credit Review</t>
  </si>
  <si>
    <t xml:space="preserve">MAILING_PREM_ID               </t>
  </si>
  <si>
    <t>Mailing Premise ID</t>
  </si>
  <si>
    <t xml:space="preserve">NO_DEP_RVW_SW                 </t>
  </si>
  <si>
    <t>No Deposit Review Switch</t>
  </si>
  <si>
    <t xml:space="preserve">POSTPONE_CR_RVW_DT            </t>
  </si>
  <si>
    <t>Postpone Credit Review Until</t>
  </si>
  <si>
    <t xml:space="preserve">PROTECT_CYC_SW                </t>
  </si>
  <si>
    <t>Protect Bill Cycle</t>
  </si>
  <si>
    <t xml:space="preserve">PROTECT_DIV_SW                </t>
  </si>
  <si>
    <t>Protect Division</t>
  </si>
  <si>
    <t xml:space="preserve">PROTECT_PREM_SW               </t>
  </si>
  <si>
    <t>Protect Mailing Premise</t>
  </si>
  <si>
    <t xml:space="preserve">SETUP_DT                      </t>
  </si>
  <si>
    <t>Set Up Date</t>
  </si>
  <si>
    <t>* CI_ACCT</t>
  </si>
  <si>
    <t>ACCT_ID</t>
  </si>
  <si>
    <t xml:space="preserve">ALLOW_EST_SW                  </t>
  </si>
  <si>
    <t>Allow Estimates</t>
  </si>
  <si>
    <t xml:space="preserve">BUS_ACTIVITY_DESC             </t>
  </si>
  <si>
    <t>Business Activity</t>
  </si>
  <si>
    <t xml:space="preserve">CHAR_PREM_ID                  </t>
  </si>
  <si>
    <t xml:space="preserve">CIAC_REVIEW_DT                </t>
  </si>
  <si>
    <t>CIAC Review Date</t>
  </si>
  <si>
    <t xml:space="preserve">CUST_READ_FLG                 </t>
  </si>
  <si>
    <t>Customer Read</t>
  </si>
  <si>
    <t xml:space="preserve">ENRL_ID                       </t>
  </si>
  <si>
    <t>Order ID</t>
  </si>
  <si>
    <t xml:space="preserve">EXPIRE_DT                     </t>
  </si>
  <si>
    <t>Expire Date</t>
  </si>
  <si>
    <t xml:space="preserve">HIGH_BILL_AMT                 </t>
  </si>
  <si>
    <t>Maximum Bill Threshold</t>
  </si>
  <si>
    <t xml:space="preserve">IB_BASE_TM_DAY_FLG            </t>
  </si>
  <si>
    <t>Start Day Option</t>
  </si>
  <si>
    <t xml:space="preserve">IB_SA_CUTOFF_TM               </t>
  </si>
  <si>
    <t>IB SA Cutoff Time</t>
  </si>
  <si>
    <t xml:space="preserve">INT_CALC_DT                   </t>
  </si>
  <si>
    <t>Deposit Interest Calculated</t>
  </si>
  <si>
    <t xml:space="preserve">NBR_PYMNT_PERIODS             </t>
  </si>
  <si>
    <t>Number of Payment Periods</t>
  </si>
  <si>
    <t xml:space="preserve">NB_APAY_FLG                   </t>
  </si>
  <si>
    <t>NBB Auto Pay</t>
  </si>
  <si>
    <t xml:space="preserve">NB_RULE_CD                    </t>
  </si>
  <si>
    <t>Recommendation Rule</t>
  </si>
  <si>
    <t xml:space="preserve">OLD_ACCT_ID                   </t>
  </si>
  <si>
    <t>Old Account ID</t>
  </si>
  <si>
    <t xml:space="preserve">PROP_DCL_RSN_CD               </t>
  </si>
  <si>
    <t>Decline Reason</t>
  </si>
  <si>
    <t xml:space="preserve">PROP_SA_ID                    </t>
  </si>
  <si>
    <t>Proposal SA ID</t>
  </si>
  <si>
    <t xml:space="preserve">PROP_SA_STAT_FLG              </t>
  </si>
  <si>
    <t>Proposal SA Status</t>
  </si>
  <si>
    <t xml:space="preserve">RENEWAL_DT                    </t>
  </si>
  <si>
    <t>Renewal Date</t>
  </si>
  <si>
    <t xml:space="preserve">SA_DATA_AREA                  </t>
  </si>
  <si>
    <t>SA Data Area</t>
  </si>
  <si>
    <t xml:space="preserve">SA_STATUS_FLG                 </t>
  </si>
  <si>
    <t>SA Status</t>
  </si>
  <si>
    <t>SA_STATUS_FLG IN ('20','30','40')</t>
  </si>
  <si>
    <t xml:space="preserve">SA_TYPE_CD                    </t>
  </si>
  <si>
    <t>SA Type</t>
  </si>
  <si>
    <t xml:space="preserve">SIC_CD                        </t>
  </si>
  <si>
    <t>SIC</t>
  </si>
  <si>
    <t xml:space="preserve">SPECIAL_USAGE_FLG             </t>
  </si>
  <si>
    <t>Special Usage</t>
  </si>
  <si>
    <t xml:space="preserve">START_OPT_CD                  </t>
  </si>
  <si>
    <t>Start Option</t>
  </si>
  <si>
    <t xml:space="preserve">STOP_REQED_BY                 </t>
  </si>
  <si>
    <t>Stop Requested By</t>
  </si>
  <si>
    <t xml:space="preserve">STOP_RSN_FLG                  </t>
  </si>
  <si>
    <t>Stop Reason</t>
  </si>
  <si>
    <t xml:space="preserve">STRT_REQED_BY                 </t>
  </si>
  <si>
    <t>Start Requested By</t>
  </si>
  <si>
    <t xml:space="preserve">STRT_RSN_FLG                  </t>
  </si>
  <si>
    <t>Start Reason</t>
  </si>
  <si>
    <t xml:space="preserve">TOT_TO_BILL_AMT               </t>
  </si>
  <si>
    <t>Total Amount to Bill</t>
  </si>
  <si>
    <t>bo_status_cd = 'BD-PROC'</t>
  </si>
  <si>
    <t>CI_SA.SA_ID *</t>
  </si>
  <si>
    <t>win_start_dt between TO_DATE('01-JUL-25', 'DD-MON-RR') and TO_DATE('31-JUL-25', 'DD-MON-RR')</t>
  </si>
  <si>
    <t>This can be used to filter the amount of data. I tried to use the create date but the sample query ran more than 10minutes</t>
  </si>
  <si>
    <t>bo_status_cd = 'SENT'</t>
  </si>
  <si>
    <t>C1_USAGE.USAGE_ID</t>
  </si>
  <si>
    <t>1:1 relationship</t>
  </si>
  <si>
    <t>D1_USAGE_SCALAR_DTL</t>
  </si>
  <si>
    <t xml:space="preserve">APPLIED_MLTR                  </t>
  </si>
  <si>
    <t>Applied Multiplier</t>
  </si>
  <si>
    <t xml:space="preserve">D1_FINAL_SQI_CD               </t>
  </si>
  <si>
    <t>Final SQI</t>
  </si>
  <si>
    <t xml:space="preserve">D1_FINAL_TOU_CD               </t>
  </si>
  <si>
    <t>Final TOU</t>
  </si>
  <si>
    <t xml:space="preserve">D1_FINAL_UOM_CD               </t>
  </si>
  <si>
    <t>Final UOM</t>
  </si>
  <si>
    <t xml:space="preserve">D1_USAGE_FLG                  </t>
  </si>
  <si>
    <t xml:space="preserve">END_MSRMT                     </t>
  </si>
  <si>
    <t>End Measurement</t>
  </si>
  <si>
    <t xml:space="preserve">FINAL_QUANTITY                </t>
  </si>
  <si>
    <t>Final Quantity</t>
  </si>
  <si>
    <t>This will be used to display the total Usage for the period</t>
  </si>
  <si>
    <t xml:space="preserve">MSR_PEAK_QTY_FLG              </t>
  </si>
  <si>
    <t>Measures Peak Quantity</t>
  </si>
  <si>
    <t xml:space="preserve">SEQ_NUM                       </t>
  </si>
  <si>
    <t xml:space="preserve">START_MSRMT                   </t>
  </si>
  <si>
    <t>Start Measurement</t>
  </si>
  <si>
    <t xml:space="preserve">USE_PERCENT                   </t>
  </si>
  <si>
    <t>Use Percent</t>
  </si>
  <si>
    <t>* CI_SA</t>
  </si>
  <si>
    <t>PREM_ID</t>
  </si>
  <si>
    <t>Left Outer Join</t>
  </si>
  <si>
    <t>Use this filter to retrieve the premise id related to the SA level</t>
  </si>
  <si>
    <t>Sample Query (Postal)</t>
  </si>
  <si>
    <t>select prem.postal,  sum(mUsgDtl.final_quantity) 
from cisadm.ci_acct accts, cisadm.ci_sa sa1, cisadm.c1_usage cUsg, cisadm.d1_usage mUsg, cisadm.D1_USAGE_SCALAR_DTL mUsgDtl, cisadm.ci_prem prem
where prem.prem_id = sa1.CHAR_PREM_ID
and sa1.acct_id = accts.acct_id
and sa1.sa_id = cUsg.sa_id
and cUsg.usage_id = mUsg.usg_ext_id
and mUsg.d1_usage_id = mUsgDtl.d1_usage_id
AND SA1.SA_STATUS_FLG IN ('20','30','40')
and cUsg.bo_status_cd = 'BD-PROC'
--and cUsg.win_start_dt between TO_DATE('01-JUL-25', 'DD-MON-RR') and TO_DATE('31-JUL-25', 'DD-MON-RR')
AND cUsg.win_start_dt between TO_DATE('01-MAY-25', 'DD-MON-RR') and TO_DATE('31-JUL-25', 'DD-MON-RR')
and mUsg.bo_status_cd = 'SENT'
GROUP BY 
     prem.postal;</t>
  </si>
  <si>
    <t>Ideally Usage count should match SA Count</t>
  </si>
  <si>
    <t xml:space="preserve">Choose 1 SA and </t>
  </si>
  <si>
    <t>C1_USAGE is for linking of tables only</t>
  </si>
  <si>
    <t>Table Name:  D1_USAGE_EXCP</t>
  </si>
  <si>
    <t>TD_TYPE_CD</t>
  </si>
  <si>
    <t>To Do Type</t>
  </si>
  <si>
    <t>* CI_TD_TYPE</t>
  </si>
  <si>
    <t>ROLE_ID</t>
  </si>
  <si>
    <t>To Do Role</t>
  </si>
  <si>
    <t>* CI_TD_VAL_ROLE</t>
  </si>
  <si>
    <t>D1_USAGE_EXCP_CHAR</t>
  </si>
  <si>
    <t>* D1_USAGE_EXCP</t>
  </si>
  <si>
    <t>CHAR_TYPE_CD</t>
  </si>
  <si>
    <t>* CI_CHAR_TYPE_L</t>
  </si>
  <si>
    <t>CHAR_VAL</t>
  </si>
  <si>
    <t>* CI_CHAR_VAL_L</t>
  </si>
  <si>
    <t>Table Name:  D1_SP</t>
  </si>
  <si>
    <t>Right Join</t>
  </si>
  <si>
    <t>The next rows retrieves the related information of the SP to the Usage Subscription, Contact, Premise</t>
  </si>
  <si>
    <t>US_TYPE_CD</t>
  </si>
  <si>
    <t>D1_US_TYPE_L</t>
  </si>
  <si>
    <t>CONTACT_ID</t>
  </si>
  <si>
    <t>Contact Id</t>
  </si>
  <si>
    <t>Id Value</t>
  </si>
  <si>
    <t xml:space="preserve">SP_ID_TYPE_FLG ="D1EP"                  </t>
  </si>
  <si>
    <t>PERIODIC_EST_ELIGIBILITY_FLG</t>
  </si>
  <si>
    <t>Estimation Eligibility</t>
  </si>
  <si>
    <t>OK_TO_ETR_LBL</t>
  </si>
  <si>
    <t>OK To Enter</t>
  </si>
  <si>
    <t>SP_WARN_LBL</t>
  </si>
  <si>
    <t>SP Warning</t>
  </si>
  <si>
    <t>SP_INSTR_LBL</t>
  </si>
  <si>
    <t>SP Instruction</t>
  </si>
  <si>
    <t>SP_INSTR_DTS_LBL</t>
  </si>
  <si>
    <t>SP Instruction Details</t>
  </si>
  <si>
    <t>KEY_LBL</t>
  </si>
  <si>
    <t>D1_KEY_ID_LBL</t>
  </si>
  <si>
    <t>DEVICE_LOC_LBL</t>
  </si>
  <si>
    <t>Device Location</t>
  </si>
  <si>
    <t>DEVICE_LOC_DTS_LBL</t>
  </si>
  <si>
    <t>Device Location Details</t>
  </si>
  <si>
    <t>INSTALLATION_OVERRIDE_QUANTITY</t>
  </si>
  <si>
    <t>Installation Override Quantity (Daily)</t>
  </si>
  <si>
    <t>UNIT_OF_MEASR_CD</t>
  </si>
  <si>
    <t>UOM</t>
  </si>
  <si>
    <t>SVC_QTY_IDNTFR_CD</t>
  </si>
  <si>
    <t>SQI</t>
  </si>
  <si>
    <t>D1_ITEM_CNT</t>
  </si>
  <si>
    <t>Count</t>
  </si>
  <si>
    <t>The next rows retrieves the related information of the SP's Measurement Cycle, Measurement Cycle Route, Measurement Cycle Schedule</t>
  </si>
  <si>
    <t>SCHED_SELECTION_DT</t>
  </si>
  <si>
    <t xml:space="preserve">Scheduled Selection Date	</t>
  </si>
  <si>
    <t xml:space="preserve">	Route</t>
  </si>
  <si>
    <t>This is filter is used to retrieve the meter currently installed on the SP at a given date</t>
  </si>
  <si>
    <t>Note: Removing the SP Id and keeping the Schedule Selection Date and Measurement Date/Time it took 8 minutes in SQL DEV.</t>
  </si>
  <si>
    <t>SELECT 
    A1.D1_SP_ID, 
    A3.MSRMT_CYC_CD, 
    A3.SCHED_SELECTION_DT, 
    A3.MSRMT_CYC_RTE_CD, 
    A4.BO_STATUS_CD, 
    A5.DEVICE_CONFIG_ID, 
    A6.MEASR_COMP_ID, 
    A6.MOST_RECENT_MSRMT_DTTM, 
    A7.MSRMT_COND_FLG, 
    A7.MSRMT_VAL
FROM 
    CISADM.D1_SP A1
JOIN 
    CISADM.D1_SP_MSRMT_CYC_SCHED_RTE A3 ON A1.D1_SP_ID = A3.D1_SP_ID
JOIN 
    CISADM.D1_INSTALL_EVT A4 ON A3.D1_SP_ID = A4.D1_SP_ID
JOIN 
    CISADM.D1_DVC_CFG A5 ON A4.DEVICE_CONFIG_ID = A5.DEVICE_CONFIG_ID
JOIN 
    CISADM.D1_MEASR_COMP A6 ON A5.DEVICE_CONFIG_ID = A6.DEVICE_CONFIG_ID
JOIN 
    CISADM.D1_MSRMT A7 ON A6.MEASR_COMP_ID = A7.MEASR_COMP_ID
WHERE 
    A4.BO_STATUS_CD IN ('ON', 'CONN-COMM')
   -- AND A1.D1_SP_ID = '403776764300'
    AND A3.SCHED_SELECTION_DT &gt;= '01-JAN-25'
    AND A7.MSRMT_COND_FLG &lt;&gt; '501000'
    AND A7.MSRMT_DTTM &gt;= '13-MAR-25';</t>
  </si>
  <si>
    <t>Business Questions</t>
  </si>
  <si>
    <t>Number of meters are in each cycle / route (Jim)</t>
  </si>
  <si>
    <t>filter by measurement cycle or mesurement route which is usally the same</t>
  </si>
  <si>
    <t>Meters that haven’t been read recently (Jim)</t>
  </si>
  <si>
    <t>this can be retrieved using the filter LATEST_MSRMT_DTTM</t>
  </si>
  <si>
    <t>Number of estimates that are created by route (Jim)</t>
  </si>
  <si>
    <t>this can be retrieved by adding the filter MSMRMT_COND_FLG &lt;&gt; '501000'</t>
  </si>
  <si>
    <t>D1_SP EQUIPMENT ALSO, DO NOT FORGET</t>
  </si>
  <si>
    <t xml:space="preserve">D1_STOP_DTTM                  </t>
  </si>
  <si>
    <t xml:space="preserve">OVRD_START_DTTM               </t>
  </si>
  <si>
    <t>Override Start Date/Time</t>
  </si>
  <si>
    <t xml:space="preserve">OVRD_STOP_DTTM                </t>
  </si>
  <si>
    <t>Override Stop Date/Time</t>
  </si>
  <si>
    <t xml:space="preserve">CONTACT_ID                    </t>
  </si>
  <si>
    <t>Contact ID</t>
  </si>
  <si>
    <t xml:space="preserve">US_CNTCT_REL_FLG              </t>
  </si>
  <si>
    <t>Relationship Type</t>
  </si>
  <si>
    <t>D1_CONTACT_IDENTIFIER</t>
  </si>
  <si>
    <t xml:space="preserve">CONTACT_ID_TYPE_FLG           </t>
  </si>
  <si>
    <t>Contact Identifier Type</t>
  </si>
  <si>
    <t>CI_PER</t>
  </si>
  <si>
    <t xml:space="preserve">EMAILID                       </t>
  </si>
  <si>
    <t>Email Address</t>
  </si>
  <si>
    <t xml:space="preserve">LANGUAGE_CD                   </t>
  </si>
  <si>
    <t>Language</t>
  </si>
  <si>
    <t xml:space="preserve">OVRD_MAIL_NAME1               </t>
  </si>
  <si>
    <t>Name 1</t>
  </si>
  <si>
    <t xml:space="preserve">OVRD_MAIL_NAME2               </t>
  </si>
  <si>
    <t>Name 2</t>
  </si>
  <si>
    <t xml:space="preserve">OVRD_MAIL_NAME3               </t>
  </si>
  <si>
    <t>Name 3</t>
  </si>
  <si>
    <t xml:space="preserve">PER_DATA_AREA                 </t>
  </si>
  <si>
    <t>Person Data Area</t>
  </si>
  <si>
    <t xml:space="preserve">PER_ID                        </t>
  </si>
  <si>
    <t xml:space="preserve">PER_OR_BUS_FLG                </t>
  </si>
  <si>
    <t>Person/Business</t>
  </si>
  <si>
    <t xml:space="preserve">RECV_MKTG_INFO_FLG            </t>
  </si>
  <si>
    <t>Web Self Service Marketing Info</t>
  </si>
  <si>
    <t xml:space="preserve">WEB_PASSWD                    </t>
  </si>
  <si>
    <t>Web Self Service Password</t>
  </si>
  <si>
    <t xml:space="preserve">WEB_PASSWD_ANS                </t>
  </si>
  <si>
    <t>Web Self Service Password Hint Answer</t>
  </si>
  <si>
    <t xml:space="preserve">WEB_PWD_HINT_FLG              </t>
  </si>
  <si>
    <t>Password Hint</t>
  </si>
  <si>
    <t xml:space="preserve">SCHED_SELECTION_DT            </t>
  </si>
  <si>
    <t>This is just to link the US and SP</t>
  </si>
  <si>
    <t>This links the US Contact to the Person</t>
  </si>
  <si>
    <t>Links the SP to the Measurement Cycle</t>
  </si>
  <si>
    <t>Adhoc filter as the report should be able to retrieve Installed for a specific period</t>
  </si>
  <si>
    <t>D1_SP_EQPMNT</t>
  </si>
  <si>
    <t xml:space="preserve">ACTIVE_INACTIVE_FLG           </t>
  </si>
  <si>
    <t>Active/Inactive</t>
  </si>
  <si>
    <t xml:space="preserve">EQPMNT_CNT                    </t>
  </si>
  <si>
    <t>Equipment Count</t>
  </si>
  <si>
    <t>This can be retrieved by adding a filter on the Meter Read Upload Req2 to check number of meters per Route</t>
  </si>
  <si>
    <t>This can be retrieved using the Measurement tab</t>
  </si>
  <si>
    <t>This can be retrieved by adding a filter on the Meter Read Upload Req2 to check estimated reads and another filter for Route</t>
  </si>
  <si>
    <t>Table Name:  D1_US</t>
  </si>
  <si>
    <t xml:space="preserve">US_ID_TYPE_FLG                </t>
  </si>
  <si>
    <t>Usage Subscription Identifier Type</t>
  </si>
  <si>
    <t>US_ID_TYPE_FLG = D2EI</t>
  </si>
  <si>
    <t>* D1_US_IDENTIFIER</t>
  </si>
  <si>
    <t>D1_ACTIVITY_TYPE</t>
  </si>
  <si>
    <t>BUS_OBJ_CD=D1-MeterReadDownloadActivity</t>
  </si>
  <si>
    <t>Left</t>
  </si>
  <si>
    <t>This will be used as the start date to look for the regular read</t>
  </si>
  <si>
    <t>MSRMT_CYC_CD</t>
  </si>
  <si>
    <t>measurementCycle</t>
  </si>
  <si>
    <t>This will be used to retrieve the Bill Cycle</t>
  </si>
  <si>
    <t>scheduledSelectionDate</t>
  </si>
  <si>
    <t>MSRMT_CYC_RTE_CD</t>
  </si>
  <si>
    <t>route</t>
  </si>
  <si>
    <t>D1_SCHED_TYPE_FLG</t>
  </si>
  <si>
    <t>scheduleType</t>
  </si>
  <si>
    <t>MSRMT_CYC_RTE_SEQ</t>
  </si>
  <si>
    <t>measurementCycleRouteSequence</t>
  </si>
  <si>
    <t>D1_MEASR_COMP_ID</t>
  </si>
  <si>
    <t>mc/mcList/measuringComponentId</t>
  </si>
  <si>
    <t>The MC Id value will be used to filter the measurement table</t>
  </si>
  <si>
    <t>ESTM_READING</t>
  </si>
  <si>
    <t>mc/mcList/estimatedReading</t>
  </si>
  <si>
    <t>LOW_BOUNDARY_READING</t>
  </si>
  <si>
    <t>mc/mcList/lowBoundaryReading</t>
  </si>
  <si>
    <t>HIGH_BOUNDARY_READING</t>
  </si>
  <si>
    <t>mc/mcList/highBoundaryReading</t>
  </si>
  <si>
    <t>lookup BO: D1-MeasurementConditionLookup
MSRMT_COND_FLG IN ('501000')</t>
  </si>
  <si>
    <t>This would only return regular reads related to the period specified</t>
  </si>
  <si>
    <t>Filter using the Create Date Time of the activity up to the end of the bill window</t>
  </si>
  <si>
    <t>This could be used to group the meter reads that came in per Meter Upload Files</t>
  </si>
  <si>
    <t>This is the column we would use to filter the IMD table to retrieve the External Id which would correspond to the Meter Read Upload Filename</t>
  </si>
  <si>
    <t>Sample query that retrieves the Download Meter Activity and the Upload file using the Measuring Component inn the measurement table and related IMD</t>
  </si>
  <si>
    <t>SELECT
    act.d1_activity_id,
    act.cre_dttm,
    act.start_dttm,
    act.bo_status_cd,
    EXTRACTVALUE(act.xml_data, '/ROOT/measurementCycle') AS measurementCycle,
    EXTRACTVALUE(act.xml_data, '/ROOT/route') AS route,
    EXTRACTVALUE(act.xml_data, '/ROOT/scheduleType') AS scheduleType,
    EXTRACTVALUE(act.xml_data, '/ROOT/scheduledSelectionDate') AS scheduledSelectionDate,
    EXTRACTVALUE(act.xml_data, '/ROOT/mcs/mcList/measuringComponentId') AS measuringComponentId,
    msrmt.msrmt_dttm,
    msrmt.reading_val,
    msrmt.msrmt_val,
    msrmt.orig_init_msrmt_id,
    imd.imd_ext_id
FROM (
    SELECT
        d1_activity_id,
        cre_dttm,
        start_dttm,
        bo_status_cd,
        XMLTYPE('&lt;ROOT&gt;' || BO_DATA_AREA || '&lt;/ROOT&gt;') AS xml_data,
        bus_obj_cd
    FROM cisadm.d1_activity
    WHERE bus_obj_cd = 'D1-MeterReadDownloadActivity'
      AND cre_dttm &gt;= TO_DATE('28-APR-25', 'DD-MON-RR')
) act
JOIN cisadm.d1_msrmt msrmt
  ON EXTRACTVALUE(act.xml_data, '/ROOT/mcs/mcList/measuringComponentId') = msrmt.measr_comp_id
  AND msrmt.msrmt_cond_flg = '501000'
  AND msrmt.msrmt_dttm BETWEEN TO_DATE('28-APR-25', 'DD-MON-RR') AND TO_DATE('12-MAY-25', 'DD-MON-RR')
LEFT JOIN cisadm.d1_init_msrmt_data imd
  ON msrmt.orig_init_msrmt_id = imd.init_msrmt_data_id</t>
  </si>
  <si>
    <t>Sample query to get percentage (still needs to be tweaked running the query takes 38.7 seconds to run in TST</t>
  </si>
  <si>
    <t xml:space="preserve">WITH meter_read_activities AS (
    SELECT
        d1_activity_id,
        cre_dttm,
        start_dttm,
        bo_status_cd,
        XMLTYPE('&lt;ROOT&gt;' || BO_DATA_AREA || '&lt;/ROOT&gt;') AS xml_data
    FROM cisadm.d1_activity
    WHERE bus_obj_cd = 'D1-MeterReadDownloadActivity'
      AND cre_dttm &gt;= TO_DATE('28-APR-25', 'DD-MON-RR')
      AND cre_dttm &lt;= TO_DATE('29-APR-25', 'DD-MON-RR')
),
expected_meters AS (
    SELECT
        EXTRACTVALUE(xml_data, '/ROOT/mcs/mcList/measuringComponentId') AS measr_comp_id
    FROM meter_read_activities
),
actual_reads AS (
    SELECT DISTINCT measr_comp_id
    FROM cisadm.d1_msrmt
    WHERE msrmt_dttm BETWEEN TO_DATE('28-APR-25', 'DD-MON-RR') AND TO_DATE('12-MAY-25', 'DD-MON-RR')
      AND CRE_DTTM BETWEEN TO_DATE('28-APR-25', 'DD-MON-RR') AND TO_DATE('12-MAY-25', 'DD-MON-RR')
      --AND msrmt_cond_flg = '501000'
      and orig_init_msrmt_id in (select init_msrmt_data_id from cisadm.d1_init_msrmt_data where imd_ext_id &lt;&gt; ' ')
)
SELECT
    COUNT(DISTINCT e.measr_comp_id) AS total_expected_meters,
    COUNT(DISTINCT a.measr_comp_id) AS meters_with_reads,
    ROUND(
        COUNT(DISTINCT a.measr_comp_id) * 100.0 / NULLIF(COUNT(DISTINCT e.measr_comp_id), 0),
        2
    ) AS read_completion_percentage
FROM expected_meters e
LEFT JOIN actual_reads a
  ON e.measr_comp_id = a.measr_comp_id;
</t>
  </si>
  <si>
    <t xml:space="preserve">Updated query:
SELECT
    act.d1_activity_id,
    aro.pk_value1,
    mc.measr_comp_id,
    msrmt.msrmt_dttm,
    msrmt.msrmt_val,
    imd.imd_ext_id
FROM cisadm.d1_activity act
JOIN cisadm.d1_activity_rel_obj aro ON act.d1_activity_id = aro.d1_activity_id
JOIN cisadm.d1_sp sp ON aro.pk_value1 = sp.d1_sp_id
JOIN cisadm.d1_install_evt ie ON sp.d1_sp_id = ie.d1_sp_id
JOIN cisadm.d1_measr_comp mc ON ie.device_config_id = mc.device_config_id
JOIN cisadm.d1_msrmt msrmt ON mc.measr_comp_id = msrmt.measr_comp_id 
JOIN cisadm.d1_init_msrmt_data imd ON msrmt.orig_init_msrmt_id = imd.init_msrmt_data_id
WHERE ie.bo_status_cd IN ('ON', 'CONN-COMM')
  AND act.activity_type_cd = 'MRDOWNLOAD'
  AND act.bo_status_cd = 'EXTRACTED'
  AND msrmt.msrmt_cond_flg = '501000'
  AND msrmt.msrmt_dttm &gt;= TO_DATE('14-MAY-25', 'DD-MON-RR')
  AND ACT.STATUS_UPD_DTTM &gt;= TO_DATE('14-MAY-25', 'DD-MON-RR');
</t>
  </si>
  <si>
    <t>D1_MSRMT_CYC_SCHED</t>
  </si>
  <si>
    <t xml:space="preserve">EXP_WRK_DT                    </t>
  </si>
  <si>
    <t>Expected Work Date</t>
  </si>
  <si>
    <t>The date can be used as a filter that the meter is expecting a read on this date. This would be the check the number of meters expected to have reads</t>
  </si>
  <si>
    <t>This can be used as a filter on the expected meters</t>
  </si>
  <si>
    <t xml:space="preserve">PRE_GEN_RTE_FLG               </t>
  </si>
  <si>
    <t>Pre Generate Route</t>
  </si>
  <si>
    <t>This will be used to retrieve the measurement cycle schedule date</t>
  </si>
  <si>
    <t>BO_STATUS_CD in ('ON','CONN-COMM')</t>
  </si>
  <si>
    <t>Use this filter to ensure the Meter is installed</t>
  </si>
  <si>
    <t>This will be retrieved using the filter for status and  sp id</t>
  </si>
  <si>
    <t>Retrieve the MC Id using the device configuration from the Install Event</t>
  </si>
  <si>
    <t>F1_EXT_LOOKUP_VAL
F1_EXT_LOOKUP_VAL_L</t>
  </si>
  <si>
    <t>In order to create the percentage, need to count the number of regular against other condition codes</t>
  </si>
  <si>
    <t>INIT_MSRMT_DATA_ID</t>
  </si>
  <si>
    <t>Noticed in CS TEST there were IMD's with a Discard status but it came from an upload file</t>
  </si>
  <si>
    <t>This is the upload file retrieved from the headend system</t>
  </si>
  <si>
    <t>Use the value from the D1_MSRMT table to filter</t>
  </si>
  <si>
    <t>Sample query: SELECT
    cyc.msrmt_cyc_cd,
    sched.exp_wrk_dt,
    ie.bo_status_cd,
    mc.measr_comp_id,
    imd.init_msrmt_data_id,
    imd.imd_ext_id,
    msrmt.msrmt_dttm,
    msrmt.reading_val
FROM cisadm.d1_msrmt_cyc cyc
JOIN cisadm.d1_msrmt_cyc_sched sched
  ON sched.msrmt_cyc_cd = cyc.msrmt_cyc_cd
JOIN cisadm.d1_sp sp1
  ON cyc.msrmt_cyc_cd = sp1.msrmt_cyc_cd
JOIN cisadm.d1_install_evt ie
  ON sp1.d1_sp_id = ie.d1_sp_id
JOIN cisadm.d1_measr_comp mc
  ON ie.device_config_id = mc.device_config_id
JOIN cisadm.d1_msrmt msrmt
  ON mc.measr_comp_id = msrmt.measr_comp_id
JOIN cisadm.d1_init_msrmt_data imd
  ON msrmt.orig_init_msrmt_id = imd.init_msrmt_data_id
WHERE ie.bo_status_cd IN ('ON', 'CONN-COMM')
  AND msrmt.msrmt_cond_flg = '501000'
  AND msrmt.msrmt_dttm &gt;= TO_DATE ('01-JUL-25', 'DD-MON-RR')
  AND sched.exp_wrk_dt BETWEEN TO_DATE ('01-JUL-25', 'DD-MON-RR') AND TO_DATE('02-JUL-25', 'DD-MON-RR');</t>
  </si>
  <si>
    <t>Table Name:  D1_SP_MSRMT_CYC_SCHED_RTE</t>
  </si>
  <si>
    <t>* D1_SP_MSRMT_CYC_SCHED_RTE</t>
  </si>
  <si>
    <t>MSRMT_DTTM &gt;=MOST_RECENT_MSRMT_DTTM</t>
  </si>
  <si>
    <t>Retrieve estimated reads
AND MSRMT_COND_FLG &lt;&gt; '501000'
Retrieve Regular reads
AND MSRMT_COND_FLG = '501000'</t>
  </si>
  <si>
    <t>Need to have separate filter for regular and estimated reads per route</t>
  </si>
  <si>
    <t>*  F1_EXT_LOOKUP_VAL_L</t>
  </si>
  <si>
    <t>Table Name:  F1_BNDL</t>
  </si>
  <si>
    <t>BNDL_ID (PK)</t>
  </si>
  <si>
    <t>Bundle ID</t>
  </si>
  <si>
    <t>F1_BNDL_ENTITY</t>
  </si>
  <si>
    <t>Bundle will not have a Bundle Entity if not yet Applied</t>
  </si>
  <si>
    <t>BNDL_TYPE_FLG</t>
  </si>
  <si>
    <t>Bundle Type</t>
  </si>
  <si>
    <t>This is the Bundle Name</t>
  </si>
  <si>
    <t>DESCRLONG</t>
  </si>
  <si>
    <t>BNDL_DETAIL</t>
  </si>
  <si>
    <t>Bundle Detail</t>
  </si>
  <si>
    <t>F1_BNDL_ENTTY</t>
  </si>
  <si>
    <t>Bundle Entity is Left Joined to Bundle Object on row #2</t>
  </si>
  <si>
    <t>SEQNO (PK)</t>
  </si>
  <si>
    <t>MAINT_OBJ_CD</t>
  </si>
  <si>
    <t>PROC_SEQ</t>
  </si>
  <si>
    <t>Processing Sequence</t>
  </si>
  <si>
    <t>PK_VALUE1</t>
  </si>
  <si>
    <t>PK_VALUE2</t>
  </si>
  <si>
    <t>PK_VALUE3</t>
  </si>
  <si>
    <t>PK_VALUE4</t>
  </si>
  <si>
    <t>PK_VALUE5</t>
  </si>
  <si>
    <t>Table Name: F1_MIGR_DATA_ST</t>
  </si>
  <si>
    <t>MIGR_DATA_SET_ID</t>
  </si>
  <si>
    <t>Migration Data Set will not have a Migration Transaction if not yet Applied</t>
  </si>
  <si>
    <t>BO_STATUS_REASON_CD</t>
  </si>
  <si>
    <t>MIGR_REQ_CD</t>
  </si>
  <si>
    <t>Migration Request</t>
  </si>
  <si>
    <t>F1_MIGR_REQ_L</t>
  </si>
  <si>
    <t>This is the CMA Name</t>
  </si>
  <si>
    <t>EXPORT_DTTM</t>
  </si>
  <si>
    <t>Export Date/Time</t>
  </si>
  <si>
    <t>COMPARE_DTTM</t>
  </si>
  <si>
    <t>Compare Date/Time</t>
  </si>
  <si>
    <t>MIGR_FILENAME</t>
  </si>
  <si>
    <t>Migration File Name</t>
  </si>
  <si>
    <t>This is the CMA File Name</t>
  </si>
  <si>
    <t>ADD_BO_STATUS_CD</t>
  </si>
  <si>
    <t>Default Status for Add</t>
  </si>
  <si>
    <t>CHG_BO_STATUS_CD</t>
  </si>
  <si>
    <t>Default Status for Change</t>
  </si>
  <si>
    <t>TRANS_RETRY_NBR</t>
  </si>
  <si>
    <t>Transaction Retry Number</t>
  </si>
  <si>
    <t>OBJ_RETRY_NBR</t>
  </si>
  <si>
    <t>Object Retry Number</t>
  </si>
  <si>
    <t>MIGR_FILEVERSION</t>
  </si>
  <si>
    <t>Migration File Number</t>
  </si>
  <si>
    <t>BULK_IMPORT_FLG</t>
  </si>
  <si>
    <t>Bulk Import</t>
  </si>
  <si>
    <t>REDACT_OPT_FLG</t>
  </si>
  <si>
    <t>Redaction Option</t>
  </si>
  <si>
    <t>INSERT_ONLY_FLG</t>
  </si>
  <si>
    <t>Insert Only</t>
  </si>
  <si>
    <t>MIGR_TRANS_ID (PK)</t>
  </si>
  <si>
    <t>Migration Transaction is Left Joined to Migration Data Set on row #2</t>
  </si>
  <si>
    <t>MIGR_PLAN_CD</t>
  </si>
  <si>
    <t>Migration Plan</t>
  </si>
  <si>
    <t>F1_MIGR_PLAN_L</t>
  </si>
  <si>
    <t>RETRY_ITERATION_NBR</t>
  </si>
  <si>
    <t>Retry Iteration Number</t>
  </si>
  <si>
    <t>Table Name:  CI_PREM</t>
  </si>
  <si>
    <t>Justification: This domain will retrieve Premise Information, Service Point Information as well as the related Account and Bill Cycle</t>
  </si>
  <si>
    <t>Designer: Lennice</t>
  </si>
  <si>
    <t>* CI_PREM_TYPE_L</t>
  </si>
  <si>
    <t>*CI_CIS_DIVISION</t>
  </si>
  <si>
    <t>* CI_LANDLORD</t>
  </si>
  <si>
    <t>* CI_MR_INSTR_L</t>
  </si>
  <si>
    <t>* CI_MR_WARN_L</t>
  </si>
  <si>
    <t>* CI_TREND_AREA_L</t>
  </si>
  <si>
    <t>*CI_TIME_ZONE_L</t>
  </si>
  <si>
    <t>CI_PREM_CHAR</t>
  </si>
  <si>
    <t xml:space="preserve">EFFDT                         </t>
  </si>
  <si>
    <t>Effective Date</t>
  </si>
  <si>
    <t>*CI_PREM</t>
  </si>
  <si>
    <t xml:space="preserve">SRCH_CHAR_VAL                 </t>
  </si>
  <si>
    <t>Search Characteristic Value</t>
  </si>
  <si>
    <t>get the value whose char type code is xxx</t>
  </si>
  <si>
    <t xml:space="preserve">CHAR_TYPE_CD IN (C2MRESTY,IN-OUT)
</t>
  </si>
  <si>
    <t>CI_PREM_GEO</t>
  </si>
  <si>
    <t xml:space="preserve">GEO_TYPE_CD                   </t>
  </si>
  <si>
    <t>Geographic Type</t>
  </si>
  <si>
    <t>GEO_TYPE_CD:  Lat/Long.</t>
  </si>
  <si>
    <t>identify common geotype</t>
  </si>
  <si>
    <t xml:space="preserve">GEO_VAL                       </t>
  </si>
  <si>
    <t>Geographic Value</t>
  </si>
  <si>
    <t>*CI_LOOKUP_VAL_L</t>
  </si>
  <si>
    <t>Add a filter, the user can choose the status of the SA relarted to the Premsie</t>
  </si>
  <si>
    <t>*CI_SA</t>
  </si>
  <si>
    <t>CI_ACCT_PER</t>
  </si>
  <si>
    <t>*CI_ACCT</t>
  </si>
  <si>
    <t>CI_PER_NAME</t>
  </si>
  <si>
    <t>Just get the name</t>
  </si>
  <si>
    <t>CI_LANDLORD</t>
  </si>
  <si>
    <t xml:space="preserve">DESCR                         </t>
  </si>
  <si>
    <t xml:space="preserve">DESCR_UPR                     </t>
  </si>
  <si>
    <t>Josh Suggestions:</t>
  </si>
  <si>
    <t>full display; all foreign keys with description</t>
  </si>
  <si>
    <t>create a database view that extracts the folloiwng; yes there are three, but for future projects, we will use separate LAT and LONG.</t>
  </si>
  <si>
    <t>*  LAT/LONG</t>
  </si>
  <si>
    <t>*  LAT</t>
  </si>
  <si>
    <t>*  LONG</t>
  </si>
  <si>
    <t>I don't think there's anything that is generic (part of DV) where we put PREM_CHAR.  For this case, we don't need to include this for now.</t>
  </si>
  <si>
    <t>full display; some foreign keys with description; refer to BSEG Exception; via char prem id</t>
  </si>
  <si>
    <t>full display; some foreign keys with description; refer to BSEG Exception</t>
  </si>
  <si>
    <t>Name</t>
  </si>
  <si>
    <t>Via CI_ACCT, CI_ACCT_PER and CI_PER_NAME with name type flag = PRIM and Main Customer Switch = Y</t>
  </si>
  <si>
    <t>First five digit of the postal code from the premise</t>
  </si>
  <si>
    <t>Location</t>
  </si>
  <si>
    <t>Customer Operations/Premise</t>
  </si>
  <si>
    <t>Ad Hoc View Tabular 1</t>
  </si>
  <si>
    <t>Name, Address Upper, City Upper, SA ID, SA Type, SA Status, Account ID, Customer Class</t>
  </si>
  <si>
    <t>filter:  name, starts with; address upper, starts with, customer class desc one of; sa type description, one of.</t>
  </si>
  <si>
    <t>Ad Hoc View 1</t>
  </si>
  <si>
    <t>Count of distinct premises, grouped by Premise Type; cross tab</t>
  </si>
  <si>
    <t>filter:  premise type desc, one of</t>
  </si>
  <si>
    <t>Ad Hoc View 2</t>
  </si>
  <si>
    <t>Count of distinct premises, group by Postal (first five digits); cross tab</t>
  </si>
  <si>
    <t>filter:  postal 5 (one of); premise type, one-of</t>
  </si>
  <si>
    <t>Dashboard</t>
  </si>
  <si>
    <t>Combination of Ad Hoc Views 1 and 2.</t>
  </si>
  <si>
    <t>filter is premise type</t>
  </si>
  <si>
    <t>Table Name:  W1_ASSET</t>
  </si>
  <si>
    <t>ASSET_ID</t>
  </si>
  <si>
    <t>* W1_ASSET_NODE
* W1_ASSET_CHAR?
* CMS_W1_ASSET_IDENTIFIER_VW</t>
  </si>
  <si>
    <t>Left Join - W1_ASSET_CHAR
Inner Join - W1_ASSET_NODE
Inner Join - W1_ASSET_IDENTIFIER</t>
  </si>
  <si>
    <t>Asset can have 0 to many Chars
Asset Node is the history of the movement of Asset from Location to Another. This should be 1 to many</t>
  </si>
  <si>
    <t>ASSET_TYPE_CD</t>
  </si>
  <si>
    <t>Asset Type</t>
  </si>
  <si>
    <t>W1_ASSET_TYPE_L</t>
  </si>
  <si>
    <t>ASSET_COND_FLG</t>
  </si>
  <si>
    <t>Asset Condition</t>
  </si>
  <si>
    <t>SPECIFICATION_CD</t>
  </si>
  <si>
    <t>Specification</t>
  </si>
  <si>
    <t>W1_SPECIFICATION_L</t>
  </si>
  <si>
    <t>ACT_ID</t>
  </si>
  <si>
    <t>W1_ASSET_ACTIVITY</t>
  </si>
  <si>
    <t>Asset can be created via the Asset Replicator Asset Activity</t>
  </si>
  <si>
    <t>FINAL_DTTM</t>
  </si>
  <si>
    <t>Final Date/Time</t>
  </si>
  <si>
    <t>OWNING_ACCESS_GRP_CD</t>
  </si>
  <si>
    <t>Owning Organization</t>
  </si>
  <si>
    <t>CONDITION_RATING</t>
  </si>
  <si>
    <t>Condition Rating</t>
  </si>
  <si>
    <t>CONFIDENCE_RATING</t>
  </si>
  <si>
    <t>Confidence Rating</t>
  </si>
  <si>
    <t>BOM_PART_ID</t>
  </si>
  <si>
    <t>BOM Part</t>
  </si>
  <si>
    <t>W1_BOM_PART
*** Get Description from BOM_PART_DESCR Column</t>
  </si>
  <si>
    <t>UNIT_PRICE</t>
  </si>
  <si>
    <t>Unit Price</t>
  </si>
  <si>
    <t>VENDOR_LOC_ID</t>
  </si>
  <si>
    <t>W1_VENDOR_LOC
*** Get Description from LOC_NAME Column</t>
  </si>
  <si>
    <t>MAINT_SPEC_CD</t>
  </si>
  <si>
    <t>Maintenance Specification</t>
  </si>
  <si>
    <t>PROPERTY_UNIT_CD</t>
  </si>
  <si>
    <t>Property Unit</t>
  </si>
  <si>
    <t>W1_PROPERTY_UNIT_L</t>
  </si>
  <si>
    <t>CST_SCORE</t>
  </si>
  <si>
    <t>Cost Score</t>
  </si>
  <si>
    <t>CST_SCR_DTTM</t>
  </si>
  <si>
    <t>Cost Score Date Time</t>
  </si>
  <si>
    <t>ASSET_AVAILABILITY_FLG</t>
  </si>
  <si>
    <t>Asset Availability</t>
  </si>
  <si>
    <t>FIXED_ASSET_NUM</t>
  </si>
  <si>
    <t>Fixed Asset Num</t>
  </si>
  <si>
    <t>ACQUISITION_COST</t>
  </si>
  <si>
    <t>Acquisition Cost</t>
  </si>
  <si>
    <t>ACQUISITION_DT</t>
  </si>
  <si>
    <t>Acquisition Date</t>
  </si>
  <si>
    <t>ASSET_OWNERSHIP_FLG</t>
  </si>
  <si>
    <t>Asset Ownership</t>
  </si>
  <si>
    <t>AVG_OUT_REPR_COST</t>
  </si>
  <si>
    <t>Average Outage Repair Cost</t>
  </si>
  <si>
    <t>BOOK_VALUE</t>
  </si>
  <si>
    <t>Book Value</t>
  </si>
  <si>
    <t>CALENDAR_PM_RESET_DT</t>
  </si>
  <si>
    <t>Calendar PM Reset Date</t>
  </si>
  <si>
    <t>CONTRIBUTED_FLG</t>
  </si>
  <si>
    <t>Contributed</t>
  </si>
  <si>
    <t>CORE_CHARGE</t>
  </si>
  <si>
    <t>Core Charge</t>
  </si>
  <si>
    <t>CORE_CHRG_EXP_DT</t>
  </si>
  <si>
    <t>Core Charge Disposal Cost</t>
  </si>
  <si>
    <t>DISPOSAL_COST</t>
  </si>
  <si>
    <t>Disposal Cost</t>
  </si>
  <si>
    <t>ECO_LIFE</t>
  </si>
  <si>
    <t>Economic Life (Years)</t>
  </si>
  <si>
    <t>HOURLY_OUT_COST</t>
  </si>
  <si>
    <t>Hourly Outage Cost</t>
  </si>
  <si>
    <t>IN_SERVICE_DT</t>
  </si>
  <si>
    <t>In Service Date</t>
  </si>
  <si>
    <t>PREDCTD_WEAR_OUT_DT</t>
  </si>
  <si>
    <t>Predicted Wear Out Date</t>
  </si>
  <si>
    <t>REPLACEMENT_COST</t>
  </si>
  <si>
    <t>Replacement Cost</t>
  </si>
  <si>
    <t>SALVAGE_COST</t>
  </si>
  <si>
    <t>Salvage Cost</t>
  </si>
  <si>
    <t>USEFUL_LIFE</t>
  </si>
  <si>
    <t>Useful Life (Years)</t>
  </si>
  <si>
    <t>BO_DATA_AREA: configuration (no display; no mapping)</t>
  </si>
  <si>
    <t xml:space="preserve">No mapping needed. This configuration dictates which device and measurement configurations will be created on the D1 side during the sync process. This information is already available on the device related tables (D1 Tables). 
</t>
  </si>
  <si>
    <t>BO_DATA_AREA: configurationDateTime (no display; no mapping)</t>
  </si>
  <si>
    <t>Configuration Date Time</t>
  </si>
  <si>
    <t>BO_DATA_AREA: c2mDeviceId (no display; no mapping)</t>
  </si>
  <si>
    <t xml:space="preserve">No mapping needed. This is the M-Side Device ID which is stored on the Asset Identifier with Type of EI
</t>
  </si>
  <si>
    <t>BO_DATA_AREA: warrantyDetail (no display; no mapping)</t>
  </si>
  <si>
    <t>Warranty Detail</t>
  </si>
  <si>
    <t>No mapping needed</t>
  </si>
  <si>
    <t>W1_ASSET_CHAR</t>
  </si>
  <si>
    <t>CMS_W1_ASSET_IDENTIFIER_VW</t>
  </si>
  <si>
    <t>Asset Identifier is Inner Joined to Asset Table on row #2</t>
  </si>
  <si>
    <t>EXTERNAL_ID</t>
  </si>
  <si>
    <t>Asset Identifier Type</t>
  </si>
  <si>
    <t>ASSET_ID_TYPE_FLG = W1EI</t>
  </si>
  <si>
    <t>Join Type set to Inner Join because Assets are required to have a Badge Number</t>
  </si>
  <si>
    <t>PALLET_NUMBER</t>
  </si>
  <si>
    <t>Pallet Number</t>
  </si>
  <si>
    <t>ASSET_ID_TYPE_FLG = W1PN</t>
  </si>
  <si>
    <t>SERIAL_NUMBER</t>
  </si>
  <si>
    <t>Serial Number</t>
  </si>
  <si>
    <t>ASSET_ID_TYPE_FLG = W1SN</t>
  </si>
  <si>
    <t>BADGE_NUMBER</t>
  </si>
  <si>
    <t>ASSET_ID_TYPE_FLG = W1BN</t>
  </si>
  <si>
    <t>PURCHASE_ORDER</t>
  </si>
  <si>
    <t>Purchase Order</t>
  </si>
  <si>
    <t>ASSET_ID_TYPE_FLG = W2PO</t>
  </si>
  <si>
    <t>METROLOGY_FIRMWARE_VERSION</t>
  </si>
  <si>
    <t>Metrology Firmware Version</t>
  </si>
  <si>
    <t>ASSET_ID_TYPE_FLG = W2MF</t>
  </si>
  <si>
    <t>NIC_FIRMWARE_VERSION</t>
  </si>
  <si>
    <t>NIC Firmware Version</t>
  </si>
  <si>
    <t>ASSET_ID_TYPE_FLG = W2NF</t>
  </si>
  <si>
    <t>W1_ASSET_NODE</t>
  </si>
  <si>
    <t>Asset Node is Inner Joined to Asset Table on row #2.
For the reports, we would need to filter the most effective Asset Node linked to the Asset</t>
  </si>
  <si>
    <t>ASSET_DPOS_FLG</t>
  </si>
  <si>
    <t>Asset Disposition</t>
  </si>
  <si>
    <t>W1-AssetDisposition</t>
  </si>
  <si>
    <t>NODE_ID</t>
  </si>
  <si>
    <t>Joining to W1_NODE to display the Address Details on the report</t>
  </si>
  <si>
    <t>ATTCH_TO_ASSET_ID</t>
  </si>
  <si>
    <t>Attached to Asset ID</t>
  </si>
  <si>
    <t>CURR_ASSET_ID</t>
  </si>
  <si>
    <t>Current Asset ID</t>
  </si>
  <si>
    <t>CURR_NODE_ID</t>
  </si>
  <si>
    <t>Current Node ID</t>
  </si>
  <si>
    <t>CURR_ATTCH_TO_ASSET_ID</t>
  </si>
  <si>
    <t>Current Attached to Asset ID</t>
  </si>
  <si>
    <t>FAILURE_FLG</t>
  </si>
  <si>
    <t>Failure</t>
  </si>
  <si>
    <t>Node is joined to W1_ASSET_NODE</t>
  </si>
  <si>
    <t>DESCR100</t>
  </si>
  <si>
    <t>W1_DESCR100_UPR</t>
  </si>
  <si>
    <t>Description Upper</t>
  </si>
  <si>
    <t>NODE_TYPE_CD</t>
  </si>
  <si>
    <t>Location/Organization Type</t>
  </si>
  <si>
    <t>W1_NODE_TYPE_L</t>
  </si>
  <si>
    <t>NODE_DPOS_FLG</t>
  </si>
  <si>
    <t>Location/Organization Disposition</t>
  </si>
  <si>
    <t>W1_OPERATION_FLG</t>
  </si>
  <si>
    <t>Operation</t>
  </si>
  <si>
    <t>PARENT_NODE_ID</t>
  </si>
  <si>
    <t>Parent Location/Organization</t>
  </si>
  <si>
    <t>Display the Parent Node Description</t>
  </si>
  <si>
    <t>CRITICALITY_FLG</t>
  </si>
  <si>
    <t>Criticality</t>
  </si>
  <si>
    <t>LOCATION_CLASS_FLG</t>
  </si>
  <si>
    <t>Location Class</t>
  </si>
  <si>
    <t>ADDRESS1</t>
  </si>
  <si>
    <t>W1_ADDRESS1_UPR</t>
  </si>
  <si>
    <t>ADDRESS2</t>
  </si>
  <si>
    <t>ADDRESS3</t>
  </si>
  <si>
    <t>ADDRESS4</t>
  </si>
  <si>
    <t>W1_CROSS_STREET</t>
  </si>
  <si>
    <t>Cross Street</t>
  </si>
  <si>
    <t>CITY</t>
  </si>
  <si>
    <t>W1_CITY_UPR</t>
  </si>
  <si>
    <t>W1_SUBURB</t>
  </si>
  <si>
    <t>Suburb</t>
  </si>
  <si>
    <t>W1_GEO_LAT</t>
  </si>
  <si>
    <t>Latitude</t>
  </si>
  <si>
    <t>W1_GEO_LONG</t>
  </si>
  <si>
    <t>Longitude</t>
  </si>
  <si>
    <t>HOUSE_TYPE</t>
  </si>
  <si>
    <t>NUM1</t>
  </si>
  <si>
    <t>NUM2</t>
  </si>
  <si>
    <t>GEO_CODE</t>
  </si>
  <si>
    <t>SERVICE_AREA_CD</t>
  </si>
  <si>
    <t>W1_SERVICE_AREA_L</t>
  </si>
  <si>
    <t>WORK_REQ_APPROVAL_PROF_CD</t>
  </si>
  <si>
    <t>Work Request Approval Profile</t>
  </si>
  <si>
    <t>W1_APPROVAL_PROF_L</t>
  </si>
  <si>
    <t>BUILDING</t>
  </si>
  <si>
    <t>Building</t>
  </si>
  <si>
    <t>ROOM</t>
  </si>
  <si>
    <t>Room</t>
  </si>
  <si>
    <t>POSITION</t>
  </si>
  <si>
    <t>Position</t>
  </si>
  <si>
    <t>RCM_SYSTEM_FLG</t>
  </si>
  <si>
    <t>RCM System</t>
  </si>
  <si>
    <t>RUN_TO_FAILURE_FLG</t>
  </si>
  <si>
    <t>Run to Failure</t>
  </si>
  <si>
    <t>INV_COST_CENTER_CD</t>
  </si>
  <si>
    <t>Inventory Cost Center</t>
  </si>
  <si>
    <t>W1_COST_CENTER_L</t>
  </si>
  <si>
    <t>INV_ADJTMT_COST_CENTER_CD</t>
  </si>
  <si>
    <t>Inventory Adjustment Cost Center</t>
  </si>
  <si>
    <t>MARK_UP_COST_CENTER_CD</t>
  </si>
  <si>
    <t>Markup Cost Center</t>
  </si>
  <si>
    <t>STOCK_TRANSFER_COST_CENTER_CD</t>
  </si>
  <si>
    <t>Stock Transfer Cost Center</t>
  </si>
  <si>
    <t>INV_EXPENSE_CD</t>
  </si>
  <si>
    <t>Inventory Expense Code</t>
  </si>
  <si>
    <t>W1_EXPENSE_CD_L</t>
  </si>
  <si>
    <t>BUYER_CD</t>
  </si>
  <si>
    <t>Buyer</t>
  </si>
  <si>
    <t>W1_BUYER_L</t>
  </si>
  <si>
    <t>MARK_UP_EXPENSE_CD</t>
  </si>
  <si>
    <t>Markup Expense Code</t>
  </si>
  <si>
    <t>RR_APP_REQ_FLG</t>
  </si>
  <si>
    <t>Reorder Review Approval Required</t>
  </si>
  <si>
    <t>PUR_DOC_ACTION_FLG</t>
  </si>
  <si>
    <t>Purchasing Document Action</t>
  </si>
  <si>
    <t>PLANNER_CD</t>
  </si>
  <si>
    <t>Planner</t>
  </si>
  <si>
    <t>W1_PLANNER_L</t>
  </si>
  <si>
    <t>BACK_LOG_GRP_FLG</t>
  </si>
  <si>
    <t>Backlog Group</t>
  </si>
  <si>
    <t>MAINTMGR_CD</t>
  </si>
  <si>
    <t>Maintenance Manager</t>
  </si>
  <si>
    <t>W1_MAINTMGR_L</t>
  </si>
  <si>
    <t>TAX_COST_CENTER_CD</t>
  </si>
  <si>
    <t>Tax Cost Center</t>
  </si>
  <si>
    <t>INVOICE_WRITEOFF_COST_CTR_CD</t>
  </si>
  <si>
    <t>Invoice Write-Off Cost Center Code</t>
  </si>
  <si>
    <t>TAX_EXPENSE_CD</t>
  </si>
  <si>
    <t>Tax Expense Code</t>
  </si>
  <si>
    <t>INVOICE_WRITEOFF_EXPENSE_CD</t>
  </si>
  <si>
    <t>Invoice Write-Off Expense Code</t>
  </si>
  <si>
    <t>SERVICE_COND_FLG</t>
  </si>
  <si>
    <t>Service Condition</t>
  </si>
  <si>
    <t>W1-ServiceCondition</t>
  </si>
  <si>
    <t>Table Name: W1_NODE</t>
  </si>
  <si>
    <t>* W1_NODE_IDENTIFIER</t>
  </si>
  <si>
    <t>Left Join - W1_NODE_IDENTIFIER</t>
  </si>
  <si>
    <t>CI_COUNTRY_L</t>
  </si>
  <si>
    <t>BO_DATA_AREA: lifeSupportSensitiveLoad</t>
  </si>
  <si>
    <t>Life Support Sensitive Load</t>
  </si>
  <si>
    <t>No Mapping Needed</t>
  </si>
  <si>
    <t>BO_DATA_AREA: lifeSupportSensitiveLoadDetail</t>
  </si>
  <si>
    <t>Life Support Sensitive Load Detail</t>
  </si>
  <si>
    <t>BO_DATA_AREA: siteLocation</t>
  </si>
  <si>
    <t>Site Location</t>
  </si>
  <si>
    <t>BO_DATA_AREA: siteLocationDetail</t>
  </si>
  <si>
    <t>Site Location Detail</t>
  </si>
  <si>
    <t>BO_DATA_AREA: disconnectLocation</t>
  </si>
  <si>
    <t>BO_DATA_AREA: spWarning</t>
  </si>
  <si>
    <t>BO_DATA_AREA: spInstruction</t>
  </si>
  <si>
    <t>BO_DATA_AREA: spInstructionDetail</t>
  </si>
  <si>
    <t>SP Instruction Detail</t>
  </si>
  <si>
    <t>BO_DATA_AREA: key</t>
  </si>
  <si>
    <t>BO_DATA_AREA: keyId</t>
  </si>
  <si>
    <t>BO_DATA_AREA: okToEnter</t>
  </si>
  <si>
    <t>Ok To Enter</t>
  </si>
  <si>
    <t>W1_NODE_IDENTIFIER</t>
  </si>
  <si>
    <t>Node Identifier is Left Joined to Asset Table on row #2</t>
  </si>
  <si>
    <t>NODE_ID_TYPE_FLG</t>
  </si>
  <si>
    <t>Location/Organization Identifier Type</t>
  </si>
  <si>
    <t>NODE_ID_TYPE_FLG=W1EI</t>
  </si>
  <si>
    <t>W1_ID_VALUE</t>
  </si>
  <si>
    <t>Table Name:  CI_SP</t>
  </si>
  <si>
    <t xml:space="preserve">SP_TYPE_CD                    </t>
  </si>
  <si>
    <t>SP Type</t>
  </si>
  <si>
    <t>* CI_SP_TYPE
* CI_SP_TYPE_L</t>
  </si>
  <si>
    <t>* CI_PREM</t>
  </si>
  <si>
    <t xml:space="preserve">SP_STATUS_FLG                 </t>
  </si>
  <si>
    <t>Service Point Status</t>
  </si>
  <si>
    <t xml:space="preserve">* CI_LOOKUP_VAL
* CI_LOOKUP_VAL_L                </t>
  </si>
  <si>
    <t>Field = SP_STATUS_FLG</t>
  </si>
  <si>
    <t xml:space="preserve">INSTALL_DT                    </t>
  </si>
  <si>
    <t xml:space="preserve">ABOLISH_DT                    </t>
  </si>
  <si>
    <t>Out of Service Date</t>
  </si>
  <si>
    <t xml:space="preserve">SP_SRC_STATUS_FLG             </t>
  </si>
  <si>
    <t>Service Point Source Status</t>
  </si>
  <si>
    <t xml:space="preserve">Field = SP_SRC_STATUS_FLG              </t>
  </si>
  <si>
    <t xml:space="preserve">DISCON_LOC_CD                 </t>
  </si>
  <si>
    <t xml:space="preserve">* CI_DISCON_LOC
* DISCON_LOC_L           </t>
  </si>
  <si>
    <t xml:space="preserve">MR_CYC_CD                     </t>
  </si>
  <si>
    <t>Service Cycle</t>
  </si>
  <si>
    <t>* CI_MR_CYC
* CI_MR_CYC_L</t>
  </si>
  <si>
    <t xml:space="preserve">MR_RTE_CD                     </t>
  </si>
  <si>
    <t>Service Route</t>
  </si>
  <si>
    <t>* CI_MR_RTE_L</t>
  </si>
  <si>
    <t xml:space="preserve">MR_CYC_RTE_SEQ                </t>
  </si>
  <si>
    <t>Service Cycle/Route Sequence</t>
  </si>
  <si>
    <t xml:space="preserve">MTR_LOC_CD                    </t>
  </si>
  <si>
    <t>Meter Location</t>
  </si>
  <si>
    <t>* CI_MTR_LOC
* CI_MTR_LOC_L</t>
  </si>
  <si>
    <t xml:space="preserve">MTR_LOC_DETAILS               </t>
  </si>
  <si>
    <t>Location Details</t>
  </si>
  <si>
    <t xml:space="preserve">FAC_LVL_1_CD                  </t>
  </si>
  <si>
    <t>Facility Level 1</t>
  </si>
  <si>
    <t>* CI_FAC_LVL_1
* CI_FAC_LVL_1_L</t>
  </si>
  <si>
    <t xml:space="preserve">FAC_LVL_2_CD                  </t>
  </si>
  <si>
    <t>Facility Level 2</t>
  </si>
  <si>
    <t>* CI_FAC_LVL_2
* CI_FAC_LVL_2_L</t>
  </si>
  <si>
    <t xml:space="preserve">FAC_LVL_3_CD                  </t>
  </si>
  <si>
    <t>Facility Level 3</t>
  </si>
  <si>
    <t>* CI_FAC_LVL_3
* CI_FAC_LVL_3_L</t>
  </si>
  <si>
    <t xml:space="preserve">OVRD_PREM_FLD_INFO_FLG        </t>
  </si>
  <si>
    <t>Override Premise Field Information</t>
  </si>
  <si>
    <t xml:space="preserve">Field = OVRD_PREM_FLD_INFO_FLG             </t>
  </si>
  <si>
    <t>* CI_MR_WARN
* CI_MR_WARN_L</t>
  </si>
  <si>
    <t xml:space="preserve">SP_DATA_AREA                  </t>
  </si>
  <si>
    <t>SP Data Area</t>
  </si>
  <si>
    <t>Table Name:  C1_USAGE</t>
  </si>
  <si>
    <t>* CI_SP</t>
  </si>
  <si>
    <t>* CI_BILL_CYC_SCH
* CI_BILL_CYC_SCH_L</t>
  </si>
  <si>
    <t>* CI_BILL_CYC_SCH</t>
  </si>
  <si>
    <t>* CI_BSEG</t>
  </si>
  <si>
    <t>* CI_SA_REL</t>
  </si>
  <si>
    <t>Information would be retrieve if there's a master - sub SA that's billed. both records will be stored in the C1_USAGE table</t>
  </si>
  <si>
    <t>C1_BILL_COND_FLG</t>
  </si>
  <si>
    <t>TBD.Inner Join if we are going to use a View to get the USG_DATA_AREA values</t>
  </si>
  <si>
    <t>C1_IS_ESTIMATE_SW</t>
  </si>
  <si>
    <t>Estimate Switch</t>
  </si>
  <si>
    <t>C1_USAGE_TYPE_FLG</t>
  </si>
  <si>
    <t>Usage Request Type</t>
  </si>
  <si>
    <t>Table Name:  C1_PA_RQST</t>
  </si>
  <si>
    <t>Data Area:  C1-PARequest</t>
  </si>
  <si>
    <t>PA_RQST_ID</t>
  </si>
  <si>
    <t>Payment Arrangement Request ID</t>
  </si>
  <si>
    <t>*F1_BUS_OBJ_STATUS_RSN
*F1_BUS_OBJ_STATUS_RSN_L</t>
  </si>
  <si>
    <t>*F1_BUS_OBJ_STATUS_RSN.BO_STATUS_BO_CD = C1_PA_RQST.BUS_OBJ_ CD
*F1_BUS_OBJ_STATUS_RSN.BO_STATUS_CD = C1_PA_RQST.BO_STATUS_CD</t>
  </si>
  <si>
    <t>*F1_BUS_OBJ_STATUS
*F1_BUS_OBJ_STATUS_L</t>
  </si>
  <si>
    <t xml:space="preserve">*F1_BUS_OBJ_STATUS.BUS_OBJ_CD = C1_PA_RQST.BUS_OBJ_ CD 
*F1_BUS_OBJ_STATUS.BUS_OBJ_CD = C1_PA_RQST.BO_STATUS_CD </t>
  </si>
  <si>
    <t>PA_RQST_NBR_INSTALLMENT</t>
  </si>
  <si>
    <t>Number of Installments</t>
  </si>
  <si>
    <t>PA_RQST_RSLT_FLG</t>
  </si>
  <si>
    <t>Request Result</t>
  </si>
  <si>
    <t>Field Name = 'PA_RQST_RSLT_FLG'</t>
  </si>
  <si>
    <t>PA_RQST_REASON</t>
  </si>
  <si>
    <t>Request Reason</t>
  </si>
  <si>
    <t>BUS_OBJ_CD = 'C1-PARequestReasonLookup'</t>
  </si>
  <si>
    <t>PA_RQST_DOWN_PAY_DUE_DT</t>
  </si>
  <si>
    <t>Down Payment Due Date</t>
  </si>
  <si>
    <t>PA_RQST_DOWN_PAY_AMT</t>
  </si>
  <si>
    <t>Down Payment Amount</t>
  </si>
  <si>
    <t xml:space="preserve">PA_RQST_TOT_AMT          </t>
  </si>
  <si>
    <t>Total PA Amount</t>
  </si>
  <si>
    <t>*CI_ACCT_PER
*CI_PER_PRIM_WV
***Display the Customer Name</t>
  </si>
  <si>
    <t>MAIN_CUST_SW = 'Y'</t>
  </si>
  <si>
    <t xml:space="preserve">PA_RQST_DT       </t>
  </si>
  <si>
    <t>Request Date</t>
  </si>
  <si>
    <t>PA_RQST_INSTALLMENT_AMT</t>
  </si>
  <si>
    <t>Installment Amount</t>
  </si>
  <si>
    <t>PA_RQST_TYPE_CD</t>
  </si>
  <si>
    <t>Payment Arrangement Request Type</t>
  </si>
  <si>
    <t>C1_PA_RQST_TYPE_L</t>
  </si>
  <si>
    <t xml:space="preserve">BO_XML_DATA_AREA: 
XML Element - paymentAmount
Field - PA_RQST_DOWN_PAY_PAYMENT
</t>
  </si>
  <si>
    <t>Actual Down Payment Amount</t>
  </si>
  <si>
    <t>/paymentAmount</t>
  </si>
  <si>
    <t>Mapping needed</t>
  </si>
  <si>
    <t xml:space="preserve">BO_XML_DATA_AREA: 
XML Element - processFlowStatus
Field - BO_STATUS_CD
</t>
  </si>
  <si>
    <t>Process Flow Status
*** Manual Label</t>
  </si>
  <si>
    <t>Related Table - F1_BUS_OBJ_STATUS_L
Xpath - /processFlowStatus</t>
  </si>
  <si>
    <t>No mapping needed. This is suppressed from the Schema, so this information will not be displayed in C2M</t>
  </si>
  <si>
    <t xml:space="preserve">BO_XML_DATA_AREA: 
XML Element - approvalToDoEntryId
Field - TD_ENTRY_ID
</t>
  </si>
  <si>
    <t>Approval To Do Entry ID 
*** Manual Label</t>
  </si>
  <si>
    <t>Xpath - /approvalToDoEntryId</t>
  </si>
  <si>
    <t xml:space="preserve">BO_XML_DATA_AREA: 
XML Element - downpaymentStartDate
Field - PA_RQST_DOWN_PAY_START_DATE
</t>
  </si>
  <si>
    <t>Down Payment Start Date</t>
  </si>
  <si>
    <t>Xpath - /downpaymentStartDate</t>
  </si>
  <si>
    <t xml:space="preserve">BO_XML_DATA_AREA: 
XML Element - downpaymentEndDate
Field - PA_RQST_DOWN_PAY_END_DATE
</t>
  </si>
  <si>
    <t>Xpath - /downpaymentEndDate</t>
  </si>
  <si>
    <t xml:space="preserve">BO_XML_DATA_AREA: 
XML Element - isCancelledFromProcessFlow
Field - C1_CANCEL_FROM_PF_SW
</t>
  </si>
  <si>
    <t>Cancel from Process Flow</t>
  </si>
  <si>
    <t>Xpath - /isCancelledFromProcessFlow</t>
  </si>
  <si>
    <t xml:space="preserve">BO_XML_DATA_AREA: 
XML Element - remainingAmount
Field - PA_REMAINING_AMOUNT
</t>
  </si>
  <si>
    <t>Recalculated Remaining Amount
*** Manual Label</t>
  </si>
  <si>
    <t>Xpath - recalculated/remainingAmount</t>
  </si>
  <si>
    <t xml:space="preserve">BO_XML_DATA_AREA: 
XML Element - numberOfInstallments
Field - PA_RQST_NBR_INSTALLMENT
</t>
  </si>
  <si>
    <t>Recalculated Number of Installments
*** Manual Label</t>
  </si>
  <si>
    <t>Xpath - recalculated/numberOfInstallments</t>
  </si>
  <si>
    <t xml:space="preserve">BO_XML_DATA_AREA: 
XML Element - installmentAmount
Field - PA_RQST_INSTALLMENT_AMT
</t>
  </si>
  <si>
    <t>Recalculated Installment Amount
*** Manual Label</t>
  </si>
  <si>
    <t>Xpath - recalculated/installmentAmount</t>
  </si>
  <si>
    <t xml:space="preserve">BO_XML_DATA_AREA: 
XML Element - termsSummary
Field - PA_PAYMENT_TERMS
</t>
  </si>
  <si>
    <t>Recalculated Payment Terms
*** Manual Label</t>
  </si>
  <si>
    <t>Xpath - recalculated/termsSummary</t>
  </si>
  <si>
    <t>C1_PA_RQST_REL_OBJ RELOBJ1</t>
  </si>
  <si>
    <t>Joined to link to the Payment Arrangement SA that will be created</t>
  </si>
  <si>
    <t>PA_RQST_REL_OBJ_TYPE_FLG</t>
  </si>
  <si>
    <t>PA Request Related Object Type</t>
  </si>
  <si>
    <t>Field Name = 'PA_RQST_REL_OBJ_TYPE_FLG'
Field Value = 'C1PA'</t>
  </si>
  <si>
    <t>SEQ_NUM</t>
  </si>
  <si>
    <t>MAINT_OBJ_CD = 'SA'</t>
  </si>
  <si>
    <t>* CI_SA
* CI_SA_TYPE_L
***Display the SA Status and SA Type Description</t>
  </si>
  <si>
    <t>C1_PA_RQST_REL_OBJ RELOBJ2</t>
  </si>
  <si>
    <t>Joined to link to the Covered SAs with balance that will be transferred to the Payment Arrangement SA</t>
  </si>
  <si>
    <t>Field Name = 'PA_RQST_REL_OBJ_TYPE_FLG'
Field Value = 'C1SA'</t>
  </si>
  <si>
    <t xml:space="preserve">BO_XML_DATA_AREA: 
XML Element - currentBalance
Field - PA_RQST_CUR_BAL
</t>
  </si>
  <si>
    <t>SA Current Balance
*** Manual Label</t>
  </si>
  <si>
    <t>Xpath - paSAs/paSa/currentBalance
***paSA is a List Element</t>
  </si>
  <si>
    <t>Join paSAs/paSa/saId to RELOBJ2.PK_VALUE1</t>
  </si>
  <si>
    <t xml:space="preserve">BO_XML_DATA_AREA: 
XML Element - paSa/amount
Field - PA_RQST_SA_AMT
</t>
  </si>
  <si>
    <t>SA Included Amount
*** Manual Label</t>
  </si>
  <si>
    <t>Xpath - paSAs/paSa/amount
***paSA is a List Element</t>
  </si>
  <si>
    <t xml:space="preserve">BO_XML_DATA_AREA: 
XML Element -paSa/recalculated/amount
Field - PA_RQST_SA_AMT_RECALC
</t>
  </si>
  <si>
    <t>SA Recalculated Amount
*** Manual Label</t>
  </si>
  <si>
    <t>Xpath - paSAs/paSa/recalculated/amount
***paSA is a List Element</t>
  </si>
  <si>
    <t xml:space="preserve">BO_XML_DATA_AREA: 
XML Element - saArrears
</t>
  </si>
  <si>
    <t>N/A - This is a List Node for the SA Arrears info storing the SA aging balance bucket</t>
  </si>
  <si>
    <t xml:space="preserve">Xpath - paSAs/paSa/saArrears/*
</t>
  </si>
  <si>
    <t>C1_PA_RQST_ELIG_RSLT</t>
  </si>
  <si>
    <t xml:space="preserve">BO_XML_DATA_AREA: 
XML Element - paEligibility
</t>
  </si>
  <si>
    <t>N/A - This is a List Node for the Eligibility Criteria Information</t>
  </si>
  <si>
    <t xml:space="preserve">Xpath - /paEligibility
</t>
  </si>
  <si>
    <t>Table Name:  C1_REPRESENTATIVE</t>
  </si>
  <si>
    <t>Data Area:  C1-ThirdPartyRepresentative</t>
  </si>
  <si>
    <t>C1_REPRESENTATIVE_CD</t>
  </si>
  <si>
    <t>Crew
*** Manual Label</t>
  </si>
  <si>
    <t>* C1_REPRESENTATIVE_L
* D1_ACTIVITY_CHAR</t>
  </si>
  <si>
    <t>* D1_ACTIVITY_CHAR.CHAR_TYPE_CD = 'CMFAREP'
* D1_ACTIVITY_CHAR.SRCH_CHAR_VAL = 'CMFAREP' = C1_REPRESENTATIVE_CD</t>
  </si>
  <si>
    <t>* C1_REPRESENTATIVE_L - Inner Join
* D1_ACTIVITY_CHAR - Left Join</t>
  </si>
  <si>
    <t>BUS_OBJ_CD = 'C1-ThirdPartyRepresentative'</t>
  </si>
  <si>
    <t>C1_REPRESENTATIVE_TYPE_FLG</t>
  </si>
  <si>
    <t>Sales Representative Type</t>
  </si>
  <si>
    <t>Field Name = 'C1_REPRESENTATIVE_TYPE_FLG'</t>
  </si>
  <si>
    <t>Can be excluded, Representative Type will be always Third Party. This is more on internal and the Field Description might confuse Customer</t>
  </si>
  <si>
    <t xml:space="preserve">PER_ID                </t>
  </si>
  <si>
    <t>Will not be joined to Person Table. Crew Name will be fetched from C1_REPRESENTATIVE_L Table</t>
  </si>
  <si>
    <t>NT_XID_CD</t>
  </si>
  <si>
    <t>External System</t>
  </si>
  <si>
    <t>CI_NT_XID_L</t>
  </si>
  <si>
    <t xml:space="preserve">C1_PA_RQST.BO_XML_DATA_AREA: 
XML Element - serviceArea
Field - CM_ML_CREW_SVC_AREA_LBL
</t>
  </si>
  <si>
    <t>Xpath - cmMobileLiteDetails/serviceAreas/serviceAreaList/serviceArea
***serviceAreaList is a List Element</t>
  </si>
  <si>
    <t xml:space="preserve">C1_PA_RQST.BO_XML_DATA_AREA: 
XML Element - capability
Field - CM_ML_WORKER_CAPABILITY
</t>
  </si>
  <si>
    <t>Worker Capability</t>
  </si>
  <si>
    <t>Xpath - cmMobileLiteDetails/workerCapability/capabilities/capability
***capabilities is a List Element</t>
  </si>
  <si>
    <t>D1_ACTIVITY_CHAR (linkage only)</t>
  </si>
  <si>
    <t>Activity Char is Left Joined to Representative Table</t>
  </si>
  <si>
    <t>CMFAREP</t>
  </si>
  <si>
    <t>ADHOC_CHAR_VAL</t>
  </si>
  <si>
    <t>CHAR_VAL_FK1</t>
  </si>
  <si>
    <t>CHAR_VAL_FK2</t>
  </si>
  <si>
    <t>CHAR_VAL_FK3</t>
  </si>
  <si>
    <t>CHAR_VAL_FK4</t>
  </si>
  <si>
    <t>CHAR_VAL_FK5</t>
  </si>
  <si>
    <t>SRCH_CHAR_VAL</t>
  </si>
  <si>
    <t>C1_Representative_Cd</t>
  </si>
  <si>
    <t>We only need the main information of the FA since the purpose of this domain is to measure Field Worker Performance (How many FAs can a crew complete within the Day)</t>
  </si>
  <si>
    <t>Table Name:  CI_APPR_REQ</t>
  </si>
  <si>
    <t>Data Area:  C1-AdjustmentApprovalRequest</t>
  </si>
  <si>
    <t>APPR_REQ_ID</t>
  </si>
  <si>
    <t>Approval  Request Id</t>
  </si>
  <si>
    <t>APPR_PROF_CD</t>
  </si>
  <si>
    <t>Approval Profile</t>
  </si>
  <si>
    <t>CI_APPR_PROF_L</t>
  </si>
  <si>
    <t xml:space="preserve">C1-AdjustmentApprovalRequest  </t>
  </si>
  <si>
    <t xml:space="preserve">BO_XML_DATA_AREA: 
XML Element - adjustmentId
Field - ADJ_ID
</t>
  </si>
  <si>
    <t>Adjustment ID</t>
  </si>
  <si>
    <t>Related Table:
* CI_ADJ
* CI_ADJ_TYPE_L
* CI_SA
* CI_ACCT_PER
* CI_PER_PRIM_WV
***Get the following information:
- Adjustment Type Description
- SA ID
- SA Type Description
- SA Status
- Account ID
- Customer Name
XPath:
/adjustmentId</t>
  </si>
  <si>
    <t xml:space="preserve">BO_XML_DATA_AREA: 
XML Element - accountDate
Field - ACCOUNTING_DT
</t>
  </si>
  <si>
    <t>Accounting Date</t>
  </si>
  <si>
    <t>XPath:
approvalInfo/accountDate</t>
  </si>
  <si>
    <t xml:space="preserve">BO_XML_DATA_AREA: 
XML Element - currentApprovalToDoId
Field - TD_ENTRY_ID
</t>
  </si>
  <si>
    <t>To Do Entry ID</t>
  </si>
  <si>
    <t>Related Table:
* CI_TD_ENTRY
* CI_TD_TYPE_L
* CI_TD_ROLE_L
* SC_USER
***Get the following information:
- To Do Type Description
- To Do Role Description
- To Do Assigned User
XPath:
approvalInfo/currentApprovalToDoId</t>
  </si>
  <si>
    <t xml:space="preserve">BO_XML_DATA_AREA: 
XML Element - waitRetryCount
Field - C1_WAIT_RETRY_CNT
</t>
  </si>
  <si>
    <t>Wait Retry Count</t>
  </si>
  <si>
    <t>XPath:
approvalInfo/waitRetryCount</t>
  </si>
  <si>
    <t>No mapping needed. This is field is for internal processing</t>
  </si>
  <si>
    <t xml:space="preserve">BO_XML_DATA_AREA: 
XML Element - waitForApprovalStartDateTime
Field - C1_WAIT_START_DTTM
</t>
  </si>
  <si>
    <t>Wait for Approval Start Date/Time</t>
  </si>
  <si>
    <t>XPath:
approvalInfo/waitForApprovalStartDateTime</t>
  </si>
  <si>
    <t xml:space="preserve">BO_XML_DATA_AREA: 
XML Element - approvalList
</t>
  </si>
  <si>
    <t>Approval List</t>
  </si>
  <si>
    <t>XPath:
approvalInfo/approvalList/*
***This is a list element</t>
  </si>
  <si>
    <t>No mapping needed. This is the information copied from the Approval Profile Admin Config</t>
  </si>
  <si>
    <t xml:space="preserve">BO_XML_DATA_AREA: 
XML Element - rejectReason
Field - C1_AREQ_REJECT_RSN_FLG
</t>
  </si>
  <si>
    <t>Reject Reason</t>
  </si>
  <si>
    <t>XPath:
rejectInfo/rejectReason
Related Table:
CI_LOOKUP_VAL_L</t>
  </si>
  <si>
    <t>Table Name:  CI_BILL</t>
  </si>
  <si>
    <t>Data Area:  N/A</t>
  </si>
  <si>
    <t>BILL_ID</t>
  </si>
  <si>
    <t>Bill Id</t>
  </si>
  <si>
    <t>*CI_BILL_EXCP
*CI_BILL_MSG
*CI_BILL_ROUTING
*CI_BSEG</t>
  </si>
  <si>
    <t>*CI_BILL_EXCP - Left Join
*CI_BILL_MSG - Left Join
*CI_BILL_ROUTING - Left Join
*CI_BSEG - Left Join</t>
  </si>
  <si>
    <t>BILL_CYC_CD</t>
  </si>
  <si>
    <t>CI_BILL_CYC_L</t>
  </si>
  <si>
    <t>Manually generated Bill don't have a Bill Cycle that's why Left Join is used</t>
  </si>
  <si>
    <t>WIN_START_DT</t>
  </si>
  <si>
    <t>*CI_ACCT
*CI_ACCT_PER
*CI_PER_PRIM_WV
***Display the Customer Name
***Display Customer Class</t>
  </si>
  <si>
    <t>CI_ACCT_PER.MAIN_CUST_SW = 'Y'</t>
  </si>
  <si>
    <t>BILL_STAT_FLG</t>
  </si>
  <si>
    <t>Bill Status</t>
  </si>
  <si>
    <t>BILL_DT</t>
  </si>
  <si>
    <t>Bill Date</t>
  </si>
  <si>
    <t>DUE_DT</t>
  </si>
  <si>
    <t>Due Date</t>
  </si>
  <si>
    <t>COMPLETE_DTTM</t>
  </si>
  <si>
    <t>Completion Date/Time</t>
  </si>
  <si>
    <t>LATE_PAY_CHARGE_SW</t>
  </si>
  <si>
    <t>Late Payment Charge</t>
  </si>
  <si>
    <t>LATE_PAY_CHARGE_DT</t>
  </si>
  <si>
    <t>Late Payment Charge Date</t>
  </si>
  <si>
    <t>ALLOW_REOPEN_SW</t>
  </si>
  <si>
    <t>Allow Reopen</t>
  </si>
  <si>
    <t>NEXT_CR_RVW_DT</t>
  </si>
  <si>
    <t>Next Credit Review Date</t>
  </si>
  <si>
    <t>CR_NOTE_FR_BILL_ID</t>
  </si>
  <si>
    <t>CR Note from Bill ID</t>
  </si>
  <si>
    <t>ALT_BILL_ID</t>
  </si>
  <si>
    <t>Seq Bill Number</t>
  </si>
  <si>
    <t>APAY_CRE_DT</t>
  </si>
  <si>
    <t>Auto Pay Creation Date</t>
  </si>
  <si>
    <t>APAY_AMT</t>
  </si>
  <si>
    <t>Auto Pay Amount</t>
  </si>
  <si>
    <t>APAY_STOP_USER_ID</t>
  </si>
  <si>
    <t>Auto Pay Stop User Id</t>
  </si>
  <si>
    <t>SC_USER
*** Display the Name of the User</t>
  </si>
  <si>
    <t>APAY_STOP_DTTM</t>
  </si>
  <si>
    <t>Auto Pay Stop Date/Time</t>
  </si>
  <si>
    <t>APAY_STOP_AMT</t>
  </si>
  <si>
    <t>Auto Pay Stop Amount</t>
  </si>
  <si>
    <t>APAY_STOP_CRE_DT</t>
  </si>
  <si>
    <t>Auto Pay Stop Creation Date</t>
  </si>
  <si>
    <t>ARCHIVE_SW</t>
  </si>
  <si>
    <t>Archived</t>
  </si>
  <si>
    <t>DOC_ID</t>
  </si>
  <si>
    <t>Document Number</t>
  </si>
  <si>
    <t>DOC_TYPE_FLG</t>
  </si>
  <si>
    <t>Document Type</t>
  </si>
  <si>
    <t>OFFCYC_BGEN_ID</t>
  </si>
  <si>
    <t>Off Cycle Bill Generator ID</t>
  </si>
  <si>
    <t>BILL_SIGN</t>
  </si>
  <si>
    <t>Digitial Bill Signature</t>
  </si>
  <si>
    <t>CI_BILL_MSGS</t>
  </si>
  <si>
    <t>Bill ID</t>
  </si>
  <si>
    <t>*CI_BILL_MSGS is left-joined onto CI_BILL</t>
  </si>
  <si>
    <t>BILL_MSG_CD</t>
  </si>
  <si>
    <t>Bill Message</t>
  </si>
  <si>
    <t>CI_BILL_MSG_L
*** Display the Bill Message Description and Message on Bill</t>
  </si>
  <si>
    <t>CI_BILL_MSG_PRM</t>
  </si>
  <si>
    <t>Right Join - Link both Bill Id and Bill Message</t>
  </si>
  <si>
    <t xml:space="preserve">	Sequence</t>
  </si>
  <si>
    <t>MSG_PARM_VAL</t>
  </si>
  <si>
    <t>Message Parameter Value</t>
  </si>
  <si>
    <t>CI_BILL_ROUTING</t>
  </si>
  <si>
    <t>*CI_BILL_ROUTING is left-joined onto CI_BILL</t>
  </si>
  <si>
    <t>SEQNO</t>
  </si>
  <si>
    <t>PER_ID</t>
  </si>
  <si>
    <t>NBR_BILL_COPIES</t>
  </si>
  <si>
    <t>Number of Bill Copies</t>
  </si>
  <si>
    <t>BATCH_CD</t>
  </si>
  <si>
    <t>Batch Control</t>
  </si>
  <si>
    <t>CI_BATCH_CTRL_L</t>
  </si>
  <si>
    <t>BILL_FORMAT_FLG</t>
  </si>
  <si>
    <t>Bill Format</t>
  </si>
  <si>
    <t>CUST_PO_ID</t>
  </si>
  <si>
    <t>Customer PO ID</t>
  </si>
  <si>
    <t>ENTITY_NAME1</t>
  </si>
  <si>
    <t>ENTITY_NAME2</t>
  </si>
  <si>
    <t>ENTITY_NAME3</t>
  </si>
  <si>
    <t>IN_CITY_LIMIT</t>
  </si>
  <si>
    <t>BATCH_NBR</t>
  </si>
  <si>
    <t>Batch Number</t>
  </si>
  <si>
    <t>EXTRACT_DTTM</t>
  </si>
  <si>
    <t>Extract Date/Time</t>
  </si>
  <si>
    <t>REPRINT_SW</t>
  </si>
  <si>
    <t>Reprint</t>
  </si>
  <si>
    <t>NO_BATCH_PRT_SW</t>
  </si>
  <si>
    <t>Do Not Extract</t>
  </si>
  <si>
    <t>BILL_PRT_INTERCEPT</t>
  </si>
  <si>
    <t>*CI_BSEG is left-joined onto CI_BILL</t>
  </si>
  <si>
    <t>*CI_BSEG_ITEM
*CI_BSEG_SQ
*CI_BSEG_READ
*CI_BSEG_CALC
*CI_BSEG_EXCP
*CI_BSEG_MSG</t>
  </si>
  <si>
    <t>*CI_BSEG_ITEM - Left Join
*CI_BSEG_SQ - Left Join
*CI_BSEG_READ - Left Join
*CI_BSEG_CALC - Left Join
*CI_BSEG_EXCP - Left Join
*CI_BSEG_MSG - Left Join</t>
  </si>
  <si>
    <t>CAN_RSN_CD</t>
  </si>
  <si>
    <t>CI_BILL_CAN_RSN_L</t>
  </si>
  <si>
    <t>CAN_BSEG_ID</t>
  </si>
  <si>
    <t>SA_ID</t>
  </si>
  <si>
    <t>START_DT</t>
  </si>
  <si>
    <t xml:space="preserve">	Start Date</t>
  </si>
  <si>
    <t>EST_SW</t>
  </si>
  <si>
    <t>CLOSING_BSEG_SW</t>
  </si>
  <si>
    <t>SQ_OVERRIDE_SW</t>
  </si>
  <si>
    <t>ITEM_OVERRIDE_SW</t>
  </si>
  <si>
    <t>CI_PREM
***Display Address Details</t>
  </si>
  <si>
    <t>BSEG_STAT_FLG</t>
  </si>
  <si>
    <t xml:space="preserve">	Create Date/Time</t>
  </si>
  <si>
    <t>STAT_CHG_DTTM</t>
  </si>
  <si>
    <t>REBILL_SEG_ID</t>
  </si>
  <si>
    <t>MASTER_BSEG_ID</t>
  </si>
  <si>
    <t>MDM_START_DTTM</t>
  </si>
  <si>
    <t>MDM_END_DTTM</t>
  </si>
  <si>
    <t>BILL_SCNR_ID</t>
  </si>
  <si>
    <t>CI_BSEG_ITEM</t>
  </si>
  <si>
    <t>*CI_BSEG_ITEM is left-joined onto CI_BSEG</t>
  </si>
  <si>
    <t>ITEM_TYPE_CD</t>
  </si>
  <si>
    <t>Item Type</t>
  </si>
  <si>
    <t>CI_ITEM_TYPE_L</t>
  </si>
  <si>
    <t>ITEM_ID</t>
  </si>
  <si>
    <t xml:space="preserve">	Item ID</t>
  </si>
  <si>
    <t>END_DT</t>
  </si>
  <si>
    <t>ITEM_CNT</t>
  </si>
  <si>
    <t>Item Count</t>
  </si>
  <si>
    <t>UOM_CD</t>
  </si>
  <si>
    <t>CI_UOM_L</t>
  </si>
  <si>
    <t>SVC_QTY</t>
  </si>
  <si>
    <t>Daily Service Quantity</t>
  </si>
  <si>
    <t>CI_BSEG_SQ</t>
  </si>
  <si>
    <t>*CI_BSEG_SQ is left-joined onto CI_BSEG</t>
  </si>
  <si>
    <t>TOU_CD</t>
  </si>
  <si>
    <t>CI_TOU_L</t>
  </si>
  <si>
    <t>SQI_CD</t>
  </si>
  <si>
    <t>CI_SQI_L</t>
  </si>
  <si>
    <t xml:space="preserve">	INIT_SQ</t>
  </si>
  <si>
    <t xml:space="preserve">	Initial Service Quantity</t>
  </si>
  <si>
    <t>BILL_SQ</t>
  </si>
  <si>
    <t>Billable Service Quantity</t>
  </si>
  <si>
    <t>CI_BSEG_READ</t>
  </si>
  <si>
    <t>*CI_BSEG_READ is left-joined onto CI_BSEG</t>
  </si>
  <si>
    <t>SP_ID</t>
  </si>
  <si>
    <t>REG_CONST</t>
  </si>
  <si>
    <t>Register Constant</t>
  </si>
  <si>
    <t>USAGE_FLG</t>
  </si>
  <si>
    <t>How To Use (SP)</t>
  </si>
  <si>
    <t>USE_PCT</t>
  </si>
  <si>
    <t>HOW_TO_USE_FLG</t>
  </si>
  <si>
    <t>MSR_PEAK_QTY_SW</t>
  </si>
  <si>
    <t xml:space="preserve">	Measures Peak Qty</t>
  </si>
  <si>
    <t>START_REG_READ_ID</t>
  </si>
  <si>
    <t>Start Reg Read ID</t>
  </si>
  <si>
    <t>START_READ_DTTM</t>
  </si>
  <si>
    <t>Start Read Date/Time</t>
  </si>
  <si>
    <t>START_REG_READING</t>
  </si>
  <si>
    <t>Start Register Reading</t>
  </si>
  <si>
    <t>END_REG_READ_ID</t>
  </si>
  <si>
    <t>End Register Reading ID</t>
  </si>
  <si>
    <t>END_READ_DTTM</t>
  </si>
  <si>
    <t>End Read Date/Time</t>
  </si>
  <si>
    <t>END_REG_READING</t>
  </si>
  <si>
    <t>End Register Reading</t>
  </si>
  <si>
    <t>MSR_QTY</t>
  </si>
  <si>
    <t>Measured Quantity</t>
  </si>
  <si>
    <t>FINAL_UOM_CD</t>
  </si>
  <si>
    <t>Final Unit of Measure</t>
  </si>
  <si>
    <t>FINAL_TOU_CD</t>
  </si>
  <si>
    <t>Final Time of Use</t>
  </si>
  <si>
    <t>FINAL_REG_QTY</t>
  </si>
  <si>
    <t>Register Quantity</t>
  </si>
  <si>
    <t>FINAL_SQI_CD</t>
  </si>
  <si>
    <t xml:space="preserve">	Final Service Quantity ID</t>
  </si>
  <si>
    <t>CI_BSEG_CALC</t>
  </si>
  <si>
    <t>* CI_BSEG
* CI_BSEG_CALC_LN</t>
  </si>
  <si>
    <t>* CI_BSEG - Right Join
* CI_BSEG_CALC_LN - Left Join</t>
  </si>
  <si>
    <t>*CI_BSEG_CALC is left-joined onto CI_BSEG</t>
  </si>
  <si>
    <t>HEADER_SEQ</t>
  </si>
  <si>
    <t>Header Sequence</t>
  </si>
  <si>
    <t>* CI_BSEG_CALC_LN</t>
  </si>
  <si>
    <t>* CI_BSEG_CALC_LN - Left Join</t>
  </si>
  <si>
    <t>CURRENCY_CD</t>
  </si>
  <si>
    <t>CI_CURRENCY_CD_L</t>
  </si>
  <si>
    <t>RS_CD</t>
  </si>
  <si>
    <t>Rate Schedule</t>
  </si>
  <si>
    <t>CI_RS_L</t>
  </si>
  <si>
    <t>EFFDT</t>
  </si>
  <si>
    <t>BILLABLE_CHG_ID</t>
  </si>
  <si>
    <t>Billable Charge ID</t>
  </si>
  <si>
    <t>CALC_AMT</t>
  </si>
  <si>
    <t xml:space="preserve">	Calculated Amount</t>
  </si>
  <si>
    <t>DESCR_ON_BILL</t>
  </si>
  <si>
    <t>Description on Bill</t>
  </si>
  <si>
    <t xml:space="preserve">	Version</t>
  </si>
  <si>
    <t>CI_BSEG_CALC_LN</t>
  </si>
  <si>
    <t>*CI_BSEG_CALC_LN is left-joined onto CI_BSEG_CALC</t>
  </si>
  <si>
    <t>CI_CHAR_TYPE_L</t>
  </si>
  <si>
    <t>CI_CHAR_VAL_L</t>
  </si>
  <si>
    <t>DST_ID</t>
  </si>
  <si>
    <t>Distribution Code</t>
  </si>
  <si>
    <t>CI_DST_CODE_L</t>
  </si>
  <si>
    <t xml:space="preserve">	Unit of Measure</t>
  </si>
  <si>
    <t>RC_SEQ</t>
  </si>
  <si>
    <t>PRT_SW</t>
  </si>
  <si>
    <t>Print</t>
  </si>
  <si>
    <t>APP_IN_SUMM_SW</t>
  </si>
  <si>
    <t>Appears in Summary</t>
  </si>
  <si>
    <t>Calculated Amount</t>
  </si>
  <si>
    <t>EXEMPT_AMT</t>
  </si>
  <si>
    <t>Exempt Amount</t>
  </si>
  <si>
    <t>BASE_AMT</t>
  </si>
  <si>
    <t>Base Amount</t>
  </si>
  <si>
    <t>Measures Peak Qty</t>
  </si>
  <si>
    <t>AUDIT_CALC_AMT</t>
  </si>
  <si>
    <t>Audit Calculated Amount</t>
  </si>
  <si>
    <t>CALC_GRP_CD</t>
  </si>
  <si>
    <t>C1_CALC_GRP_L</t>
  </si>
  <si>
    <t>CALC_RULE_CD</t>
  </si>
  <si>
    <t>C1_CALC_RULE_L</t>
  </si>
  <si>
    <t xml:space="preserve">*If Bill is in Error, the error details will be stored in this table
*CI_BSEG_EXCP is left-joined onto CI_BSEG
</t>
  </si>
  <si>
    <t>MESSAGE_CAT_NBR</t>
  </si>
  <si>
    <t>MESSAGE_NBR</t>
  </si>
  <si>
    <t>BSEG_EXCP_FLG</t>
  </si>
  <si>
    <t>Bill Segment Exception Type</t>
  </si>
  <si>
    <t>EXP_MSG</t>
  </si>
  <si>
    <t>Message</t>
  </si>
  <si>
    <t>Actual Exception/Error Message Information</t>
  </si>
  <si>
    <t>MESSAGE_PARM1</t>
  </si>
  <si>
    <t>Parameter 1</t>
  </si>
  <si>
    <t>MESSAGE_PARM2</t>
  </si>
  <si>
    <t>Parameter 2</t>
  </si>
  <si>
    <t>MESSAGE_PARM3</t>
  </si>
  <si>
    <t>Parameter 3</t>
  </si>
  <si>
    <t>MESSAGE_PARM4</t>
  </si>
  <si>
    <t>Parameter 4</t>
  </si>
  <si>
    <t>MESSAGE_PARM5</t>
  </si>
  <si>
    <t>Parameter 5</t>
  </si>
  <si>
    <t>MESSAGE_PARM6</t>
  </si>
  <si>
    <t>Parameter 6</t>
  </si>
  <si>
    <t>MESSAGE_PARM7</t>
  </si>
  <si>
    <t>Parameter 7</t>
  </si>
  <si>
    <t>MESSAGE_PARM8</t>
  </si>
  <si>
    <t>Parameter 8</t>
  </si>
  <si>
    <t>MESSAGE_PARM9</t>
  </si>
  <si>
    <t>Parameter 9</t>
  </si>
  <si>
    <t>CALL_SEQ</t>
  </si>
  <si>
    <t>Calling Program Sequence</t>
  </si>
  <si>
    <t>REVIEW_COMP</t>
  </si>
  <si>
    <t>Reviewed</t>
  </si>
  <si>
    <t>REVIEW_USER_ID</t>
  </si>
  <si>
    <t>Review User</t>
  </si>
  <si>
    <t>REVIEW_DT</t>
  </si>
  <si>
    <t>Review Date</t>
  </si>
  <si>
    <t>CI_BSEG_MSG</t>
  </si>
  <si>
    <t>*CI_BSEG_MSG is left-joined onto CI_BSEG</t>
  </si>
  <si>
    <t>Per Jim:  Regardless of Newark's specifics, it would be beneficial to know which bill segments are estimated vs. created using actual reads.  This feels like it should have been an Oracle standard report in the past, but using the Billed Usage domain should give us those metrics.</t>
  </si>
  <si>
    <t>Table Name:  CI_FT</t>
  </si>
  <si>
    <t>CI_FT FTBS</t>
  </si>
  <si>
    <t>FT_ID</t>
  </si>
  <si>
    <t>Financial Transaction ID</t>
  </si>
  <si>
    <t>CI_FT_GL</t>
  </si>
  <si>
    <t>*CI_SA
*CI_ACCT_PER
*CI_PER_PRIM_WV
*CI_SA_TYPE_L
*CI_PREM
***Display the Customer Name and SA Type Description</t>
  </si>
  <si>
    <t>*CI_SA - Inner Join
*CI_ACCT_PER - Inner Join
*CI_PER_PRIM_WV - Inner Join
*CI_SA_TYPE_L - Inner Join
*CI_PREM - Left Joined onto CI_SA via CHAR_PREM_ID</t>
  </si>
  <si>
    <t>SIBLING_ID</t>
  </si>
  <si>
    <t>Sibling ID</t>
  </si>
  <si>
    <t>FT_TYPE_FLG</t>
  </si>
  <si>
    <t>Financial Transaction Type</t>
  </si>
  <si>
    <t>FT_TYPE_FLG IN  ('BS','BX')</t>
  </si>
  <si>
    <t>CUR_AMT</t>
  </si>
  <si>
    <t>Current Amount</t>
  </si>
  <si>
    <t>GL_DIVISION</t>
  </si>
  <si>
    <t>GL Division</t>
  </si>
  <si>
    <t>CI_GL_DIVISION_L</t>
  </si>
  <si>
    <t>CIS_DIVISION</t>
  </si>
  <si>
    <t>TOT_AMT</t>
  </si>
  <si>
    <t>Payoff Amount</t>
  </si>
  <si>
    <t>FREEZE_SW</t>
  </si>
  <si>
    <t>Frozen (Posted to Account)</t>
  </si>
  <si>
    <t>FREEZE_DTTM</t>
  </si>
  <si>
    <t>Freeze Date/Time</t>
  </si>
  <si>
    <t>ARS_DT</t>
  </si>
  <si>
    <t>Arrears Date</t>
  </si>
  <si>
    <t>FREEZE_USER_ID</t>
  </si>
  <si>
    <t>Freeze User Id</t>
  </si>
  <si>
    <t>CORRECTION_SW</t>
  </si>
  <si>
    <t>Correction</t>
  </si>
  <si>
    <t>REDUNDANT_SW</t>
  </si>
  <si>
    <t>Redundant</t>
  </si>
  <si>
    <t>NEW_DEBIT_SW</t>
  </si>
  <si>
    <t>New Charge</t>
  </si>
  <si>
    <t>SHOW_ON_BILL_SW</t>
  </si>
  <si>
    <t>Show on bill</t>
  </si>
  <si>
    <t>NOT_IN_ARS_SW</t>
  </si>
  <si>
    <t>Not In Arrears</t>
  </si>
  <si>
    <t>PARENT_ID</t>
  </si>
  <si>
    <t>Parent</t>
  </si>
  <si>
    <t>ACCOUNTING_DT</t>
  </si>
  <si>
    <t>SCHED_DISTRIB_DT</t>
  </si>
  <si>
    <t>Scheduled Distribution Date</t>
  </si>
  <si>
    <t>XFERRED_OUT_SW</t>
  </si>
  <si>
    <t>Transferred Out Switch</t>
  </si>
  <si>
    <t>XFER_TO_GL_DT</t>
  </si>
  <si>
    <t>Transfer to GL Date</t>
  </si>
  <si>
    <t>GL_DISTRIB_STATUS</t>
  </si>
  <si>
    <t>GL Distribution Status</t>
  </si>
  <si>
    <t>BAL_CTL_GRP_ID</t>
  </si>
  <si>
    <t>Balance Control Group Id</t>
  </si>
  <si>
    <t>MATCH_EVT_ID</t>
  </si>
  <si>
    <t>Match Event ID</t>
  </si>
  <si>
    <t>Inner Join - PARENT_ID</t>
  </si>
  <si>
    <t>Inner Join - SIBLING_ID</t>
  </si>
  <si>
    <t>CI_FT FTAD</t>
  </si>
  <si>
    <t>FT_TYPE_FLG IN  ('AD','AX')</t>
  </si>
  <si>
    <t>CI_CIS_DIVISION_L</t>
  </si>
  <si>
    <t>CI_ADJ</t>
  </si>
  <si>
    <t>BEHALF_SA_ID</t>
  </si>
  <si>
    <t>On Behalf SA ID</t>
  </si>
  <si>
    <t>ADJ_ID</t>
  </si>
  <si>
    <t>ADJ_TYPE_CD</t>
  </si>
  <si>
    <t>Adjustment Type</t>
  </si>
  <si>
    <t>*CI_FT FTAD
*CI_ADJ_TYPE_L</t>
  </si>
  <si>
    <t>*CI_FT FTAD - Inner Join - PARENT_ID
*CI_ADJ_TYPE_L - Inner Join</t>
  </si>
  <si>
    <t>ADJ_STATUS_FLG</t>
  </si>
  <si>
    <t>Adjustment Status</t>
  </si>
  <si>
    <t>CRE_DT</t>
  </si>
  <si>
    <t>Creation Date</t>
  </si>
  <si>
    <t>CI_ADJ_CAN_RSN_L</t>
  </si>
  <si>
    <t>ADJ_AMT</t>
  </si>
  <si>
    <t>XFER_ADJ_ID</t>
  </si>
  <si>
    <t>Transfer Adjustment ID</t>
  </si>
  <si>
    <t>GEN_REF_DT</t>
  </si>
  <si>
    <t>Calculation Date</t>
  </si>
  <si>
    <t>ADJ_DATA_AREA</t>
  </si>
  <si>
    <t>Adjustment Data Area</t>
  </si>
  <si>
    <t>Approval Request Id</t>
  </si>
  <si>
    <t>CI_FT FTPS</t>
  </si>
  <si>
    <t>FT_TYPE_FLG IN  ('PS','PX')</t>
  </si>
  <si>
    <t>CI_PAY_SEG</t>
  </si>
  <si>
    <t>PAY_SEG_ID</t>
  </si>
  <si>
    <t>Pay Segment ID</t>
  </si>
  <si>
    <t>PAY_ID</t>
  </si>
  <si>
    <t>Payment ID</t>
  </si>
  <si>
    <t>PAY_SEG_AMT</t>
  </si>
  <si>
    <t>Distributed Amt.</t>
  </si>
  <si>
    <t>*CI_ADJ
*CI_ADJ_TYPE_L
*** Display Adjustment Type Description</t>
  </si>
  <si>
    <t>* CI_FT FTBS
* CI_FT FTAD
* CI_FT FTPS</t>
  </si>
  <si>
    <t>* CI_FT_GL is Left Joined onto CI_FT FTBS, CI_FT FTAD, CI_FT FTPS</t>
  </si>
  <si>
    <t>GL_SEQ_NBR</t>
  </si>
  <si>
    <t>AMOUNT</t>
  </si>
  <si>
    <t>Monetary Amount</t>
  </si>
  <si>
    <t>TOT_AMT_SW</t>
  </si>
  <si>
    <t>Total Amount</t>
  </si>
  <si>
    <t>STATISTIC_AMOUNT</t>
  </si>
  <si>
    <t>Statistic Amount</t>
  </si>
  <si>
    <t>GL_ACCT</t>
  </si>
  <si>
    <t>GL Account</t>
  </si>
  <si>
    <t>CI_FT_PROC</t>
  </si>
  <si>
    <t>* CI_FT_PROC is Left Joined onto CI_FT FTBS, CI_FT FTAD, CI_FT FTPS</t>
  </si>
  <si>
    <t>SPR_CD</t>
  </si>
  <si>
    <t>CI_SPR_L</t>
  </si>
  <si>
    <t>Table Name:  CI_BILL_EXCP</t>
  </si>
  <si>
    <t xml:space="preserve">CI_BILL_EXCP                  </t>
  </si>
  <si>
    <t>*CI_BILL
*CI_ACCT_PER
*CI_PER_NAME
*CI_TD_DRLKEY
*CI_TD_ENTRY
***Display the Customer Name
***Display To Do Details</t>
  </si>
  <si>
    <t>*CI_ACCT_PER.MAIN_CUST_SW = 'Y'
*CI_BILL_EXCP.BILL_ID = CI_TD_DRLKEY.KEY_VALUE AND CI_TD_ENTRY.TD_TYPE_CD = 'TD-BIERR'</t>
  </si>
  <si>
    <t>*CI_BILL - Inner Join
*CI_ACCT_PER - Inner Join
*CI_PER_PRIM_WV - Inner Join
*CI_TD_DRLKEY - Left Join
*CI_TD_ENTRY - Inner Join to CI_TD_DRLKEY</t>
  </si>
  <si>
    <t xml:space="preserve">BILL_EXCP_FLG                 </t>
  </si>
  <si>
    <t>Bill Exception Type</t>
  </si>
  <si>
    <t xml:space="preserve">EXP_MSG                       </t>
  </si>
  <si>
    <t xml:space="preserve">MESSAGE_PARM1                 </t>
  </si>
  <si>
    <t xml:space="preserve">MESSAGE_PARM2                 </t>
  </si>
  <si>
    <t xml:space="preserve">MESSAGE_PARM3                 </t>
  </si>
  <si>
    <t xml:space="preserve">MESSAGE_PARM4                 </t>
  </si>
  <si>
    <t xml:space="preserve">MESSAGE_PARM5                 </t>
  </si>
  <si>
    <t xml:space="preserve">MESSAGE_PARM6                 </t>
  </si>
  <si>
    <t xml:space="preserve">MESSAGE_PARM7                 </t>
  </si>
  <si>
    <t xml:space="preserve">MESSAGE_PARM8                 </t>
  </si>
  <si>
    <t xml:space="preserve">MESSAGE_PARM9                 </t>
  </si>
  <si>
    <t xml:space="preserve">CALL_SEQ                      </t>
  </si>
  <si>
    <t xml:space="preserve">REVIEW_COMP                   </t>
  </si>
  <si>
    <t xml:space="preserve">REVIEW_USER_ID                </t>
  </si>
  <si>
    <t xml:space="preserve">REVIEW_DT                     </t>
  </si>
  <si>
    <t xml:space="preserve">CI_TD_DRLKEY                  </t>
  </si>
  <si>
    <t xml:space="preserve">TD_ENTRY_ID                   </t>
  </si>
  <si>
    <t>CI_TD_ENTRY</t>
  </si>
  <si>
    <t xml:space="preserve">KEY_VALUE                     </t>
  </si>
  <si>
    <t>Key Value</t>
  </si>
  <si>
    <t>*CI_TD_DRLKEY is left-joined onto CI_BILL_EXCP</t>
  </si>
  <si>
    <t>*CI_TD_ENTRY  is inner-joined onto CI_TD_DRLKEY</t>
  </si>
  <si>
    <t xml:space="preserve">BATCH_CD                      </t>
  </si>
  <si>
    <t xml:space="preserve">BATCH_NBR                     </t>
  </si>
  <si>
    <t xml:space="preserve">ASSIGNED_TO                   </t>
  </si>
  <si>
    <t>Assign to User</t>
  </si>
  <si>
    <t xml:space="preserve">TD_TYPE_CD                    </t>
  </si>
  <si>
    <t>CI_TD_TYPE_L</t>
  </si>
  <si>
    <t xml:space="preserve">ROLE_ID                       </t>
  </si>
  <si>
    <t>CI_ROLE_L</t>
  </si>
  <si>
    <t xml:space="preserve">ENTRY_STATUS_FLG              </t>
  </si>
  <si>
    <t xml:space="preserve">ASSIGNED_DTTM                 </t>
  </si>
  <si>
    <t>Assigned Date/Time</t>
  </si>
  <si>
    <t xml:space="preserve">COMPLETE_DTTM                 </t>
  </si>
  <si>
    <t xml:space="preserve">COMPLETE_USER_ID              </t>
  </si>
  <si>
    <t>Completed By</t>
  </si>
  <si>
    <t xml:space="preserve">ASSIGNED_USER_ID              </t>
  </si>
  <si>
    <t>Assigned By User</t>
  </si>
  <si>
    <t xml:space="preserve">TD_PRIORITY_FLG               </t>
  </si>
  <si>
    <t>Priority</t>
  </si>
  <si>
    <t>Table Name:  CI_BSEG_EXCP</t>
  </si>
  <si>
    <t xml:space="preserve">CI_BSEG_EXCP                  </t>
  </si>
  <si>
    <t>*CI_BSEG
*CI_SA
*CI_ACCT_PER
*CI_PER_PRIM_WV
*CI_TD_DRLKEY
*CI_TD_ENTRY
***Display the Customer Name
***Display To Do Details</t>
  </si>
  <si>
    <t>*CI_ACCT_PER.MAIN_CUST_SW = 'Y'
*CI_BSEG_EXCP.BSEG_ID = CI_TD_DRLKEY.KEY_VALUE AND CI_TD_ENTRY.TD_TYPE_CD = 'TD-BSERR'</t>
  </si>
  <si>
    <t>*CI_BSEG - Inner Join
*CI_SA - Inner Join
*CI_ACCT_PER - Inner Join
*CI_PER_PRIM_WV - Inner Join
*CI_TD_DRLKEY - Left Join
*CI_TD_ENTRY - Inner Join to CI_TD_DRLKEY</t>
  </si>
  <si>
    <t xml:space="preserve">BSEG_EXCP_FLG                 </t>
  </si>
  <si>
    <t>*CI_TD_DRLKEY is left-joined onto CI_BSEG_EXCP</t>
  </si>
  <si>
    <t>Table Name:  CI_PAY_EVT_EXCP</t>
  </si>
  <si>
    <t xml:space="preserve">PAY_EVENT_ID                  </t>
  </si>
  <si>
    <t>Payment Event ID</t>
  </si>
  <si>
    <t>*CI_PAY_EVENT
*CI_PAY
*CI_ACCT_PER
*CI_PER_PRIM_WV
*CI_TD_DRLKEY
*CI_TD_DRLKEY_TY
*CI_TD_ENTRY
***Display the Customer Name
***Display To Do Details</t>
  </si>
  <si>
    <t>*CI_PAY.PAYMENT_ID = CI_PAY_EVENT.PAYMENT_ID
*CI_PAY.ACCT_ID = CI_ACCT_PER.ACCT_ID
*CI_ACCT_PER.MAIN_CUST_SW = 'Y'
*CI_PAY_EVENT.PAY_EVENT_ID  = CI_TD_DRLKEY.KEY_VALUE
*CI_TD_ENTRY.TO_DO_ENTRY_ID = CI_TD_DRLKEY.TO_DO_ENTRY_ID
*CI_TD_DRLKEY_TY.FLD_NAME = 'PAY_EVENT_ID'
*CI_TD_DRLKEY_TY.TBL_NAME = 'CI_PAY_EVENT'
*CI_TD_DRLKEY_TY.TD_TYPE_CD = CI_TD_ENTRY.TD_TYPE_CD
*CI_TD_DRLKEY_TY.SEQ_NUM = CI_TD_DRLKEY.SEQ_NUM</t>
  </si>
  <si>
    <t>*CI_PAY_EVENT- Inner Join
*CI_PAY - Inner Join
*CI_ACCT_PER - Inner Join
*CI_PER_PRIM_WV - Inner Join
*CI_TD_DRLKEY - Left Join
*CI_TD_ENTRY - Inner Join to CI_TD_DRLKEY
*CI_TD_DRLKEY_TY - Inner Join to CI_TD_ENTRY</t>
  </si>
  <si>
    <t xml:space="preserve">PAY_EVT_EXCP_FLG              </t>
  </si>
  <si>
    <t>Payment Event Exception Type</t>
  </si>
  <si>
    <t>CI_TD_DRLKEY_TY</t>
  </si>
  <si>
    <t>*CI_TD_DRLKEY is left-joined onto CI_PAY_EVT_EXCP</t>
  </si>
  <si>
    <t>CI_TD_TYPE_L
CI_TD_DRLKEY_TY</t>
  </si>
  <si>
    <t>*CI_TD_DRLKEY_TY is inner-joined onto CI_TD_ENTRY</t>
  </si>
  <si>
    <t xml:space="preserve">FLD_NAME                      </t>
  </si>
  <si>
    <t>FLD_NAME = 'PAY_EVENT_ID'
TBL_NAME = 'CI_PAY_EVENT'</t>
  </si>
  <si>
    <t xml:space="preserve">TBL_NAME                      </t>
  </si>
  <si>
    <t>*CI_TD_DRLKEY_TY is inner-joined onto CI_TD_DRLKEY</t>
  </si>
  <si>
    <t xml:space="preserve">OWNER_FLG                     </t>
  </si>
  <si>
    <t>Owner</t>
  </si>
  <si>
    <t>Table Name:  CI_PAY_EXCP</t>
  </si>
  <si>
    <t xml:space="preserve">PAY_ID                        </t>
  </si>
  <si>
    <t>*CI_PAY
*CI_ACCT_PER
*CI_PER_PRIM_WV
*CI_TD_DRLKEY
*CI_TD_DRLKEY_TY
*CI_TD_ENTRY
***Display the Customer Name
***Display To Do Details</t>
  </si>
  <si>
    <t>*CI_PAY.ACCT_ID = CI_ACCT_PER.ACCT_ID
*CI_ACCT_PER.MAIN_CUST_SW = 'Y'
*CI_PAY.PAY_ID  = CI_TD_DRLKEY.KEY_VALUE
*CI_TD_ENTRY.TO_DO_ENTRY_ID = CI_TD_DRLKEY.TO_DO_ENTRY_ID
*CI_TD_DRLKEY_TY.FLD_NAME = 'PAY_ID'
*CI_TD_DRLKEY_TY.TBL_NAME = 'CI_PAY'
*CI_TD_DRLKEY_TY.TD_TYPE_CD = CI_TD_ENTRY.TD_TYPE_CD
*CI_TD_DRLKEY_TY.SEQ_NUM = CI_TD_DRLKEY.SEQ_NUM</t>
  </si>
  <si>
    <t>*CI_PAY - Inner Join
*CI_ACCT_PER - Inner Join
*CI_PER_PRIM_WV - Inner Join
*CI_TD_DRLKEY - Left Join
*CI_TD_ENTRY - Inner Join to CI_TD_DRLKEY
*CI_TD_DRLKEY_TY - Inner Join to CI_TD_ENTRY</t>
  </si>
  <si>
    <t xml:space="preserve">PAY_EXCP_FLG                  </t>
  </si>
  <si>
    <t>Payment Exception Type</t>
  </si>
  <si>
    <t>*CI_TD_DRLKEY is left-joined onto CI_PAY_EXCP</t>
  </si>
  <si>
    <t>FLD_NAME = 'PAY_ID'
TBL_NAME = 'CI_PAY'</t>
  </si>
  <si>
    <t>Table Name:  F1_SYNC_REQ_IN_EXCP</t>
  </si>
  <si>
    <t xml:space="preserve">F1_SYNC_REQ_IN_ID             </t>
  </si>
  <si>
    <t>F1_SYNC_REQ_IN</t>
  </si>
  <si>
    <t>CI_MSG_CATEGORY_L</t>
  </si>
  <si>
    <t>CI_MSG_L
***Display Message Text</t>
  </si>
  <si>
    <t xml:space="preserve">F1_BUS_OBJ_L </t>
  </si>
  <si>
    <t xml:space="preserve">EXT_PK_VALUE4                 </t>
  </si>
  <si>
    <t>External PK Value 4</t>
  </si>
  <si>
    <t xml:space="preserve">EXT_PK_VALUE1                 </t>
  </si>
  <si>
    <t>External PK Value 1</t>
  </si>
  <si>
    <t xml:space="preserve">EXT_PK_VALUE2                 </t>
  </si>
  <si>
    <t>External PK Value 2</t>
  </si>
  <si>
    <t xml:space="preserve">EXT_PK_VALUE3                 </t>
  </si>
  <si>
    <t>External PK Value 3</t>
  </si>
  <si>
    <t xml:space="preserve">EXT_PK_VALUE5                 </t>
  </si>
  <si>
    <t>External PK Value 5</t>
  </si>
  <si>
    <t xml:space="preserve">F1_INITIAL_LOAD_SYNC_FLG      </t>
  </si>
  <si>
    <t>Initial Load Sync Request</t>
  </si>
  <si>
    <t xml:space="preserve">NT_XID_CD                     </t>
  </si>
  <si>
    <t xml:space="preserve">F1_COMPOSITE_SYNC_FLG         </t>
  </si>
  <si>
    <t>Composite Sync Request</t>
  </si>
  <si>
    <t>Table Name:  CI_BCHG_UP_EXCP</t>
  </si>
  <si>
    <t xml:space="preserve">BCHG_UP_ID                    </t>
  </si>
  <si>
    <t>Billable Charge Upload ID</t>
  </si>
  <si>
    <t>*CI_BCHG_UP
*CI_SA
*CI_ACCT_PER
*CI_PER_PRIM_WV
*CI_TD_DRLKEY
*CI_TD_ENTRY
***Display the Customer Name
***Display To Do Details</t>
  </si>
  <si>
    <t>*CI_BCHG_UP.SA_ID = CI_SA.SA_ID
*CI_SA.ACCT_ID = CI_ACCT_PER.ACCT_ID
*CI_ACCT_PER.MAIN_CUST_SW = 'Y'
*CI_BCHG_UP_EXCP.BCHG_UP_ID = CI_TD_DRLKEY.KEY_VALUE AND CI_TD_ENTRY.TD_TYPE_CD = 'TD-BCUPL'</t>
  </si>
  <si>
    <t>*CI_BCHG_UP - Inner Join
*CI_SA - Inner Join
*CI_ACCT_PER - Inner Join
*CI_PER_PRIM_WV - Inner Join
*CI_TD_DRLKEY - Left Join
*CI_TD_ENTRY - Inner Join to CI_TD_DRLKEY</t>
  </si>
  <si>
    <t>*CI_TD_DRLKEY is left-joined onto CI_BCHG_UP_EXCP</t>
  </si>
  <si>
    <t>Table Name:  CI_TNDR_ST_EXCP</t>
  </si>
  <si>
    <t xml:space="preserve">EXT_SOURCE_ID                 </t>
  </si>
  <si>
    <t>External Source ID</t>
  </si>
  <si>
    <t xml:space="preserve">EXT_TRANSMIT_ID               </t>
  </si>
  <si>
    <t>External Transmission ID</t>
  </si>
  <si>
    <t>CI_PAY_TNDR_ST</t>
  </si>
  <si>
    <t xml:space="preserve">EXT_BATCH_ID                  </t>
  </si>
  <si>
    <t>External Batch ID</t>
  </si>
  <si>
    <t xml:space="preserve">PAY_TND_STG_ST_FLG            </t>
  </si>
  <si>
    <t>Pay Tender Staging Status</t>
  </si>
  <si>
    <t xml:space="preserve">PAY_TENDER_ID                 </t>
  </si>
  <si>
    <t>Pay Tender ID</t>
  </si>
  <si>
    <t xml:space="preserve">TENDER_AMT                    </t>
  </si>
  <si>
    <t>Tender Amount</t>
  </si>
  <si>
    <t xml:space="preserve">ACCOUNTING_DT                 </t>
  </si>
  <si>
    <t xml:space="preserve">TENDER_TYPE_CD                </t>
  </si>
  <si>
    <t>Tender Type</t>
  </si>
  <si>
    <t>CI_TENDER_TYPE_L</t>
  </si>
  <si>
    <t xml:space="preserve">CUST_ID                       </t>
  </si>
  <si>
    <t>Customer ID</t>
  </si>
  <si>
    <t>*CI_ACCT
*CI_ACCT_PER
*CI_PER_PRIM_WV
***Display the Customer Name</t>
  </si>
  <si>
    <t xml:space="preserve">*CI_ACCT.ACCT_ID = CI_PAY_TNDR_ST.CUST_ID
*CI_ACCT.ACCT_ID = CI_ACCT_PER.ACCT_ID
*CI_ACCT_PER.MAIN_CUST_SW = 'Y'
</t>
  </si>
  <si>
    <t xml:space="preserve">MICR_ID                       </t>
  </si>
  <si>
    <t>MICR ID</t>
  </si>
  <si>
    <t xml:space="preserve">NAME1                         </t>
  </si>
  <si>
    <t xml:space="preserve">CHECK_NBR                     </t>
  </si>
  <si>
    <t>Check Number</t>
  </si>
  <si>
    <t xml:space="preserve">ENCR_MICR_ID                  </t>
  </si>
  <si>
    <t>Encrypted Micr ID</t>
  </si>
  <si>
    <t xml:space="preserve">HASH_MICR_ID                  </t>
  </si>
  <si>
    <t>Hash MICR ID</t>
  </si>
  <si>
    <t>Table Name:  D1_VEE_EXCP</t>
  </si>
  <si>
    <t>* D1_VEE_GRP_L</t>
  </si>
  <si>
    <t>* D1_VEE_RULE_L</t>
  </si>
  <si>
    <t>* D1_EXCP_TYPE_L</t>
  </si>
  <si>
    <t>* CI_MSG_CATEGORY_L</t>
  </si>
  <si>
    <t>* CI_MSG_L
***Display Message Text</t>
  </si>
  <si>
    <t>*D1_INIT_MSRMT_DATA  is inner-joined onto D1_VEE_EXCP</t>
  </si>
  <si>
    <t>*D1_MEASR_COMP is inner-joined onto D1_INIT_MSRMT_DATA</t>
  </si>
  <si>
    <t>* F1_EXT_LOOKUP_VAL_L</t>
  </si>
  <si>
    <t>*D1_DVC_CFG is inner-joined onto D1_MEASR_COMP</t>
  </si>
  <si>
    <t>*D1_INSTALL_EVT is left-joined onto D1_DVC_CFG</t>
  </si>
  <si>
    <t xml:space="preserve">
*  CI_LOOKUP_VAL_L</t>
  </si>
  <si>
    <t>* D1_SP_IDENTIFIER</t>
  </si>
  <si>
    <t>*D1_SP is inner-joined onto D1_INSTALL_EVT</t>
  </si>
  <si>
    <t>* D1_SP_TYPE_L</t>
  </si>
  <si>
    <t>*D1_SP_IDENTIFIER is left-joined onto D1_SP</t>
  </si>
  <si>
    <t>SP_ID_TYPE_FLG = 'D1EP'</t>
  </si>
  <si>
    <t>*CI_PREM is inner-joined onto D1_SP_IDENTIFIER</t>
  </si>
  <si>
    <t>* CI_SA_TYPE_L</t>
  </si>
  <si>
    <t xml:space="preserve">*CI_ACCT_PER.MAIN_CUST_SW = 'Y'
</t>
  </si>
  <si>
    <t xml:space="preserve">*CI_ACCT_PER - Inner Join
*CI_PER_PRIM_WV - Inner Join
</t>
  </si>
  <si>
    <t>*CI_SA is left-joined onto CI_PREM</t>
  </si>
  <si>
    <t>Table Name:  CI_PER</t>
  </si>
  <si>
    <t>Justification: This domain will retrieve Person Information.  At the very least, it matches the schema on datavergence.  It should also be able to account for additional data entry in the future.</t>
  </si>
  <si>
    <t>Designer: Josh</t>
  </si>
  <si>
    <t>CI_PER_ID</t>
  </si>
  <si>
    <t>Flatten data via Database View;  Filter by the one below.  Output PER_ID_NBR</t>
  </si>
  <si>
    <t>*  SSN</t>
  </si>
  <si>
    <t>*  DL</t>
  </si>
  <si>
    <t>*  TAXID</t>
  </si>
  <si>
    <t>*  TAXEXMPT</t>
  </si>
  <si>
    <t>Flatten data via Database View;  Filter by the one below.  Output ENTITY_NAME_UPR</t>
  </si>
  <si>
    <t>*  PRIM</t>
  </si>
  <si>
    <t>*  DBA</t>
  </si>
  <si>
    <t>Flatten data via Database View;  Filter by the one below.  Output SRCH_CHAR_VAL</t>
  </si>
  <si>
    <t>*  C2MBTHDT</t>
  </si>
  <si>
    <t>CI_PER_PER</t>
  </si>
  <si>
    <t>Flatten data via Database View;  Filter by the one below.  Output PER_ID.  Given this PER_ID, please get the PRIM Name of that person using CI_PER_NAME.  
For instance, I want to get the PER_ID and the actual name of the spouse.</t>
  </si>
  <si>
    <t>*  AUTH_PER</t>
  </si>
  <si>
    <t>*  SPOUSE</t>
  </si>
  <si>
    <t>C1_PER_CONTDET</t>
  </si>
  <si>
    <t>Flatten data via Database View;  Filter by the one below.  Output CONTACT_VALUE</t>
  </si>
  <si>
    <t>*  CELLPHONE</t>
  </si>
  <si>
    <t>*  HOMEPHONE</t>
  </si>
  <si>
    <t>*  WORKPHONE</t>
  </si>
  <si>
    <t>*  PRIMARYEMAIL</t>
  </si>
  <si>
    <t>*  SECONDARYEMAIL</t>
  </si>
  <si>
    <t>*  Distinct Count Person via CI_PER</t>
  </si>
  <si>
    <t>*  Distinct Count Person ID via CI_PER_ID, using PER_ID and ID_TYPE_CD</t>
  </si>
  <si>
    <t>*  Distinct Count Person Name via CI_PER_NAME, using PER_ID and SEQ_NUM</t>
  </si>
  <si>
    <t>*  Distinct Count Person Characteristic via CI_PER_CHAR, using PER_ID and CHAR_TYPE_CD</t>
  </si>
  <si>
    <t>*  Distinct Count Person Person via CI_PER_PER, using PER_ID1, PER_ID2 and PER_REL_TYPE_CD</t>
  </si>
  <si>
    <t>*  Distinct Count Person Contact Details via C1_PER_CONTDET, using C1_CONTACT_ID</t>
  </si>
  <si>
    <t>Customer Operations/Customer</t>
  </si>
  <si>
    <t>Imitate the sequence of fields in DV_CUST_DATA_RECON_VW under Internal DEV</t>
  </si>
  <si>
    <t>filter:  Name (starts with), Person/Business (one of), SSN (starts with), DL (starts with), TAXID (starts with)</t>
  </si>
  <si>
    <t>Visualization:  Pie chart</t>
  </si>
  <si>
    <t>Count of distinct persons, grouped by Person/Business</t>
  </si>
  <si>
    <t>filter:  Person/Business (one of)</t>
  </si>
  <si>
    <t>Visualization:  Cross tab</t>
  </si>
  <si>
    <t>Count of distinct person persons, group by relationship type flag; Count of distinct Persons</t>
  </si>
  <si>
    <t>Purpose:  the count of distinct persons should match how many persons were created using datavergence;  the count of PER_PER identifies how many extra persons were created as part of the process</t>
  </si>
  <si>
    <t>filter:  relationship type flag (one of), Person/business (one of)</t>
  </si>
  <si>
    <t>filter:  person/business (one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</si>
</sst>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2">
    <font>
      <sz val="11"/>
      <color theme="1"/>
      <name val="Calibri"/>
      <family val="2"/>
      <scheme val="minor"/>
    </font>
    <font>
      <u/>
      <sz val="11"/>
      <color theme="10"/>
      <name val="Calibri"/>
      <family val="2"/>
      <scheme val="minor"/>
    </font>
    <font>
      <sz val="11"/>
      <color rgb="FF000000"/>
      <name val="Aptos Narrow"/>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b/>
      <sz val="10"/>
      <color theme="1"/>
      <name val="Calibri"/>
      <family val="2"/>
      <scheme val="minor"/>
    </font>
    <font>
      <sz val="10"/>
      <color theme="1"/>
      <name val="Calibri"/>
      <family val="2"/>
      <scheme val="minor"/>
    </font>
    <font>
      <u/>
      <sz val="10"/>
      <color theme="10"/>
      <name val="Calibri"/>
      <family val="2"/>
      <scheme val="minor"/>
    </font>
    <font>
      <b/>
      <sz val="10"/>
      <color rgb="FF000000"/>
      <name val="Calibri"/>
      <family val="2"/>
      <scheme val="minor"/>
    </font>
    <font>
      <sz val="10"/>
      <color rgb="FF000000"/>
      <name val="Calibri"/>
      <family val="2"/>
      <scheme val="minor"/>
    </font>
    <font>
      <sz val="10"/>
      <color rgb="FF000000"/>
      <name val="Calibri"/>
      <family val="2"/>
    </font>
    <font>
      <b/>
      <sz val="10"/>
      <color rgb="FF000000"/>
      <name val="Calibri"/>
      <family val="2"/>
    </font>
    <font>
      <sz val="11"/>
      <color rgb="FF000000"/>
      <name val="Calibri"/>
      <family val="2"/>
    </font>
    <font>
      <sz val="10"/>
      <color rgb="FF000000"/>
      <name val="Aptos Narrow"/>
      <family val="2"/>
    </font>
    <font>
      <strike/>
      <sz val="11"/>
      <color theme="1"/>
      <name val="Calibri"/>
      <family val="2"/>
      <scheme val="minor"/>
    </font>
    <font>
      <strike/>
      <sz val="10"/>
      <color rgb="FF000000"/>
      <name val="Calibri"/>
      <family val="2"/>
      <scheme val="minor"/>
    </font>
    <font>
      <sz val="10"/>
      <color theme="1"/>
      <name val="Aptos Narrow"/>
      <family val="2"/>
    </font>
    <font>
      <sz val="10"/>
      <color rgb="FF161513"/>
      <name val="Arial"/>
      <family val="2"/>
    </font>
    <font>
      <sz val="10"/>
      <color rgb="FF333333"/>
      <name val="Verdana"/>
      <family val="2"/>
    </font>
    <font>
      <strike/>
      <sz val="11"/>
      <color rgb="FF000000"/>
      <name val="Calibri"/>
      <family val="2"/>
    </font>
    <font>
      <sz val="10"/>
      <color rgb="FF161513"/>
      <name val="Oracle Sans"/>
      <charset val="1"/>
    </font>
    <font>
      <sz val="11"/>
      <color rgb="FF000000"/>
      <name val="Aptos"/>
      <family val="2"/>
    </font>
    <font>
      <strike/>
      <sz val="10"/>
      <color theme="1"/>
      <name val="Calibri"/>
      <family val="2"/>
      <scheme val="minor"/>
    </font>
    <font>
      <sz val="12"/>
      <color rgb="FF000000"/>
      <name val="Calibri"/>
      <family val="2"/>
    </font>
    <font>
      <strike/>
      <sz val="10"/>
      <color rgb="FF000000"/>
      <name val="Calibri"/>
      <family val="2"/>
    </font>
    <font>
      <sz val="11"/>
      <color rgb="FF000000"/>
      <name val="Calibri"/>
    </font>
    <font>
      <sz val="10"/>
      <color theme="1"/>
      <name val="Aptos Narrow"/>
    </font>
    <font>
      <strike/>
      <sz val="11"/>
      <color rgb="FF000000"/>
      <name val="Calibri"/>
    </font>
    <font>
      <sz val="11"/>
      <color theme="1"/>
      <name val="Calibri"/>
      <family val="2"/>
    </font>
  </fonts>
  <fills count="12">
    <fill>
      <patternFill patternType="none"/>
    </fill>
    <fill>
      <patternFill patternType="gray125"/>
    </fill>
    <fill>
      <patternFill patternType="solid">
        <fgColor theme="4" tint="-0.249977111117893"/>
        <bgColor theme="4" tint="-0.249977111117893"/>
      </patternFill>
    </fill>
    <fill>
      <patternFill patternType="solid">
        <fgColor rgb="FFFFFF00"/>
        <bgColor indexed="64"/>
      </patternFill>
    </fill>
    <fill>
      <patternFill patternType="solid">
        <fgColor rgb="FFFFFFFF"/>
        <bgColor indexed="64"/>
      </patternFill>
    </fill>
    <fill>
      <patternFill patternType="solid">
        <fgColor rgb="FFFFFF00"/>
        <bgColor rgb="FF000000"/>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theme="5"/>
        <bgColor indexed="64"/>
      </patternFill>
    </fill>
    <fill>
      <patternFill patternType="solid">
        <fgColor rgb="FF92D050"/>
        <bgColor indexed="64"/>
      </patternFill>
    </fill>
    <fill>
      <patternFill patternType="solid">
        <fgColor theme="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indexed="64"/>
      </top>
      <bottom style="thin">
        <color indexed="64"/>
      </bottom>
      <diagonal/>
    </border>
    <border>
      <left style="thin">
        <color rgb="FF000000"/>
      </left>
      <right/>
      <top/>
      <bottom style="thin">
        <color rgb="FF000000"/>
      </bottom>
      <diagonal/>
    </border>
    <border>
      <left/>
      <right/>
      <top style="thin">
        <color rgb="FF000000"/>
      </top>
      <bottom style="thin">
        <color rgb="FF000000"/>
      </bottom>
      <diagonal/>
    </border>
  </borders>
  <cellStyleXfs count="4">
    <xf numFmtId="0" fontId="0" fillId="0" borderId="0"/>
    <xf numFmtId="0" fontId="1" fillId="0" borderId="0" applyNumberFormat="0" applyFill="0" applyBorder="0" applyAlignment="0" applyProtection="0"/>
    <xf numFmtId="43" fontId="3" fillId="0" borderId="0" applyFont="0" applyFill="0" applyBorder="0" applyAlignment="0" applyProtection="0"/>
    <xf numFmtId="0" fontId="7" fillId="0" borderId="0"/>
  </cellStyleXfs>
  <cellXfs count="329">
    <xf numFmtId="0" fontId="0" fillId="0" borderId="0" xfId="0"/>
    <xf numFmtId="0" fontId="1" fillId="0" borderId="0" xfId="1"/>
    <xf numFmtId="0" fontId="0" fillId="0" borderId="1" xfId="0" applyBorder="1"/>
    <xf numFmtId="0" fontId="0" fillId="0" borderId="2" xfId="0" applyBorder="1"/>
    <xf numFmtId="0" fontId="7" fillId="0" borderId="0" xfId="3"/>
    <xf numFmtId="0" fontId="5" fillId="0" borderId="0" xfId="0" applyFont="1"/>
    <xf numFmtId="0" fontId="0" fillId="0" borderId="0" xfId="0" pivotButton="1"/>
    <xf numFmtId="3" fontId="5" fillId="0" borderId="0" xfId="0" applyNumberFormat="1" applyFont="1"/>
    <xf numFmtId="3" fontId="0" fillId="0" borderId="0" xfId="0" applyNumberFormat="1"/>
    <xf numFmtId="0" fontId="6" fillId="2" borderId="0" xfId="0" applyFont="1" applyFill="1"/>
    <xf numFmtId="0" fontId="5" fillId="0" borderId="1" xfId="0" pivotButton="1" applyFont="1" applyBorder="1"/>
    <xf numFmtId="0" fontId="5" fillId="0" borderId="1" xfId="0" applyFont="1" applyBorder="1"/>
    <xf numFmtId="0" fontId="4" fillId="2" borderId="1" xfId="0" applyFont="1" applyFill="1" applyBorder="1"/>
    <xf numFmtId="0" fontId="0" fillId="0" borderId="1" xfId="0" applyBorder="1" applyAlignment="1">
      <alignment horizontal="left"/>
    </xf>
    <xf numFmtId="3" fontId="0" fillId="0" borderId="1" xfId="0" applyNumberFormat="1" applyBorder="1"/>
    <xf numFmtId="43" fontId="6" fillId="2" borderId="0" xfId="2" applyFont="1" applyFill="1" applyBorder="1"/>
    <xf numFmtId="43" fontId="4" fillId="2" borderId="1" xfId="2" applyFont="1" applyFill="1" applyBorder="1"/>
    <xf numFmtId="43" fontId="0" fillId="0" borderId="1" xfId="2" applyFont="1" applyBorder="1"/>
    <xf numFmtId="43" fontId="0" fillId="0" borderId="0" xfId="2" applyFont="1"/>
    <xf numFmtId="0" fontId="2" fillId="0" borderId="1" xfId="0" applyFont="1" applyBorder="1" applyAlignment="1">
      <alignment vertical="center" wrapText="1"/>
    </xf>
    <xf numFmtId="0" fontId="0" fillId="0" borderId="2" xfId="0" applyBorder="1" applyAlignment="1">
      <alignment wrapText="1"/>
    </xf>
    <xf numFmtId="0" fontId="2" fillId="0" borderId="2" xfId="0" applyFont="1" applyBorder="1" applyAlignment="1">
      <alignment vertical="center"/>
    </xf>
    <xf numFmtId="0" fontId="2" fillId="0" borderId="2" xfId="0" applyFont="1" applyBorder="1" applyAlignment="1">
      <alignment vertical="center" wrapText="1"/>
    </xf>
    <xf numFmtId="0" fontId="9" fillId="0" borderId="0" xfId="0" applyFont="1"/>
    <xf numFmtId="0" fontId="12" fillId="0" borderId="1" xfId="0" applyFont="1" applyBorder="1" applyAlignment="1">
      <alignment vertical="center"/>
    </xf>
    <xf numFmtId="0" fontId="12" fillId="0" borderId="1" xfId="0" applyFont="1" applyBorder="1" applyAlignment="1">
      <alignment vertical="center" wrapText="1"/>
    </xf>
    <xf numFmtId="0" fontId="12" fillId="3" borderId="1" xfId="0" applyFont="1" applyFill="1" applyBorder="1" applyAlignment="1">
      <alignment vertical="center"/>
    </xf>
    <xf numFmtId="0" fontId="12" fillId="3" borderId="1" xfId="0" applyFont="1" applyFill="1" applyBorder="1" applyAlignment="1">
      <alignment vertical="center" wrapText="1"/>
    </xf>
    <xf numFmtId="0" fontId="10" fillId="0" borderId="0" xfId="1" applyFont="1" applyAlignment="1">
      <alignment vertical="top"/>
    </xf>
    <xf numFmtId="0" fontId="9" fillId="0" borderId="0" xfId="0" applyFont="1" applyAlignment="1">
      <alignment vertical="top"/>
    </xf>
    <xf numFmtId="0" fontId="8" fillId="0" borderId="0" xfId="0" applyFont="1" applyAlignment="1">
      <alignment vertical="top"/>
    </xf>
    <xf numFmtId="0" fontId="11" fillId="3" borderId="1" xfId="0" applyFont="1" applyFill="1" applyBorder="1" applyAlignment="1">
      <alignment vertical="top"/>
    </xf>
    <xf numFmtId="0" fontId="11" fillId="3" borderId="1" xfId="0" applyFont="1" applyFill="1" applyBorder="1" applyAlignment="1">
      <alignment vertical="top" wrapText="1"/>
    </xf>
    <xf numFmtId="0" fontId="12" fillId="0" borderId="1" xfId="0" applyFont="1" applyBorder="1" applyAlignment="1">
      <alignment vertical="top"/>
    </xf>
    <xf numFmtId="0" fontId="12" fillId="0" borderId="1" xfId="0" applyFont="1" applyBorder="1" applyAlignment="1">
      <alignment vertical="top" wrapText="1"/>
    </xf>
    <xf numFmtId="0" fontId="9" fillId="0" borderId="1" xfId="0" applyFont="1" applyBorder="1" applyAlignment="1">
      <alignment vertical="top"/>
    </xf>
    <xf numFmtId="0" fontId="12" fillId="3" borderId="1" xfId="0" applyFont="1" applyFill="1" applyBorder="1" applyAlignment="1">
      <alignment vertical="top"/>
    </xf>
    <xf numFmtId="0" fontId="12" fillId="3" borderId="1" xfId="0" applyFont="1" applyFill="1" applyBorder="1" applyAlignment="1">
      <alignment vertical="top" wrapText="1"/>
    </xf>
    <xf numFmtId="0" fontId="12" fillId="4" borderId="1" xfId="0" applyFont="1" applyFill="1" applyBorder="1" applyAlignment="1">
      <alignment vertical="top"/>
    </xf>
    <xf numFmtId="0" fontId="13" fillId="0" borderId="0" xfId="0" applyFont="1"/>
    <xf numFmtId="0" fontId="14" fillId="0" borderId="0" xfId="0" applyFont="1"/>
    <xf numFmtId="0" fontId="14" fillId="5" borderId="5" xfId="0" applyFont="1" applyFill="1" applyBorder="1" applyAlignment="1">
      <alignment wrapText="1"/>
    </xf>
    <xf numFmtId="0" fontId="15" fillId="0" borderId="6" xfId="0" applyFont="1" applyBorder="1"/>
    <xf numFmtId="0" fontId="15" fillId="0" borderId="7" xfId="0" applyFont="1" applyBorder="1"/>
    <xf numFmtId="0" fontId="15" fillId="0" borderId="0" xfId="0" applyFont="1"/>
    <xf numFmtId="0" fontId="14" fillId="5" borderId="1" xfId="0" applyFont="1" applyFill="1" applyBorder="1" applyAlignment="1">
      <alignment wrapText="1"/>
    </xf>
    <xf numFmtId="0" fontId="15" fillId="0" borderId="7" xfId="0" applyFont="1" applyBorder="1" applyAlignment="1">
      <alignment wrapText="1"/>
    </xf>
    <xf numFmtId="0" fontId="1" fillId="0" borderId="0" xfId="1" applyFill="1" applyBorder="1" applyAlignment="1"/>
    <xf numFmtId="0" fontId="8" fillId="0" borderId="1" xfId="0" applyFont="1" applyBorder="1" applyAlignment="1">
      <alignment vertical="top"/>
    </xf>
    <xf numFmtId="0" fontId="9" fillId="0" borderId="2" xfId="0" applyFont="1" applyBorder="1"/>
    <xf numFmtId="0" fontId="12" fillId="0" borderId="8" xfId="0" applyFont="1" applyBorder="1" applyAlignment="1">
      <alignment vertical="center" wrapText="1"/>
    </xf>
    <xf numFmtId="0" fontId="12" fillId="3" borderId="8" xfId="0" applyFont="1" applyFill="1" applyBorder="1" applyAlignment="1">
      <alignment vertical="center" wrapText="1"/>
    </xf>
    <xf numFmtId="0" fontId="2" fillId="0" borderId="7" xfId="0" applyFont="1" applyBorder="1" applyAlignment="1">
      <alignment vertical="center" wrapText="1"/>
    </xf>
    <xf numFmtId="0" fontId="12" fillId="0" borderId="2" xfId="0" applyFont="1" applyBorder="1" applyAlignment="1">
      <alignment vertical="center"/>
    </xf>
    <xf numFmtId="0" fontId="12" fillId="0" borderId="2" xfId="0" applyFont="1" applyBorder="1" applyAlignment="1">
      <alignment vertical="center" wrapText="1"/>
    </xf>
    <xf numFmtId="0" fontId="9" fillId="0" borderId="11" xfId="0" applyFont="1" applyBorder="1"/>
    <xf numFmtId="0" fontId="12" fillId="3" borderId="3" xfId="0" applyFont="1" applyFill="1" applyBorder="1" applyAlignment="1">
      <alignment vertical="center"/>
    </xf>
    <xf numFmtId="0" fontId="12" fillId="3" borderId="9" xfId="0" applyFont="1" applyFill="1" applyBorder="1" applyAlignment="1">
      <alignment vertical="center" wrapText="1"/>
    </xf>
    <xf numFmtId="0" fontId="9" fillId="0" borderId="4" xfId="0" applyFont="1" applyBorder="1"/>
    <xf numFmtId="0" fontId="12" fillId="0" borderId="6" xfId="0" applyFont="1" applyBorder="1" applyAlignment="1">
      <alignment vertical="center"/>
    </xf>
    <xf numFmtId="0" fontId="12" fillId="0" borderId="12" xfId="0" applyFont="1" applyBorder="1" applyAlignment="1">
      <alignment vertical="center" wrapText="1"/>
    </xf>
    <xf numFmtId="0" fontId="9" fillId="0" borderId="13" xfId="0" applyFont="1" applyBorder="1"/>
    <xf numFmtId="0" fontId="12" fillId="0" borderId="4" xfId="0" applyFont="1" applyBorder="1" applyAlignment="1">
      <alignment vertical="center"/>
    </xf>
    <xf numFmtId="0" fontId="12" fillId="0" borderId="4" xfId="0" applyFont="1" applyBorder="1" applyAlignment="1">
      <alignment vertical="center" wrapText="1"/>
    </xf>
    <xf numFmtId="0" fontId="12" fillId="3" borderId="3" xfId="0" applyFont="1" applyFill="1" applyBorder="1" applyAlignment="1">
      <alignment vertical="center" wrapText="1"/>
    </xf>
    <xf numFmtId="0" fontId="14" fillId="5" borderId="2" xfId="0" applyFont="1" applyFill="1" applyBorder="1" applyAlignment="1">
      <alignment wrapText="1"/>
    </xf>
    <xf numFmtId="0" fontId="11" fillId="3" borderId="2" xfId="0" applyFont="1" applyFill="1" applyBorder="1" applyAlignment="1">
      <alignment vertical="top"/>
    </xf>
    <xf numFmtId="0" fontId="15" fillId="0" borderId="2" xfId="0" applyFont="1" applyBorder="1"/>
    <xf numFmtId="0" fontId="2" fillId="0" borderId="2" xfId="0" applyFont="1" applyBorder="1" applyAlignment="1">
      <alignment wrapText="1"/>
    </xf>
    <xf numFmtId="0" fontId="15" fillId="0" borderId="2" xfId="0" applyFont="1" applyBorder="1" applyAlignment="1">
      <alignment wrapText="1"/>
    </xf>
    <xf numFmtId="0" fontId="11" fillId="3" borderId="2" xfId="0" applyFont="1" applyFill="1" applyBorder="1" applyAlignment="1">
      <alignment vertical="top" wrapText="1"/>
    </xf>
    <xf numFmtId="0" fontId="15" fillId="0" borderId="15" xfId="0" applyFont="1" applyBorder="1"/>
    <xf numFmtId="0" fontId="15" fillId="0" borderId="14" xfId="0" applyFont="1" applyBorder="1"/>
    <xf numFmtId="0" fontId="14" fillId="5" borderId="10" xfId="0" applyFont="1" applyFill="1" applyBorder="1" applyAlignment="1">
      <alignment wrapText="1"/>
    </xf>
    <xf numFmtId="0" fontId="11" fillId="3" borderId="4" xfId="0" applyFont="1" applyFill="1" applyBorder="1" applyAlignment="1">
      <alignment vertical="top"/>
    </xf>
    <xf numFmtId="0" fontId="11" fillId="3" borderId="4" xfId="0" applyFont="1" applyFill="1" applyBorder="1" applyAlignment="1">
      <alignment vertical="top" wrapText="1"/>
    </xf>
    <xf numFmtId="0" fontId="8" fillId="0" borderId="0" xfId="0" applyFont="1" applyAlignment="1">
      <alignment vertical="top" wrapText="1"/>
    </xf>
    <xf numFmtId="0" fontId="0" fillId="0" borderId="2" xfId="0" applyBorder="1" applyAlignment="1">
      <alignment vertical="top" wrapText="1"/>
    </xf>
    <xf numFmtId="0" fontId="0" fillId="0" borderId="0" xfId="0" applyAlignment="1">
      <alignment wrapText="1"/>
    </xf>
    <xf numFmtId="0" fontId="12" fillId="0" borderId="3" xfId="0" applyFont="1" applyBorder="1" applyAlignment="1">
      <alignment vertical="center" wrapText="1"/>
    </xf>
    <xf numFmtId="0" fontId="0" fillId="0" borderId="4" xfId="0" applyBorder="1"/>
    <xf numFmtId="0" fontId="12" fillId="0" borderId="3" xfId="0" applyFont="1" applyBorder="1" applyAlignment="1">
      <alignment vertical="top"/>
    </xf>
    <xf numFmtId="0" fontId="9" fillId="0" borderId="0" xfId="0" applyFont="1" applyAlignment="1">
      <alignment horizontal="left" vertical="top"/>
    </xf>
    <xf numFmtId="0" fontId="8" fillId="3" borderId="1" xfId="0" applyFont="1" applyFill="1" applyBorder="1" applyAlignment="1">
      <alignment horizontal="left" vertical="top"/>
    </xf>
    <xf numFmtId="37" fontId="8" fillId="3" borderId="1" xfId="2" applyNumberFormat="1" applyFont="1" applyFill="1" applyBorder="1" applyAlignment="1">
      <alignment horizontal="left" vertical="top"/>
    </xf>
    <xf numFmtId="0" fontId="9" fillId="0" borderId="1" xfId="0" applyFont="1" applyBorder="1" applyAlignment="1">
      <alignment horizontal="left" vertical="top"/>
    </xf>
    <xf numFmtId="0" fontId="9" fillId="0" borderId="10" xfId="0" applyFont="1" applyBorder="1" applyAlignment="1">
      <alignment horizontal="left" vertical="top"/>
    </xf>
    <xf numFmtId="0" fontId="9" fillId="0" borderId="2" xfId="0" applyFont="1" applyBorder="1" applyAlignment="1">
      <alignment horizontal="left" vertical="top"/>
    </xf>
    <xf numFmtId="0" fontId="9" fillId="0" borderId="4" xfId="0" applyFont="1" applyBorder="1" applyAlignment="1">
      <alignment horizontal="left" vertical="top"/>
    </xf>
    <xf numFmtId="0" fontId="11" fillId="3" borderId="3" xfId="0" applyFont="1" applyFill="1" applyBorder="1" applyAlignment="1">
      <alignment horizontal="left" vertical="top"/>
    </xf>
    <xf numFmtId="0" fontId="11" fillId="3" borderId="3" xfId="0" applyFont="1" applyFill="1" applyBorder="1" applyAlignment="1">
      <alignment horizontal="left" vertical="top" wrapText="1"/>
    </xf>
    <xf numFmtId="0" fontId="12" fillId="0" borderId="1" xfId="0" applyFont="1" applyBorder="1" applyAlignment="1">
      <alignment horizontal="left" vertical="top"/>
    </xf>
    <xf numFmtId="0" fontId="12" fillId="0" borderId="1" xfId="0" applyFont="1" applyBorder="1" applyAlignment="1">
      <alignment horizontal="left" vertical="top" wrapText="1"/>
    </xf>
    <xf numFmtId="0" fontId="9" fillId="0" borderId="8" xfId="0" applyFont="1" applyBorder="1" applyAlignment="1">
      <alignment horizontal="left" vertical="top"/>
    </xf>
    <xf numFmtId="37" fontId="8" fillId="3" borderId="3" xfId="2" applyNumberFormat="1" applyFont="1" applyFill="1" applyBorder="1" applyAlignment="1">
      <alignment horizontal="left" vertical="top"/>
    </xf>
    <xf numFmtId="0" fontId="10" fillId="0" borderId="1" xfId="1" applyFont="1" applyBorder="1" applyAlignment="1">
      <alignment horizontal="left" vertical="top"/>
    </xf>
    <xf numFmtId="0" fontId="9" fillId="0" borderId="1" xfId="0" applyFont="1" applyBorder="1"/>
    <xf numFmtId="43" fontId="9" fillId="0" borderId="1" xfId="2" applyFont="1" applyBorder="1"/>
    <xf numFmtId="0" fontId="9" fillId="0" borderId="8" xfId="0" applyFont="1" applyBorder="1"/>
    <xf numFmtId="0" fontId="9" fillId="0" borderId="9" xfId="0" applyFont="1" applyBorder="1"/>
    <xf numFmtId="0" fontId="9" fillId="0" borderId="10" xfId="0" applyFont="1" applyBorder="1"/>
    <xf numFmtId="0" fontId="9" fillId="0" borderId="2" xfId="0" applyFont="1" applyBorder="1" applyAlignment="1">
      <alignment vertical="top"/>
    </xf>
    <xf numFmtId="0" fontId="16" fillId="0" borderId="2" xfId="0" applyFont="1" applyBorder="1" applyAlignment="1">
      <alignment vertical="top"/>
    </xf>
    <xf numFmtId="0" fontId="16" fillId="0" borderId="2" xfId="0" applyFont="1" applyBorder="1" applyAlignment="1">
      <alignment vertical="top" wrapText="1"/>
    </xf>
    <xf numFmtId="0" fontId="9" fillId="3" borderId="2" xfId="0" applyFont="1" applyFill="1" applyBorder="1" applyAlignment="1">
      <alignment vertical="top"/>
    </xf>
    <xf numFmtId="0" fontId="16" fillId="3" borderId="2" xfId="0" applyFont="1" applyFill="1" applyBorder="1" applyAlignment="1">
      <alignment vertical="top"/>
    </xf>
    <xf numFmtId="0" fontId="10" fillId="0" borderId="0" xfId="1" applyFont="1" applyAlignment="1">
      <alignment horizontal="left" vertical="top"/>
    </xf>
    <xf numFmtId="0" fontId="8" fillId="0" borderId="0" xfId="0" applyFont="1" applyAlignment="1">
      <alignment horizontal="left" vertical="top"/>
    </xf>
    <xf numFmtId="0" fontId="11" fillId="3" borderId="1" xfId="0" applyFont="1" applyFill="1" applyBorder="1" applyAlignment="1">
      <alignment horizontal="left" vertical="top"/>
    </xf>
    <xf numFmtId="0" fontId="11" fillId="3" borderId="5" xfId="0" applyFont="1" applyFill="1" applyBorder="1" applyAlignment="1">
      <alignment horizontal="left" vertical="top"/>
    </xf>
    <xf numFmtId="0" fontId="11" fillId="3" borderId="1" xfId="0" applyFont="1" applyFill="1" applyBorder="1" applyAlignment="1">
      <alignment horizontal="left" vertical="top" wrapText="1"/>
    </xf>
    <xf numFmtId="0" fontId="12" fillId="0" borderId="5" xfId="0" applyFont="1" applyBorder="1" applyAlignment="1">
      <alignment horizontal="left" vertical="top"/>
    </xf>
    <xf numFmtId="0" fontId="12" fillId="0" borderId="8" xfId="0" applyFont="1" applyBorder="1" applyAlignment="1">
      <alignment horizontal="left" vertical="top" wrapText="1"/>
    </xf>
    <xf numFmtId="0" fontId="12" fillId="3" borderId="1" xfId="0" applyFont="1" applyFill="1" applyBorder="1" applyAlignment="1">
      <alignment horizontal="left" vertical="top"/>
    </xf>
    <xf numFmtId="0" fontId="12" fillId="3" borderId="16" xfId="0" applyFont="1" applyFill="1" applyBorder="1" applyAlignment="1">
      <alignment horizontal="left" vertical="top"/>
    </xf>
    <xf numFmtId="0" fontId="12" fillId="3" borderId="3" xfId="0" applyFont="1" applyFill="1" applyBorder="1" applyAlignment="1">
      <alignment horizontal="left" vertical="top" wrapText="1"/>
    </xf>
    <xf numFmtId="0" fontId="12" fillId="3" borderId="3" xfId="0" applyFont="1" applyFill="1" applyBorder="1" applyAlignment="1">
      <alignment horizontal="left" vertical="top"/>
    </xf>
    <xf numFmtId="0" fontId="12" fillId="3" borderId="9" xfId="0" applyFont="1" applyFill="1" applyBorder="1" applyAlignment="1">
      <alignment horizontal="left" vertical="top" wrapText="1"/>
    </xf>
    <xf numFmtId="0" fontId="12" fillId="0" borderId="17" xfId="0" applyFont="1" applyBorder="1" applyAlignment="1">
      <alignment horizontal="left" vertical="top"/>
    </xf>
    <xf numFmtId="0" fontId="12" fillId="0" borderId="4" xfId="0" applyFont="1" applyBorder="1" applyAlignment="1">
      <alignment horizontal="left" vertical="top"/>
    </xf>
    <xf numFmtId="0" fontId="12" fillId="0" borderId="4" xfId="0" applyFont="1" applyBorder="1" applyAlignment="1">
      <alignment horizontal="left" vertical="top" wrapText="1"/>
    </xf>
    <xf numFmtId="0" fontId="9" fillId="0" borderId="11" xfId="0" applyFont="1" applyBorder="1" applyAlignment="1">
      <alignment horizontal="left" vertical="top"/>
    </xf>
    <xf numFmtId="0" fontId="12" fillId="0" borderId="11" xfId="0" applyFont="1" applyBorder="1" applyAlignment="1">
      <alignment horizontal="left" vertical="top"/>
    </xf>
    <xf numFmtId="0" fontId="12" fillId="0" borderId="2" xfId="0" applyFont="1" applyBorder="1" applyAlignment="1">
      <alignment horizontal="left" vertical="top"/>
    </xf>
    <xf numFmtId="0" fontId="12" fillId="0" borderId="2" xfId="0" applyFont="1" applyBorder="1" applyAlignment="1">
      <alignment horizontal="left" vertical="top" wrapText="1"/>
    </xf>
    <xf numFmtId="0" fontId="12" fillId="0" borderId="7" xfId="0" applyFont="1" applyBorder="1" applyAlignment="1">
      <alignment horizontal="left" vertical="top"/>
    </xf>
    <xf numFmtId="0" fontId="12" fillId="0" borderId="6" xfId="0" applyFont="1" applyBorder="1" applyAlignment="1">
      <alignment horizontal="left" vertical="top"/>
    </xf>
    <xf numFmtId="0" fontId="12" fillId="0" borderId="12" xfId="0" applyFont="1" applyBorder="1" applyAlignment="1">
      <alignment horizontal="left" vertical="top" wrapText="1"/>
    </xf>
    <xf numFmtId="0" fontId="9" fillId="0" borderId="13" xfId="0" applyFont="1" applyBorder="1" applyAlignment="1">
      <alignment horizontal="left" vertical="top"/>
    </xf>
    <xf numFmtId="0" fontId="12" fillId="3" borderId="5" xfId="0" applyFont="1" applyFill="1" applyBorder="1" applyAlignment="1">
      <alignment horizontal="left" vertical="top"/>
    </xf>
    <xf numFmtId="0" fontId="12" fillId="3" borderId="1" xfId="0" applyFont="1" applyFill="1" applyBorder="1" applyAlignment="1">
      <alignment horizontal="left" vertical="top" wrapText="1"/>
    </xf>
    <xf numFmtId="0" fontId="12" fillId="3" borderId="8" xfId="0" applyFont="1" applyFill="1" applyBorder="1" applyAlignment="1">
      <alignment horizontal="left" vertical="top" wrapText="1"/>
    </xf>
    <xf numFmtId="0" fontId="9" fillId="0" borderId="5" xfId="0" applyFont="1" applyBorder="1" applyAlignment="1">
      <alignment horizontal="left" vertical="top"/>
    </xf>
    <xf numFmtId="0" fontId="12" fillId="4" borderId="1" xfId="0" applyFont="1" applyFill="1" applyBorder="1" applyAlignment="1">
      <alignment horizontal="left" vertical="top"/>
    </xf>
    <xf numFmtId="0" fontId="12" fillId="4" borderId="5" xfId="0" applyFont="1" applyFill="1" applyBorder="1" applyAlignment="1">
      <alignment horizontal="left" vertical="top"/>
    </xf>
    <xf numFmtId="0" fontId="12" fillId="4" borderId="3" xfId="0" applyFont="1" applyFill="1" applyBorder="1" applyAlignment="1">
      <alignment horizontal="left" vertical="top"/>
    </xf>
    <xf numFmtId="0" fontId="12" fillId="4" borderId="16" xfId="0" applyFont="1" applyFill="1" applyBorder="1" applyAlignment="1">
      <alignment horizontal="left" vertical="top"/>
    </xf>
    <xf numFmtId="0" fontId="12" fillId="0" borderId="5" xfId="0" applyFont="1" applyBorder="1" applyAlignment="1">
      <alignment vertical="center" wrapText="1"/>
    </xf>
    <xf numFmtId="0" fontId="9" fillId="0" borderId="0" xfId="0" applyFont="1" applyAlignment="1">
      <alignment horizontal="left" vertical="top" wrapText="1"/>
    </xf>
    <xf numFmtId="0" fontId="14" fillId="5" borderId="11" xfId="0" applyFont="1" applyFill="1" applyBorder="1" applyAlignment="1">
      <alignment wrapText="1"/>
    </xf>
    <xf numFmtId="49" fontId="0" fillId="0" borderId="0" xfId="0" applyNumberFormat="1" applyAlignment="1">
      <alignment horizontal="left" vertical="top"/>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12" fillId="4" borderId="2" xfId="0" applyFont="1" applyFill="1" applyBorder="1" applyAlignment="1">
      <alignment horizontal="left" vertical="top" wrapText="1"/>
    </xf>
    <xf numFmtId="0" fontId="12" fillId="4" borderId="2" xfId="0" applyFont="1" applyFill="1" applyBorder="1" applyAlignment="1">
      <alignment horizontal="left" vertical="top"/>
    </xf>
    <xf numFmtId="0" fontId="11" fillId="3" borderId="16" xfId="0" applyFont="1" applyFill="1" applyBorder="1" applyAlignment="1">
      <alignment horizontal="left" vertical="top"/>
    </xf>
    <xf numFmtId="0" fontId="17" fillId="0" borderId="2" xfId="0" applyFont="1" applyBorder="1"/>
    <xf numFmtId="0" fontId="18" fillId="0" borderId="5" xfId="0" applyFont="1" applyBorder="1" applyAlignment="1">
      <alignment vertical="center" wrapText="1"/>
    </xf>
    <xf numFmtId="0" fontId="18" fillId="0" borderId="1" xfId="0" applyFont="1" applyBorder="1" applyAlignment="1">
      <alignment vertical="center" wrapText="1"/>
    </xf>
    <xf numFmtId="0" fontId="9" fillId="3" borderId="1" xfId="0" applyFont="1" applyFill="1" applyBorder="1" applyAlignment="1">
      <alignment horizontal="left" vertical="top"/>
    </xf>
    <xf numFmtId="0" fontId="12" fillId="3" borderId="2" xfId="0" applyFont="1" applyFill="1" applyBorder="1" applyAlignment="1">
      <alignment horizontal="left" vertical="top"/>
    </xf>
    <xf numFmtId="0" fontId="9" fillId="3" borderId="2" xfId="0" applyFont="1" applyFill="1" applyBorder="1" applyAlignment="1">
      <alignment horizontal="left" vertical="top"/>
    </xf>
    <xf numFmtId="0" fontId="9" fillId="6" borderId="2" xfId="0" applyFont="1" applyFill="1" applyBorder="1" applyAlignment="1">
      <alignment horizontal="left" vertical="top" wrapText="1"/>
    </xf>
    <xf numFmtId="0" fontId="9" fillId="6" borderId="2" xfId="0" applyFont="1" applyFill="1" applyBorder="1" applyAlignment="1">
      <alignment horizontal="left" vertical="top"/>
    </xf>
    <xf numFmtId="0" fontId="9" fillId="0" borderId="1" xfId="0" applyFont="1" applyBorder="1" applyAlignment="1">
      <alignment vertical="top" wrapText="1"/>
    </xf>
    <xf numFmtId="0" fontId="11" fillId="3" borderId="11" xfId="0" applyFont="1" applyFill="1" applyBorder="1" applyAlignment="1">
      <alignment vertical="top"/>
    </xf>
    <xf numFmtId="0" fontId="12" fillId="0" borderId="5" xfId="0" applyFont="1" applyBorder="1" applyAlignment="1">
      <alignment vertical="top"/>
    </xf>
    <xf numFmtId="0" fontId="12" fillId="0" borderId="16" xfId="0" applyFont="1" applyBorder="1" applyAlignment="1">
      <alignment vertical="top"/>
    </xf>
    <xf numFmtId="0" fontId="0" fillId="0" borderId="17" xfId="0" applyBorder="1"/>
    <xf numFmtId="0" fontId="8" fillId="3" borderId="2" xfId="0" applyFont="1" applyFill="1" applyBorder="1"/>
    <xf numFmtId="0" fontId="9" fillId="0" borderId="2" xfId="0" applyFont="1" applyBorder="1" applyAlignment="1">
      <alignment wrapText="1"/>
    </xf>
    <xf numFmtId="0" fontId="9" fillId="7" borderId="2" xfId="0" applyFont="1" applyFill="1" applyBorder="1" applyAlignment="1">
      <alignment wrapText="1"/>
    </xf>
    <xf numFmtId="0" fontId="9" fillId="0" borderId="2" xfId="0" applyFont="1" applyBorder="1" applyAlignment="1">
      <alignment vertical="top" wrapText="1"/>
    </xf>
    <xf numFmtId="0" fontId="9" fillId="8" borderId="2" xfId="0" applyFont="1" applyFill="1" applyBorder="1" applyAlignment="1">
      <alignment wrapText="1"/>
    </xf>
    <xf numFmtId="0" fontId="5" fillId="3" borderId="0" xfId="0" applyFont="1" applyFill="1"/>
    <xf numFmtId="0" fontId="5" fillId="3" borderId="1" xfId="0" applyFont="1" applyFill="1" applyBorder="1"/>
    <xf numFmtId="49" fontId="5" fillId="3" borderId="1" xfId="0" applyNumberFormat="1" applyFont="1" applyFill="1" applyBorder="1" applyAlignment="1">
      <alignment horizontal="left" vertical="top"/>
    </xf>
    <xf numFmtId="49" fontId="0" fillId="0" borderId="1" xfId="0" applyNumberFormat="1" applyBorder="1" applyAlignment="1">
      <alignment horizontal="left" vertical="top"/>
    </xf>
    <xf numFmtId="0" fontId="11" fillId="3" borderId="5" xfId="0" applyFont="1" applyFill="1" applyBorder="1" applyAlignment="1">
      <alignment vertical="top"/>
    </xf>
    <xf numFmtId="0" fontId="12" fillId="0" borderId="5" xfId="0" applyFont="1" applyBorder="1" applyAlignment="1">
      <alignment vertical="center"/>
    </xf>
    <xf numFmtId="0" fontId="12" fillId="3" borderId="16" xfId="0" applyFont="1" applyFill="1" applyBorder="1" applyAlignment="1">
      <alignment vertical="center"/>
    </xf>
    <xf numFmtId="0" fontId="12" fillId="0" borderId="17" xfId="0" applyFont="1" applyBorder="1" applyAlignment="1">
      <alignment vertical="center"/>
    </xf>
    <xf numFmtId="0" fontId="12" fillId="0" borderId="11" xfId="0" applyFont="1" applyBorder="1" applyAlignment="1">
      <alignment vertical="center"/>
    </xf>
    <xf numFmtId="0" fontId="12" fillId="0" borderId="7" xfId="0" applyFont="1" applyBorder="1" applyAlignment="1">
      <alignment vertical="center"/>
    </xf>
    <xf numFmtId="0" fontId="12" fillId="3" borderId="5" xfId="0" applyFont="1" applyFill="1" applyBorder="1" applyAlignment="1">
      <alignment vertical="center"/>
    </xf>
    <xf numFmtId="0" fontId="9" fillId="0" borderId="5" xfId="0" applyFont="1" applyBorder="1" applyAlignment="1">
      <alignment vertical="center"/>
    </xf>
    <xf numFmtId="0" fontId="9" fillId="0" borderId="5" xfId="0" applyFont="1" applyBorder="1" applyAlignment="1">
      <alignment vertical="top"/>
    </xf>
    <xf numFmtId="0" fontId="12" fillId="3" borderId="5" xfId="0" applyFont="1" applyFill="1" applyBorder="1" applyAlignment="1">
      <alignment vertical="top"/>
    </xf>
    <xf numFmtId="0" fontId="12" fillId="4" borderId="5" xfId="0" applyFont="1" applyFill="1" applyBorder="1" applyAlignment="1">
      <alignment vertical="top"/>
    </xf>
    <xf numFmtId="0" fontId="12" fillId="6" borderId="1" xfId="0" applyFont="1" applyFill="1" applyBorder="1" applyAlignment="1">
      <alignment vertical="top"/>
    </xf>
    <xf numFmtId="0" fontId="12" fillId="6" borderId="1" xfId="0" applyFont="1" applyFill="1" applyBorder="1" applyAlignment="1">
      <alignment vertical="top" wrapText="1"/>
    </xf>
    <xf numFmtId="0" fontId="9" fillId="0" borderId="4" xfId="0" applyFont="1" applyBorder="1" applyAlignment="1">
      <alignment horizontal="left" vertical="top" wrapText="1"/>
    </xf>
    <xf numFmtId="0" fontId="9" fillId="6" borderId="1" xfId="0" applyFont="1" applyFill="1" applyBorder="1" applyAlignment="1">
      <alignment vertical="top"/>
    </xf>
    <xf numFmtId="0" fontId="9" fillId="3" borderId="1" xfId="0" applyFont="1" applyFill="1" applyBorder="1" applyAlignment="1">
      <alignment vertical="top"/>
    </xf>
    <xf numFmtId="0" fontId="12" fillId="6" borderId="2" xfId="0" applyFont="1" applyFill="1" applyBorder="1" applyAlignment="1">
      <alignment horizontal="left" vertical="top"/>
    </xf>
    <xf numFmtId="0" fontId="12" fillId="6" borderId="2" xfId="0" applyFont="1" applyFill="1" applyBorder="1" applyAlignment="1">
      <alignment horizontal="left" vertical="top" wrapText="1"/>
    </xf>
    <xf numFmtId="0" fontId="9" fillId="6" borderId="4" xfId="0" applyFont="1" applyFill="1" applyBorder="1" applyAlignment="1">
      <alignment horizontal="left" vertical="top"/>
    </xf>
    <xf numFmtId="0" fontId="9" fillId="6" borderId="4" xfId="0" applyFont="1" applyFill="1" applyBorder="1" applyAlignment="1">
      <alignment horizontal="left" vertical="top" wrapText="1"/>
    </xf>
    <xf numFmtId="0" fontId="9" fillId="6" borderId="1" xfId="0" applyFont="1" applyFill="1" applyBorder="1" applyAlignment="1">
      <alignment horizontal="left" vertical="top"/>
    </xf>
    <xf numFmtId="0" fontId="9" fillId="6" borderId="1" xfId="0" applyFont="1" applyFill="1" applyBorder="1" applyAlignment="1">
      <alignment horizontal="left" vertical="top" wrapText="1"/>
    </xf>
    <xf numFmtId="0" fontId="9" fillId="3" borderId="2" xfId="0" applyFont="1" applyFill="1" applyBorder="1" applyAlignment="1">
      <alignment wrapText="1"/>
    </xf>
    <xf numFmtId="0" fontId="0" fillId="0" borderId="1" xfId="0" applyBorder="1" applyAlignment="1">
      <alignment wrapText="1"/>
    </xf>
    <xf numFmtId="0" fontId="12" fillId="0" borderId="0" xfId="0" applyFont="1" applyAlignment="1">
      <alignment vertical="top" wrapText="1"/>
    </xf>
    <xf numFmtId="0" fontId="16" fillId="6" borderId="2" xfId="0" applyFont="1" applyFill="1" applyBorder="1" applyAlignment="1">
      <alignment vertical="top" wrapText="1"/>
    </xf>
    <xf numFmtId="0" fontId="19" fillId="0" borderId="2" xfId="0" applyFont="1" applyBorder="1" applyAlignment="1">
      <alignment vertical="top"/>
    </xf>
    <xf numFmtId="0" fontId="20" fillId="0" borderId="0" xfId="0" applyFont="1"/>
    <xf numFmtId="0" fontId="21" fillId="0" borderId="0" xfId="0" applyFont="1"/>
    <xf numFmtId="0" fontId="9" fillId="6" borderId="2" xfId="0" applyFont="1" applyFill="1" applyBorder="1" applyAlignment="1">
      <alignment vertical="top"/>
    </xf>
    <xf numFmtId="0" fontId="12" fillId="0" borderId="16" xfId="0" applyFont="1" applyBorder="1" applyAlignment="1">
      <alignment vertical="center" wrapText="1"/>
    </xf>
    <xf numFmtId="0" fontId="12" fillId="0" borderId="7" xfId="0" applyFont="1" applyBorder="1" applyAlignment="1">
      <alignment vertical="center" wrapText="1"/>
    </xf>
    <xf numFmtId="0" fontId="12" fillId="0" borderId="6" xfId="0" applyFont="1" applyBorder="1" applyAlignment="1">
      <alignment vertical="center" wrapText="1"/>
    </xf>
    <xf numFmtId="0" fontId="12" fillId="0" borderId="8" xfId="0" applyFont="1" applyBorder="1" applyAlignment="1">
      <alignment vertical="top"/>
    </xf>
    <xf numFmtId="0" fontId="12" fillId="0" borderId="9" xfId="0" applyFont="1" applyBorder="1" applyAlignment="1">
      <alignment vertical="top"/>
    </xf>
    <xf numFmtId="0" fontId="0" fillId="0" borderId="18" xfId="0" applyBorder="1"/>
    <xf numFmtId="0" fontId="0" fillId="0" borderId="11" xfId="0" applyBorder="1"/>
    <xf numFmtId="164" fontId="8" fillId="3" borderId="1" xfId="2" applyNumberFormat="1" applyFont="1" applyFill="1" applyBorder="1" applyAlignment="1">
      <alignment horizontal="left" vertical="top"/>
    </xf>
    <xf numFmtId="164" fontId="9" fillId="0" borderId="1" xfId="2" applyNumberFormat="1" applyFont="1" applyBorder="1" applyAlignment="1">
      <alignment horizontal="left" vertical="top"/>
    </xf>
    <xf numFmtId="164" fontId="9" fillId="0" borderId="0" xfId="2" applyNumberFormat="1" applyFont="1" applyAlignment="1">
      <alignment horizontal="left" vertical="top"/>
    </xf>
    <xf numFmtId="0" fontId="9" fillId="7" borderId="2" xfId="0" applyFont="1" applyFill="1" applyBorder="1" applyAlignment="1">
      <alignment vertical="top" wrapText="1"/>
    </xf>
    <xf numFmtId="0" fontId="0" fillId="0" borderId="0" xfId="0" applyAlignment="1">
      <alignment vertical="top"/>
    </xf>
    <xf numFmtId="0" fontId="9" fillId="9" borderId="2" xfId="0" applyFont="1" applyFill="1" applyBorder="1" applyAlignment="1">
      <alignment vertical="top" wrapText="1"/>
    </xf>
    <xf numFmtId="0" fontId="0" fillId="0" borderId="10" xfId="0" applyBorder="1"/>
    <xf numFmtId="0" fontId="12" fillId="0" borderId="19" xfId="0" applyFont="1" applyBorder="1" applyAlignment="1">
      <alignment vertical="center" wrapText="1"/>
    </xf>
    <xf numFmtId="164" fontId="9" fillId="0" borderId="8" xfId="2" applyNumberFormat="1" applyFont="1" applyBorder="1" applyAlignment="1">
      <alignment horizontal="left" vertical="top"/>
    </xf>
    <xf numFmtId="164" fontId="9" fillId="0" borderId="5" xfId="2" applyNumberFormat="1" applyFont="1" applyBorder="1" applyAlignment="1">
      <alignment horizontal="left" vertical="top"/>
    </xf>
    <xf numFmtId="0" fontId="9" fillId="0" borderId="19" xfId="0" applyFont="1" applyBorder="1"/>
    <xf numFmtId="0" fontId="9" fillId="0" borderId="3" xfId="0" applyFont="1" applyBorder="1" applyAlignment="1">
      <alignment horizontal="left" vertical="top"/>
    </xf>
    <xf numFmtId="164" fontId="9" fillId="0" borderId="3" xfId="2" applyNumberFormat="1" applyFont="1" applyBorder="1" applyAlignment="1">
      <alignment horizontal="left" vertical="top"/>
    </xf>
    <xf numFmtId="0" fontId="9" fillId="0" borderId="9" xfId="0" applyFont="1" applyBorder="1" applyAlignment="1">
      <alignment horizontal="left" vertical="top"/>
    </xf>
    <xf numFmtId="0" fontId="9" fillId="0" borderId="18" xfId="0" applyFont="1" applyBorder="1" applyAlignment="1">
      <alignment horizontal="left" vertical="top"/>
    </xf>
    <xf numFmtId="0" fontId="10" fillId="0" borderId="3" xfId="1" applyFont="1" applyBorder="1" applyAlignment="1">
      <alignment horizontal="left" vertical="top"/>
    </xf>
    <xf numFmtId="0" fontId="9" fillId="0" borderId="6" xfId="0" applyFont="1" applyBorder="1" applyAlignment="1">
      <alignment horizontal="left" vertical="top"/>
    </xf>
    <xf numFmtId="164" fontId="9" fillId="0" borderId="6" xfId="2" applyNumberFormat="1" applyFont="1" applyBorder="1" applyAlignment="1">
      <alignment horizontal="left" vertical="top"/>
    </xf>
    <xf numFmtId="0" fontId="9" fillId="0" borderId="12" xfId="0" applyFont="1" applyBorder="1" applyAlignment="1">
      <alignment horizontal="left" vertical="top"/>
    </xf>
    <xf numFmtId="0" fontId="9" fillId="0" borderId="20" xfId="0" applyFont="1" applyBorder="1" applyAlignment="1">
      <alignment horizontal="left" vertical="top"/>
    </xf>
    <xf numFmtId="0" fontId="12" fillId="7" borderId="2" xfId="0" applyFont="1" applyFill="1" applyBorder="1" applyAlignment="1">
      <alignment horizontal="left" vertical="top" wrapText="1"/>
    </xf>
    <xf numFmtId="0" fontId="9" fillId="7" borderId="2" xfId="0" applyFont="1" applyFill="1" applyBorder="1" applyAlignment="1">
      <alignment horizontal="left" vertical="top"/>
    </xf>
    <xf numFmtId="49" fontId="15" fillId="0" borderId="1" xfId="0" applyNumberFormat="1" applyFont="1" applyBorder="1" applyAlignment="1">
      <alignment horizontal="left" vertical="top"/>
    </xf>
    <xf numFmtId="0" fontId="13" fillId="0" borderId="0" xfId="0" applyFont="1" applyAlignment="1">
      <alignment wrapText="1"/>
    </xf>
    <xf numFmtId="0" fontId="14" fillId="5" borderId="3" xfId="0" applyFont="1" applyFill="1" applyBorder="1"/>
    <xf numFmtId="0" fontId="14" fillId="0" borderId="0" xfId="0" applyFont="1" applyAlignment="1">
      <alignment wrapText="1"/>
    </xf>
    <xf numFmtId="0" fontId="15" fillId="0" borderId="0" xfId="0" applyFont="1" applyAlignment="1">
      <alignment wrapText="1"/>
    </xf>
    <xf numFmtId="0" fontId="14" fillId="5" borderId="1" xfId="0" applyFont="1" applyFill="1" applyBorder="1"/>
    <xf numFmtId="0" fontId="14" fillId="5" borderId="5" xfId="0" applyFont="1" applyFill="1" applyBorder="1"/>
    <xf numFmtId="0" fontId="2" fillId="0" borderId="0" xfId="0" applyFont="1"/>
    <xf numFmtId="0" fontId="10" fillId="0" borderId="1" xfId="1" applyFont="1" applyFill="1" applyBorder="1" applyAlignment="1">
      <alignment horizontal="left" vertical="top"/>
    </xf>
    <xf numFmtId="0" fontId="9" fillId="0" borderId="18" xfId="0" applyFont="1" applyBorder="1"/>
    <xf numFmtId="0" fontId="13" fillId="0" borderId="1" xfId="0" applyFont="1" applyBorder="1"/>
    <xf numFmtId="0" fontId="9" fillId="0" borderId="3" xfId="0" applyFont="1" applyBorder="1"/>
    <xf numFmtId="0" fontId="0" fillId="0" borderId="3" xfId="0" applyBorder="1"/>
    <xf numFmtId="0" fontId="12" fillId="0" borderId="2" xfId="0" applyFont="1" applyBorder="1" applyAlignment="1">
      <alignment vertical="top"/>
    </xf>
    <xf numFmtId="0" fontId="14" fillId="5" borderId="2" xfId="0" applyFont="1" applyFill="1" applyBorder="1"/>
    <xf numFmtId="0" fontId="9" fillId="0" borderId="13" xfId="0" applyFont="1" applyBorder="1" applyAlignment="1">
      <alignment horizontal="left" vertical="top" wrapText="1"/>
    </xf>
    <xf numFmtId="0" fontId="0" fillId="10" borderId="0" xfId="0" applyFill="1"/>
    <xf numFmtId="0" fontId="17" fillId="0" borderId="0" xfId="0" applyFont="1"/>
    <xf numFmtId="0" fontId="12" fillId="3" borderId="2" xfId="0" applyFont="1" applyFill="1" applyBorder="1" applyAlignment="1">
      <alignment vertical="center" wrapText="1"/>
    </xf>
    <xf numFmtId="0" fontId="12" fillId="3" borderId="5" xfId="0" applyFont="1" applyFill="1" applyBorder="1" applyAlignment="1">
      <alignment vertical="center" wrapText="1"/>
    </xf>
    <xf numFmtId="0" fontId="13" fillId="0" borderId="7" xfId="0" applyFont="1" applyBorder="1"/>
    <xf numFmtId="0" fontId="0" fillId="3" borderId="0" xfId="0" applyFill="1"/>
    <xf numFmtId="0" fontId="15" fillId="0" borderId="1" xfId="0" applyFont="1" applyBorder="1"/>
    <xf numFmtId="0" fontId="22" fillId="0" borderId="6" xfId="0" applyFont="1" applyBorder="1"/>
    <xf numFmtId="0" fontId="22" fillId="0" borderId="7" xfId="0" applyFont="1" applyBorder="1"/>
    <xf numFmtId="0" fontId="22" fillId="0" borderId="2" xfId="0" applyFont="1" applyBorder="1"/>
    <xf numFmtId="0" fontId="0" fillId="11" borderId="0" xfId="0" applyFill="1"/>
    <xf numFmtId="0" fontId="23" fillId="0" borderId="2" xfId="0" applyFont="1" applyBorder="1"/>
    <xf numFmtId="0" fontId="13" fillId="0" borderId="2" xfId="0" applyFont="1" applyBorder="1"/>
    <xf numFmtId="0" fontId="13" fillId="0" borderId="2" xfId="0" applyFont="1" applyBorder="1" applyAlignment="1">
      <alignment wrapText="1"/>
    </xf>
    <xf numFmtId="0" fontId="14" fillId="5" borderId="11" xfId="0" applyFont="1" applyFill="1" applyBorder="1"/>
    <xf numFmtId="0" fontId="13" fillId="0" borderId="6" xfId="0" applyFont="1" applyBorder="1"/>
    <xf numFmtId="0" fontId="13" fillId="0" borderId="7" xfId="0" applyFont="1" applyBorder="1" applyAlignment="1">
      <alignment wrapText="1"/>
    </xf>
    <xf numFmtId="0" fontId="13" fillId="0" borderId="6" xfId="0" applyFont="1" applyBorder="1" applyAlignment="1">
      <alignment wrapText="1"/>
    </xf>
    <xf numFmtId="0" fontId="14" fillId="5" borderId="4" xfId="0" applyFont="1" applyFill="1" applyBorder="1"/>
    <xf numFmtId="0" fontId="14" fillId="5" borderId="17" xfId="0" applyFont="1" applyFill="1" applyBorder="1"/>
    <xf numFmtId="0" fontId="14" fillId="5" borderId="17" xfId="0" applyFont="1" applyFill="1" applyBorder="1" applyAlignment="1">
      <alignment wrapText="1"/>
    </xf>
    <xf numFmtId="0" fontId="15" fillId="0" borderId="5" xfId="0" applyFont="1" applyBorder="1"/>
    <xf numFmtId="0" fontId="13" fillId="0" borderId="5" xfId="0" applyFont="1" applyBorder="1" applyAlignment="1">
      <alignment wrapText="1"/>
    </xf>
    <xf numFmtId="0" fontId="13" fillId="0" borderId="5" xfId="0" applyFont="1" applyBorder="1"/>
    <xf numFmtId="0" fontId="15" fillId="0" borderId="8" xfId="0" applyFont="1" applyBorder="1"/>
    <xf numFmtId="0" fontId="23" fillId="0" borderId="0" xfId="0" applyFont="1"/>
    <xf numFmtId="0" fontId="12" fillId="0" borderId="0" xfId="0" applyFont="1" applyAlignment="1">
      <alignment vertical="center" wrapText="1"/>
    </xf>
    <xf numFmtId="0" fontId="0" fillId="0" borderId="21" xfId="0" applyBorder="1"/>
    <xf numFmtId="0" fontId="0" fillId="0" borderId="20" xfId="0" applyBorder="1"/>
    <xf numFmtId="0" fontId="0" fillId="0" borderId="10" xfId="0" applyBorder="1" applyAlignment="1">
      <alignment wrapText="1"/>
    </xf>
    <xf numFmtId="0" fontId="18" fillId="0" borderId="2" xfId="0" applyFont="1" applyBorder="1" applyAlignment="1">
      <alignment vertical="center" wrapText="1"/>
    </xf>
    <xf numFmtId="0" fontId="14" fillId="5" borderId="4" xfId="0" applyFont="1" applyFill="1" applyBorder="1" applyAlignment="1">
      <alignment wrapText="1"/>
    </xf>
    <xf numFmtId="0" fontId="24" fillId="0" borderId="0" xfId="0" applyFont="1" applyAlignment="1">
      <alignment vertical="center"/>
    </xf>
    <xf numFmtId="0" fontId="25" fillId="0" borderId="2" xfId="0" applyFont="1" applyBorder="1" applyAlignment="1">
      <alignment horizontal="left" vertical="top" wrapText="1"/>
    </xf>
    <xf numFmtId="0" fontId="18" fillId="0" borderId="2" xfId="0" applyFont="1" applyBorder="1" applyAlignment="1">
      <alignment horizontal="left" vertical="top" wrapText="1"/>
    </xf>
    <xf numFmtId="0" fontId="18" fillId="0" borderId="2" xfId="0" applyFont="1" applyBorder="1" applyAlignment="1">
      <alignment horizontal="left" vertical="top"/>
    </xf>
    <xf numFmtId="0" fontId="25" fillId="0" borderId="2" xfId="0" applyFont="1" applyBorder="1" applyAlignment="1">
      <alignment horizontal="left" vertical="top"/>
    </xf>
    <xf numFmtId="0" fontId="25" fillId="0" borderId="0" xfId="0" applyFont="1" applyAlignment="1">
      <alignment horizontal="left" vertical="top"/>
    </xf>
    <xf numFmtId="0" fontId="18" fillId="0" borderId="1" xfId="0" applyFont="1" applyBorder="1" applyAlignment="1">
      <alignment horizontal="left" vertical="top"/>
    </xf>
    <xf numFmtId="0" fontId="13" fillId="3" borderId="2" xfId="0" applyFont="1" applyFill="1" applyBorder="1"/>
    <xf numFmtId="0" fontId="13" fillId="3" borderId="2" xfId="0" applyFont="1" applyFill="1" applyBorder="1" applyAlignment="1">
      <alignment wrapText="1"/>
    </xf>
    <xf numFmtId="0" fontId="8" fillId="0" borderId="1" xfId="0" applyFont="1" applyBorder="1" applyAlignment="1">
      <alignment horizontal="left" vertical="top"/>
    </xf>
    <xf numFmtId="0" fontId="8" fillId="3" borderId="4" xfId="0" applyFont="1" applyFill="1" applyBorder="1"/>
    <xf numFmtId="0" fontId="11" fillId="3" borderId="17" xfId="0" applyFont="1" applyFill="1" applyBorder="1" applyAlignment="1">
      <alignment vertical="top"/>
    </xf>
    <xf numFmtId="0" fontId="26" fillId="0" borderId="7" xfId="0" applyFont="1" applyBorder="1"/>
    <xf numFmtId="0" fontId="27" fillId="0" borderId="2" xfId="0" applyFont="1" applyBorder="1"/>
    <xf numFmtId="0" fontId="17" fillId="0" borderId="2" xfId="0" applyFont="1" applyBorder="1" applyAlignment="1">
      <alignment wrapText="1"/>
    </xf>
    <xf numFmtId="0" fontId="27" fillId="0" borderId="7" xfId="0" applyFont="1" applyBorder="1"/>
    <xf numFmtId="0" fontId="9" fillId="0" borderId="0" xfId="0" applyFont="1" applyAlignment="1">
      <alignment wrapText="1"/>
    </xf>
    <xf numFmtId="0" fontId="0" fillId="0" borderId="13" xfId="0" applyBorder="1"/>
    <xf numFmtId="0" fontId="18" fillId="0" borderId="16" xfId="0" applyFont="1" applyBorder="1" applyAlignment="1">
      <alignment vertical="top"/>
    </xf>
    <xf numFmtId="0" fontId="18" fillId="0" borderId="3" xfId="0" applyFont="1" applyBorder="1" applyAlignment="1">
      <alignment vertical="top"/>
    </xf>
    <xf numFmtId="0" fontId="18" fillId="0" borderId="9" xfId="0" applyFont="1" applyBorder="1" applyAlignment="1">
      <alignment vertical="top"/>
    </xf>
    <xf numFmtId="0" fontId="17" fillId="0" borderId="17" xfId="0" applyFont="1" applyBorder="1"/>
    <xf numFmtId="0" fontId="17" fillId="0" borderId="4" xfId="0" applyFont="1" applyBorder="1"/>
    <xf numFmtId="0" fontId="17" fillId="0" borderId="4" xfId="0" applyFont="1" applyBorder="1" applyAlignment="1">
      <alignment wrapText="1"/>
    </xf>
    <xf numFmtId="0" fontId="17" fillId="0" borderId="18" xfId="0" applyFont="1" applyBorder="1"/>
    <xf numFmtId="0" fontId="0" fillId="3" borderId="2" xfId="0" applyFill="1" applyBorder="1"/>
    <xf numFmtId="0" fontId="1" fillId="0" borderId="1" xfId="1" applyBorder="1" applyAlignment="1">
      <alignment horizontal="left" vertical="top"/>
    </xf>
    <xf numFmtId="0" fontId="28" fillId="0" borderId="2" xfId="0" applyFont="1" applyBorder="1"/>
    <xf numFmtId="0" fontId="28" fillId="0" borderId="4" xfId="0" applyFont="1" applyBorder="1"/>
    <xf numFmtId="0" fontId="29" fillId="0" borderId="2" xfId="0" applyFont="1" applyBorder="1" applyAlignment="1">
      <alignment vertical="top"/>
    </xf>
    <xf numFmtId="0" fontId="27" fillId="0" borderId="7" xfId="0" applyFont="1" applyBorder="1" applyAlignment="1">
      <alignment wrapText="1"/>
    </xf>
    <xf numFmtId="0" fontId="0" fillId="9" borderId="2" xfId="0" applyFill="1" applyBorder="1"/>
    <xf numFmtId="0" fontId="30" fillId="0" borderId="2" xfId="0" applyFont="1" applyBorder="1"/>
    <xf numFmtId="0" fontId="17" fillId="0" borderId="10" xfId="0" applyFont="1" applyBorder="1"/>
    <xf numFmtId="0" fontId="17" fillId="0" borderId="13" xfId="0" applyFont="1" applyBorder="1"/>
    <xf numFmtId="0" fontId="30" fillId="0" borderId="4" xfId="0" applyFont="1" applyBorder="1"/>
    <xf numFmtId="0" fontId="28" fillId="8" borderId="2" xfId="0" applyFont="1" applyFill="1" applyBorder="1"/>
    <xf numFmtId="0" fontId="0" fillId="8" borderId="2" xfId="0" applyFill="1" applyBorder="1"/>
    <xf numFmtId="0" fontId="15" fillId="8" borderId="4" xfId="0" applyFont="1" applyFill="1" applyBorder="1"/>
    <xf numFmtId="0" fontId="0" fillId="8" borderId="4" xfId="0" applyFill="1" applyBorder="1"/>
    <xf numFmtId="0" fontId="31" fillId="3" borderId="1" xfId="0" applyFont="1" applyFill="1" applyBorder="1"/>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left" vertical="top"/>
    </xf>
    <xf numFmtId="0" fontId="13" fillId="0" borderId="0" xfId="0" applyFont="1" applyAlignment="1">
      <alignment wrapText="1"/>
    </xf>
    <xf numFmtId="0" fontId="9" fillId="0" borderId="4" xfId="0" applyFont="1" applyBorder="1" applyAlignment="1">
      <alignment horizontal="center" vertical="top" wrapText="1"/>
    </xf>
    <xf numFmtId="0" fontId="9" fillId="0" borderId="13" xfId="0" applyFont="1" applyBorder="1" applyAlignment="1">
      <alignment horizontal="center" vertical="top" wrapText="1"/>
    </xf>
    <xf numFmtId="0" fontId="18" fillId="0" borderId="4" xfId="0" applyFont="1" applyBorder="1" applyAlignment="1">
      <alignment horizontal="left" vertical="top"/>
    </xf>
    <xf numFmtId="0" fontId="18" fillId="0" borderId="13" xfId="0" applyFont="1" applyBorder="1" applyAlignment="1">
      <alignment horizontal="left" vertical="top"/>
    </xf>
    <xf numFmtId="0" fontId="18" fillId="0" borderId="4" xfId="0" applyFont="1" applyBorder="1" applyAlignment="1">
      <alignment horizontal="left" vertical="top" wrapText="1"/>
    </xf>
    <xf numFmtId="0" fontId="18" fillId="0" borderId="13" xfId="0" applyFont="1" applyBorder="1" applyAlignment="1">
      <alignment horizontal="left" vertical="top" wrapText="1"/>
    </xf>
    <xf numFmtId="0" fontId="12" fillId="0" borderId="4" xfId="0" applyFont="1" applyBorder="1" applyAlignment="1">
      <alignment horizontal="left" vertical="top" wrapText="1"/>
    </xf>
    <xf numFmtId="0" fontId="12" fillId="0" borderId="13" xfId="0" applyFont="1" applyBorder="1" applyAlignment="1">
      <alignment horizontal="left" vertical="top" wrapText="1"/>
    </xf>
    <xf numFmtId="0" fontId="13" fillId="0" borderId="0" xfId="0" applyFont="1" applyAlignment="1"/>
  </cellXfs>
  <cellStyles count="4">
    <cellStyle name="Comma" xfId="2" builtinId="3"/>
    <cellStyle name="Hyperlink" xfId="1" builtinId="8"/>
    <cellStyle name="Normal" xfId="0" builtinId="0"/>
    <cellStyle name="Normal 2" xfId="3" xr:uid="{958FCB73-BF2B-41B8-A95A-7CD04690C6D4}"/>
  </cellStyles>
  <dxfs count="13">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130</xdr:row>
      <xdr:rowOff>0</xdr:rowOff>
    </xdr:from>
    <xdr:to>
      <xdr:col>6</xdr:col>
      <xdr:colOff>487442</xdr:colOff>
      <xdr:row>156</xdr:row>
      <xdr:rowOff>691</xdr:rowOff>
    </xdr:to>
    <xdr:pic>
      <xdr:nvPicPr>
        <xdr:cNvPr id="2" name="Picture 1">
          <a:extLst>
            <a:ext uri="{FF2B5EF4-FFF2-40B4-BE49-F238E27FC236}">
              <a16:creationId xmlns:a16="http://schemas.microsoft.com/office/drawing/2014/main" id="{072A4B3E-71D2-D884-B4E4-FC51BBD4BCA3}"/>
            </a:ext>
          </a:extLst>
        </xdr:cNvPr>
        <xdr:cNvPicPr>
          <a:picLocks noChangeAspect="1"/>
        </xdr:cNvPicPr>
      </xdr:nvPicPr>
      <xdr:blipFill>
        <a:blip xmlns:r="http://schemas.openxmlformats.org/officeDocument/2006/relationships" r:embed="rId1"/>
        <a:stretch>
          <a:fillRect/>
        </a:stretch>
      </xdr:blipFill>
      <xdr:spPr>
        <a:xfrm>
          <a:off x="0" y="24574500"/>
          <a:ext cx="11946017" cy="495369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oms Vecina" id="{E2424C55-59D6-4B2C-B349-C2CA84CC2DF0}" userId="S::dvecina@originconsults.com::aa1199f1-7b66-480f-a093-ffe98063cd99" providerId="AD"/>
  <person displayName="Josue P. Canlas" id="{F70AAE99-347D-4E96-95C4-0B2D412E5F2A}" userId="S::jcanlas@originconsults.com::9f4e3a45-4f69-4533-a80e-63c6bcdbcbf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canlas" refreshedDate="45733.360411921298" createdVersion="8" refreshedVersion="8" minRefreshableVersion="3" recordCount="1361" xr:uid="{139768F5-D87D-48BE-B3F4-32A25E3E9C0C}">
  <cacheSource type="worksheet">
    <worksheetSource ref="A1:E1048576" sheet="Tabulation"/>
  </cacheSource>
  <cacheFields count="5">
    <cacheField name="Client" numFmtId="0">
      <sharedItems containsBlank="1" count="7">
        <s v="CityCorp"/>
        <s v="College Station"/>
        <s v="Ellensburg"/>
        <s v="Fond du Lac"/>
        <s v="Newark"/>
        <m/>
        <s v="PL/SQL procedure successfully completed." u="1"/>
      </sharedItems>
    </cacheField>
    <cacheField name="Table Name" numFmtId="0">
      <sharedItems containsBlank="1" count="277">
        <s v="C1_BI_FTGL_MONTHLY_A          "/>
        <s v="C1_BI_FT_MONTHLY_A            "/>
        <s v="C1_BI_SA_SNAPSHOT             "/>
        <s v="C1_CONT                       "/>
        <s v="C1_CS_REQ                     "/>
        <s v="C1_CS_REQ_ACCT                "/>
        <s v="C1_CS_REQ_CONT                "/>
        <s v="C1_CS_REQ_CONT_PROD           "/>
        <s v="C1_CS_REQ_PER                 "/>
        <s v="C1_CS_REQ_PREM                "/>
        <s v="C1_CS_REQ_SA                  "/>
        <s v="C1_CS_REQ_SVC_LOC             "/>
        <s v="C1_CUST_REL_REQ               "/>
        <s v="C1_LEAD                       "/>
        <s v="C1_LEAD_EVT                   "/>
        <s v="C1_MKTMSG_CHG                 "/>
        <s v="C1_MKTMSG_PAY                 "/>
        <s v="C1_MKTMSG_USG                 "/>
        <s v="C1_MKT_RP                     "/>
        <s v="C1_NTF_PREF                   "/>
        <s v="C1_OFFCYC_BGEN                "/>
        <s v="C1_PA_RQST                    "/>
        <s v="C1_USAGE                      "/>
        <s v="C1_WEB_USER                   "/>
        <s v="C1_WEB_USER_ACCT              "/>
        <s v="CI_ACCT                       "/>
        <s v="CI_ADJ                        "/>
        <s v="CI_ADJ_STG_CTL                "/>
        <s v="CI_ADJ_STG_UP                 "/>
        <s v="CI_AM_REQ                     "/>
        <s v="CI_APPR_REQ                   "/>
        <s v="CI_AUDIT                      "/>
        <s v="CI_BAL_CTL_GRP                "/>
        <s v="CI_BATCH_JOB                  "/>
        <s v="CI_BATCH_RUN                  "/>
        <s v="CI_BCHG_UP                    "/>
        <s v="CI_BILL                       "/>
        <s v="CI_BILL_CHG                   "/>
        <s v="CI_BILL_RVW_SCH               "/>
        <s v="CI_BPRT_GRP                   "/>
        <s v="CI_BSEG                       "/>
        <s v="CI_BUD_RVW                    "/>
        <s v="CI_CASE                       "/>
        <s v="CI_CC                         "/>
        <s v="CI_COLL_AGY_REF               "/>
        <s v="CI_COLL_PROC                  "/>
        <s v="CI_COP                        "/>
        <s v="CI_COP_EVT                    "/>
        <s v="CI_CUT_PROC                   "/>
        <s v="CI_DCL                        "/>
        <s v="CI_DEP_CTL                    "/>
        <s v="CI_DEP_CTL_ST                 "/>
        <s v="CI_DEP_RVW                    "/>
        <s v="CI_DV_TEST                    "/>
        <s v="CI_DV_TEST_SEL                "/>
        <s v="CI_ENRL                       "/>
        <s v="CI_FA                         "/>
        <s v="CI_FA_STAGE_UP                "/>
        <s v="CI_FO                         "/>
        <s v="CI_FO_STG_DWN                 "/>
        <s v="CI_FT                         "/>
        <s v="CI_INTV_DATA_SET              "/>
        <s v="CI_INTV_PF                    "/>
        <s v="CI_INTV_VAL_SET               "/>
        <s v="CI_ITEM                       "/>
        <s v="CI_ITEM_SQ_EST                "/>
        <s v="CI_LANDLORD                   "/>
        <s v="CI_MATCH_EVT                  "/>
        <s v="CI_MR                         "/>
        <s v="CI_MR_STAGE_DWN               "/>
        <s v="CI_MR_STAGE_UP                "/>
        <s v="CI_MSG_LOG                    "/>
        <s v="CI_MTR                        "/>
        <s v="CI_MTR_CONFIG                 "/>
        <s v="CI_NT_DWN                     "/>
        <s v="CI_NT_UP                      "/>
        <s v="CI_NT_UP_XSPL                 "/>
        <s v="CI_OD_PROC                    "/>
        <s v="CI_PAY                        "/>
        <s v="CI_PAY_EVENT                  "/>
        <s v="CI_PAY_TNDR_ST                "/>
        <s v="CI_PER                        "/>
        <s v="CI_PEVT_DTL_ST                "/>
        <s v="CI_PP                         "/>
        <s v="CI_PREM                       "/>
        <s v="CI_QUOTE                      "/>
        <s v="CI_REBATE_CLAIM               "/>
        <s v="CI_REBATE_LINE                "/>
        <s v="CI_REG_DATA_SET               "/>
        <s v="CI_SA                         "/>
        <s v="CI_SA_REL                     "/>
        <s v="CI_SCM                        "/>
        <s v="CI_SC_EVT                     "/>
        <s v="CI_SEV_PROC                   "/>
        <s v="CI_SP                         "/>
        <s v="CI_SP_ITEM_HIST               "/>
        <s v="CI_SP_MTR_HIST                "/>
        <s v="CI_STK_LOC                    "/>
        <s v="CI_STM                        "/>
        <s v="CI_STM_CNST                   "/>
        <s v="CI_SVC_RTE_STG_DWN            "/>
        <s v="CI_TD_ENTRY                   "/>
        <s v="CI_TNDR_CTL                   "/>
        <s v="CI_TOS                        "/>
        <s v="CI_TOU_DATA_SET               "/>
        <s v="CI_TOU_MAP                    "/>
        <s v="CI_TREND                      "/>
        <s v="CI_UA                         "/>
        <s v="CI_VAL_ERR                    "/>
        <s v="CI_VAL_FK_ERR                 "/>
        <s v="CI_WF_PROC                    "/>
        <s v="CI_WO_PROC                    "/>
        <s v="CI_XAI_DWN                    "/>
        <s v="CI_XML_STGUP                  "/>
        <s v="CI_XML_STG_CTL                "/>
        <s v="D1_ACTIVITY                   "/>
        <s v="D1_ADS                        "/>
        <s v="D1_AGG_GROUP_RUN              "/>
        <s v="D1_AGG_MSRMT                  "/>
        <s v="D1_ATTR_VAL                   "/>
        <s v="D1_COMM_IN                    "/>
        <s v="D1_COMM_OUT                   "/>
        <s v="D1_COMPL_EVT                  "/>
        <s v="D1_CONTACT                    "/>
        <s v="D1_DVC                        "/>
        <s v="D1_DVC_CFG                    "/>
        <s v="D1_DVC_EVT                    "/>
        <s v="D1_DYN_OPT                    "/>
        <s v="D1_DYN_OPT_EVENT              "/>
        <s v="D1_FACILITY                   "/>
        <s v="D1_INIT_MSRMT_DATA            "/>
        <s v="D1_INIT_MSRMT_SNAP            "/>
        <s v="D1_INSTALL_EVT                "/>
        <s v="D1_INT_SNAP_MAP               "/>
        <s v="D1_MC_COMPAR_PERIOD           "/>
        <s v="D1_MDSI                       "/>
        <s v="D1_MDSS                       "/>
        <s v="D1_MEASR_COMP                 "/>
        <s v="D1_MKT_AWARD                  "/>
        <s v="D1_MKT_CONTRACT               "/>
        <s v="D1_MKT_PRODUCT                "/>
        <s v="D1_MKT_RP                     "/>
        <s v="D1_MSRMT                      "/>
        <s v="D1_MSRMT_LOG                  "/>
        <s v="D1_NW_LOC                     "/>
        <s v="D1_SP                         "/>
        <s v="D1_SP_MSRMT_CYC_SCHED_RTE     "/>
        <s v="D1_SP_QTY                     "/>
        <s v="D1_SP_SNAP_DL                 "/>
        <s v="D1_SP_UNR_USG_SNAP_DL         "/>
        <s v="D1_SP_USG_SNAP_DL             "/>
        <s v="D1_SP_VEE_EXCP_SNAP_DL        "/>
        <s v="D1_US                         "/>
        <s v="D1_USAGE                      "/>
        <s v="D1_USAGE_EXCP                 "/>
        <s v="D1_US_MKT_PART                "/>
        <s v="D1_US_QTY                     "/>
        <s v="D1_US_USG_GRP_DL              "/>
        <s v="D1_VEE_EXCP                   "/>
        <s v="F1_ATTACHMENT                 "/>
        <s v="F1_BNDL                       "/>
        <s v="F1_BUS_EVT_LOG                "/>
        <s v="F1_BUS_FLG                    "/>
        <s v="F1_CALENDAR_D                 "/>
        <s v="F1_CUBE_VIEW                  "/>
        <s v="F1_DEPLOYMENT                 "/>
        <s v="F1_ERASURE_SCHED              "/>
        <s v="F1_FACT                       "/>
        <s v="F1_GEN_PROC                   "/>
        <s v="F1_GNRL_AUDIT                 "/>
        <s v="F1_MDT                        "/>
        <s v="F1_MDT_TYPE                   "/>
        <s v="F1_MIGR_DATA_ST               "/>
        <s v="F1_MIGR_OBJ                   "/>
        <s v="F1_MIGR_TRANS                 "/>
        <s v="F1_MKTMSG_IN                  "/>
        <s v="F1_MKTMSG_OUT                 "/>
        <s v="F1_MKTPROC                    "/>
        <s v="F1_MKTPROC_EVT                "/>
        <s v="F1_OBJ_REV                    "/>
        <s v="F1_OUTMSG                     "/>
        <s v="F1_PROC_STORE                 "/>
        <s v="F1_REMOTE_MSG                 "/>
        <s v="F1_REQ                        "/>
        <s v="F1_STATS_SNPSHT               "/>
        <s v="F1_SVC_TASK                   "/>
        <s v="F1_SYNC_REQ                   "/>
        <s v="F1_SYNC_REQ_IN                "/>
        <s v="F1_TIME_D                     "/>
        <s v="W1_ACPT_LINE                  "/>
        <s v="W1_ACTIVITY                   "/>
        <s v="W1_ACT_CONSTR_LOC             "/>
        <s v="W1_ACT_RECON                  "/>
        <s v="W1_ACT_RESRC_REQMT            "/>
        <s v="W1_ADJUSTMENT                 "/>
        <s v="W1_APPROVAL_REQ               "/>
        <s v="W1_ASSET                      "/>
        <s v="W1_BC_HEADER                  "/>
        <s v="W1_BC_LINE                    "/>
        <s v="W1_BOM_PART                   "/>
        <s v="W1_CHANGE_REQ                 "/>
        <s v="W1_CHKLST                     "/>
        <s v="W1_CMPL_EVT                   "/>
        <s v="W1_COMMUNICATION              "/>
        <s v="W1_COMM_IN                    "/>
        <s v="W1_CONFIG                     "/>
        <s v="W1_CONFIG_RPT                 "/>
        <s v="W1_CONTACT                    "/>
        <s v="W1_CREW                       "/>
        <s v="W1_CREW_SHIFT                 "/>
        <s v="W1_CU                         "/>
        <s v="W1_CU_CNTRCTR_BID             "/>
        <s v="W1_DESIGN_ELEMENT             "/>
        <s v="W1_DOCUMENT                   "/>
        <s v="W1_EMPLOYEE                   "/>
        <s v="W1_EU                         "/>
        <s v="W1_EXPEDITE                   "/>
        <s v="W1_FT                         "/>
        <s v="W1_INVOICE_GROUP              "/>
        <s v="W1_INVOICE_HEADER             "/>
        <s v="W1_INVOICE_LINE               "/>
        <s v="W1_INV_ADJ                    "/>
        <s v="W1_MAINT_EVENT                "/>
        <s v="W1_MAINT_SCHEDULE             "/>
        <s v="W1_MAINT_TRIGGER              "/>
        <s v="W1_MAT_DISP                   "/>
        <s v="W1_MAT_ISS_LINE               "/>
        <s v="W1_MAT_REQ_HEADER             "/>
        <s v="W1_MAT_REQ_LINE               "/>
        <s v="W1_MAT_REQ_TMPL               "/>
        <s v="W1_MAT_RET_HEADER             "/>
        <s v="W1_MAT_RET_LINE               "/>
        <s v="W1_MEASUREMENT                "/>
        <s v="W1_MOBILE_SUBSCR              "/>
        <s v="W1_NODE                       "/>
        <s v="W1_ODC                        "/>
        <s v="W1_ODC_DTL                    "/>
        <s v="W1_PERMIT                     "/>
        <s v="W1_PI_CNT_LINE                "/>
        <s v="W1_PI_CNT_MST                 "/>
        <s v="W1_PI_HEADER                  "/>
        <s v="W1_PO_HEADER                  "/>
        <s v="W1_PO_LINE                    "/>
        <s v="W1_PROCESS                    "/>
        <s v="W1_PROJECT                    "/>
        <s v="W1_PR_HDR                     "/>
        <s v="W1_PR_LINE                    "/>
        <s v="W1_RCPT_HDR                   "/>
        <s v="W1_RCPT_LINE                  "/>
        <s v="W1_REPORT_QUEUE               "/>
        <s v="W1_RESRC_TYPE                 "/>
        <s v="W1_RR                         "/>
        <s v="W1_RTN_LINE                   "/>
        <s v="W1_SHIFT_WEEKLY_TMPL          "/>
        <s v="W1_SHIPPING_LINE              "/>
        <s v="W1_SHIPPING_MEMO              "/>
        <s v="W1_STOCK_ITEM_DTL             "/>
        <s v="W1_STOCK_TRANS                "/>
        <s v="W1_SVC_HIST                   "/>
        <s v="W1_TIMESHEET                  "/>
        <s v="W1_TIMESHEET_DETAIL           "/>
        <s v="W1_TMPL_ACT                   "/>
        <s v="W1_TMPL_ACT_RSRC              "/>
        <s v="W1_TMPL_WO                    "/>
        <s v="W1_VENDOR                     "/>
        <s v="W1_VENDOR_LOC                 "/>
        <s v="W1_WARRANTY                   "/>
        <s v="W1_WO                         "/>
        <s v="W1_WORK_DESIGN                "/>
        <s v="W1_WORK_LOC                   "/>
        <s v="W1_WORK_REQ                   "/>
        <s v="C1_RESPONSE                   "/>
        <s v="CI_SPR                        "/>
        <s v="D1_EVT_PARTICIPATION          "/>
        <s v="F1_BATCH_RUN_ANALYTICS_SNAP   "/>
        <s v="F1_BATCH_THD_ANALYTICS_SNAP   "/>
        <m/>
      </sharedItems>
    </cacheField>
    <cacheField name="Row Count" numFmtId="3">
      <sharedItems containsString="0" containsBlank="1" containsNumber="1" containsInteger="1" minValue="0" maxValue="29847799"/>
    </cacheField>
    <cacheField name="Table Description" numFmtId="0">
      <sharedItems containsBlank="1"/>
    </cacheField>
    <cacheField name="Table Volume" numFmtId="0">
      <sharedItems containsBlank="1" count="4">
        <s v="Medium Volume"/>
        <s v="Low Volume"/>
        <s v="High Volum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1">
  <r>
    <x v="0"/>
    <x v="0"/>
    <n v="0"/>
    <s v="Financial Transaction GL Monthly Aggregate"/>
    <x v="0"/>
  </r>
  <r>
    <x v="0"/>
    <x v="1"/>
    <n v="0"/>
    <s v="Financial Transaction Monthly Aggregate"/>
    <x v="0"/>
  </r>
  <r>
    <x v="0"/>
    <x v="2"/>
    <n v="0"/>
    <s v="SA Arrears Snapshot"/>
    <x v="0"/>
  </r>
  <r>
    <x v="0"/>
    <x v="3"/>
    <n v="0"/>
    <s v="Consumer Contract"/>
    <x v="0"/>
  </r>
  <r>
    <x v="0"/>
    <x v="4"/>
    <n v="2031"/>
    <s v="Customer Service Request"/>
    <x v="0"/>
  </r>
  <r>
    <x v="0"/>
    <x v="5"/>
    <n v="1569"/>
    <s v="Customer Service Request Account"/>
    <x v="0"/>
  </r>
  <r>
    <x v="0"/>
    <x v="6"/>
    <n v="0"/>
    <s v="Customer Service Request Consumer Contract"/>
    <x v="0"/>
  </r>
  <r>
    <x v="0"/>
    <x v="7"/>
    <n v="0"/>
    <s v="Customer Service Request Contract Product"/>
    <x v="0"/>
  </r>
  <r>
    <x v="0"/>
    <x v="8"/>
    <n v="1558"/>
    <s v="Customer Service Request Person"/>
    <x v="0"/>
  </r>
  <r>
    <x v="0"/>
    <x v="9"/>
    <n v="1784"/>
    <s v="Customer Service Request Premise"/>
    <x v="0"/>
  </r>
  <r>
    <x v="0"/>
    <x v="10"/>
    <n v="4857"/>
    <s v="Customer Service Request SA"/>
    <x v="0"/>
  </r>
  <r>
    <x v="0"/>
    <x v="11"/>
    <n v="0"/>
    <s v="Customer Service Request Service Location"/>
    <x v="0"/>
  </r>
  <r>
    <x v="0"/>
    <x v="12"/>
    <n v="0"/>
    <s v="Customer Relationship Request"/>
    <x v="0"/>
  </r>
  <r>
    <x v="0"/>
    <x v="13"/>
    <n v="0"/>
    <s v="Lead"/>
    <x v="0"/>
  </r>
  <r>
    <x v="0"/>
    <x v="14"/>
    <n v="0"/>
    <s v="Lead Event"/>
    <x v="0"/>
  </r>
  <r>
    <x v="0"/>
    <x v="15"/>
    <n v="0"/>
    <s v="Market Charge"/>
    <x v="0"/>
  </r>
  <r>
    <x v="0"/>
    <x v="16"/>
    <n v="0"/>
    <s v="Market Payment"/>
    <x v="0"/>
  </r>
  <r>
    <x v="0"/>
    <x v="17"/>
    <n v="0"/>
    <s v="Market Usage"/>
    <x v="0"/>
  </r>
  <r>
    <x v="0"/>
    <x v="18"/>
    <n v="0"/>
    <s v="Registration Point"/>
    <x v="0"/>
  </r>
  <r>
    <x v="0"/>
    <x v="19"/>
    <n v="0"/>
    <s v="Communication Preference"/>
    <x v="0"/>
  </r>
  <r>
    <x v="0"/>
    <x v="20"/>
    <n v="9"/>
    <s v="Off Cycle Bill Generator"/>
    <x v="0"/>
  </r>
  <r>
    <x v="0"/>
    <x v="21"/>
    <n v="0"/>
    <s v="Payment Arrangement Request"/>
    <x v="0"/>
  </r>
  <r>
    <x v="0"/>
    <x v="22"/>
    <n v="251992"/>
    <s v="Usage"/>
    <x v="0"/>
  </r>
  <r>
    <x v="0"/>
    <x v="23"/>
    <n v="0"/>
    <s v="Web User"/>
    <x v="0"/>
  </r>
  <r>
    <x v="0"/>
    <x v="24"/>
    <n v="0"/>
    <s v="Web User Account"/>
    <x v="0"/>
  </r>
  <r>
    <x v="0"/>
    <x v="25"/>
    <n v="22560"/>
    <s v="Account"/>
    <x v="0"/>
  </r>
  <r>
    <x v="0"/>
    <x v="26"/>
    <n v="197579"/>
    <s v="Adjustment"/>
    <x v="0"/>
  </r>
  <r>
    <x v="0"/>
    <x v="27"/>
    <n v="1"/>
    <s v="Adjustment Staging Control"/>
    <x v="0"/>
  </r>
  <r>
    <x v="0"/>
    <x v="28"/>
    <n v="1468"/>
    <s v="Adjustment Upload"/>
    <x v="0"/>
  </r>
  <r>
    <x v="0"/>
    <x v="29"/>
    <n v="0"/>
    <s v="Activity Request"/>
    <x v="0"/>
  </r>
  <r>
    <x v="0"/>
    <x v="30"/>
    <n v="741"/>
    <s v="Approval Request"/>
    <x v="0"/>
  </r>
  <r>
    <x v="0"/>
    <x v="31"/>
    <n v="1348"/>
    <s v="Audit"/>
    <x v="0"/>
  </r>
  <r>
    <x v="0"/>
    <x v="32"/>
    <n v="10"/>
    <s v="Balance Control Group"/>
    <x v="0"/>
  </r>
  <r>
    <x v="0"/>
    <x v="33"/>
    <n v="829"/>
    <s v="Batch Job Ad-Hoc Queues"/>
    <x v="0"/>
  </r>
  <r>
    <x v="0"/>
    <x v="34"/>
    <n v="305236"/>
    <s v="Batch Run"/>
    <x v="0"/>
  </r>
  <r>
    <x v="0"/>
    <x v="35"/>
    <n v="0"/>
    <s v="Billable Charge Upload"/>
    <x v="0"/>
  </r>
  <r>
    <x v="0"/>
    <x v="36"/>
    <n v="740293"/>
    <s v="Bill Header"/>
    <x v="0"/>
  </r>
  <r>
    <x v="0"/>
    <x v="37"/>
    <n v="0"/>
    <s v="Billable Charge"/>
    <x v="0"/>
  </r>
  <r>
    <x v="0"/>
    <x v="38"/>
    <n v="0"/>
    <s v="Bill Review Schedule"/>
    <x v="0"/>
  </r>
  <r>
    <x v="0"/>
    <x v="39"/>
    <n v="0"/>
    <s v="Bill Print Group"/>
    <x v="0"/>
  </r>
  <r>
    <x v="0"/>
    <x v="40"/>
    <n v="2318982"/>
    <s v="Bill Segment"/>
    <x v="0"/>
  </r>
  <r>
    <x v="0"/>
    <x v="41"/>
    <n v="1"/>
    <s v="Budget Review"/>
    <x v="0"/>
  </r>
  <r>
    <x v="0"/>
    <x v="42"/>
    <n v="4"/>
    <s v="Case"/>
    <x v="0"/>
  </r>
  <r>
    <x v="0"/>
    <x v="43"/>
    <n v="176609"/>
    <s v="Customer Contact"/>
    <x v="0"/>
  </r>
  <r>
    <x v="0"/>
    <x v="44"/>
    <n v="0"/>
    <s v="Collection Agency Referral"/>
    <x v="0"/>
  </r>
  <r>
    <x v="0"/>
    <x v="45"/>
    <n v="299"/>
    <s v="Collection Process"/>
    <x v="0"/>
  </r>
  <r>
    <x v="0"/>
    <x v="46"/>
    <n v="0"/>
    <s v="Contract Option  "/>
    <x v="0"/>
  </r>
  <r>
    <x v="0"/>
    <x v="47"/>
    <n v="0"/>
    <s v="Contract Option Event"/>
    <x v="0"/>
  </r>
  <r>
    <x v="0"/>
    <x v="48"/>
    <n v="0"/>
    <s v="Cut Process"/>
    <x v="0"/>
  </r>
  <r>
    <x v="0"/>
    <x v="49"/>
    <n v="0"/>
    <s v="Declaration"/>
    <x v="0"/>
  </r>
  <r>
    <x v="0"/>
    <x v="50"/>
    <n v="754"/>
    <s v="Deposit Control"/>
    <x v="0"/>
  </r>
  <r>
    <x v="0"/>
    <x v="51"/>
    <n v="139"/>
    <s v="Deposit Control Staging"/>
    <x v="0"/>
  </r>
  <r>
    <x v="0"/>
    <x v="52"/>
    <n v="674"/>
    <s v="Deposit Review"/>
    <x v="0"/>
  </r>
  <r>
    <x v="0"/>
    <x v="53"/>
    <n v="0"/>
    <s v="Device Test"/>
    <x v="0"/>
  </r>
  <r>
    <x v="0"/>
    <x v="54"/>
    <n v="0"/>
    <s v="Device Test Selection"/>
    <x v="0"/>
  </r>
  <r>
    <x v="0"/>
    <x v="55"/>
    <n v="0"/>
    <s v="Order"/>
    <x v="0"/>
  </r>
  <r>
    <x v="0"/>
    <x v="56"/>
    <n v="10973"/>
    <s v="Field Activity"/>
    <x v="0"/>
  </r>
  <r>
    <x v="0"/>
    <x v="57"/>
    <n v="0"/>
    <s v="FA Upload Staging"/>
    <x v="0"/>
  </r>
  <r>
    <x v="0"/>
    <x v="58"/>
    <n v="0"/>
    <s v="Field Order"/>
    <x v="0"/>
  </r>
  <r>
    <x v="0"/>
    <x v="59"/>
    <n v="0"/>
    <s v="Field Order Download Staging"/>
    <x v="0"/>
  </r>
  <r>
    <x v="0"/>
    <x v="60"/>
    <n v="4732297"/>
    <s v="Financial Transaction"/>
    <x v="0"/>
  </r>
  <r>
    <x v="0"/>
    <x v="61"/>
    <n v="0"/>
    <s v="Interval Data Set"/>
    <x v="0"/>
  </r>
  <r>
    <x v="0"/>
    <x v="62"/>
    <n v="0"/>
    <s v="Interval Data Profile"/>
    <x v="0"/>
  </r>
  <r>
    <x v="0"/>
    <x v="63"/>
    <n v="0"/>
    <s v="Interval Value Set"/>
    <x v="0"/>
  </r>
  <r>
    <x v="0"/>
    <x v="64"/>
    <n v="0"/>
    <s v="Item"/>
    <x v="0"/>
  </r>
  <r>
    <x v="0"/>
    <x v="65"/>
    <n v="0"/>
    <s v="Item Type SQ Estimate"/>
    <x v="0"/>
  </r>
  <r>
    <x v="0"/>
    <x v="66"/>
    <n v="1707"/>
    <s v="Landlord Agreement"/>
    <x v="0"/>
  </r>
  <r>
    <x v="0"/>
    <x v="67"/>
    <n v="0"/>
    <s v="Match Event"/>
    <x v="0"/>
  </r>
  <r>
    <x v="0"/>
    <x v="68"/>
    <n v="0"/>
    <s v="Meter Read"/>
    <x v="0"/>
  </r>
  <r>
    <x v="0"/>
    <x v="69"/>
    <n v="0"/>
    <s v="Meter Read Download Staging"/>
    <x v="0"/>
  </r>
  <r>
    <x v="0"/>
    <x v="70"/>
    <n v="0"/>
    <s v="Meter Read Upload Staging"/>
    <x v="0"/>
  </r>
  <r>
    <x v="0"/>
    <x v="71"/>
    <n v="631739"/>
    <s v="Message Log"/>
    <x v="0"/>
  </r>
  <r>
    <x v="0"/>
    <x v="72"/>
    <n v="0"/>
    <s v="Meter"/>
    <x v="0"/>
  </r>
  <r>
    <x v="0"/>
    <x v="73"/>
    <n v="0"/>
    <s v="Meter Configuration"/>
    <x v="0"/>
  </r>
  <r>
    <x v="0"/>
    <x v="74"/>
    <n v="0"/>
    <s v="Notification Download Staging"/>
    <x v="0"/>
  </r>
  <r>
    <x v="0"/>
    <x v="75"/>
    <n v="0"/>
    <s v="Notification Upload Staging"/>
    <x v="0"/>
  </r>
  <r>
    <x v="0"/>
    <x v="76"/>
    <n v="0"/>
    <s v="NT Upload Staging Extension Sample"/>
    <x v="0"/>
  </r>
  <r>
    <x v="0"/>
    <x v="77"/>
    <n v="0"/>
    <s v="Overdue Process"/>
    <x v="0"/>
  </r>
  <r>
    <x v="0"/>
    <x v="78"/>
    <n v="708986"/>
    <s v="Payment Header"/>
    <x v="0"/>
  </r>
  <r>
    <x v="0"/>
    <x v="79"/>
    <n v="708700"/>
    <s v="Payment Event"/>
    <x v="0"/>
  </r>
  <r>
    <x v="0"/>
    <x v="80"/>
    <n v="4790"/>
    <s v="Payment Tender Staging"/>
    <x v="0"/>
  </r>
  <r>
    <x v="0"/>
    <x v="81"/>
    <n v="27939"/>
    <s v="Person"/>
    <x v="0"/>
  </r>
  <r>
    <x v="0"/>
    <x v="82"/>
    <n v="0"/>
    <s v="Payment Event Upload Staging"/>
    <x v="0"/>
  </r>
  <r>
    <x v="0"/>
    <x v="83"/>
    <n v="38"/>
    <s v="Pay Plan"/>
    <x v="0"/>
  </r>
  <r>
    <x v="0"/>
    <x v="84"/>
    <n v="15184"/>
    <s v="Premise"/>
    <x v="0"/>
  </r>
  <r>
    <x v="0"/>
    <x v="85"/>
    <n v="0"/>
    <s v="Quote"/>
    <x v="0"/>
  </r>
  <r>
    <x v="0"/>
    <x v="86"/>
    <n v="0"/>
    <s v="Rebate Claim"/>
    <x v="0"/>
  </r>
  <r>
    <x v="0"/>
    <x v="87"/>
    <n v="0"/>
    <s v="Rebate Claim Line"/>
    <x v="0"/>
  </r>
  <r>
    <x v="0"/>
    <x v="88"/>
    <n v="0"/>
    <s v="Interval Register Data Set"/>
    <x v="0"/>
  </r>
  <r>
    <x v="0"/>
    <x v="89"/>
    <n v="75469"/>
    <s v="SA (Service Agreement)"/>
    <x v="0"/>
  </r>
  <r>
    <x v="0"/>
    <x v="90"/>
    <n v="7948"/>
    <s v="SA Relationship"/>
    <x v="0"/>
  </r>
  <r>
    <x v="0"/>
    <x v="91"/>
    <n v="0"/>
    <s v="Service Credit Membership"/>
    <x v="0"/>
  </r>
  <r>
    <x v="0"/>
    <x v="92"/>
    <n v="0"/>
    <s v="Service Credit Event"/>
    <x v="0"/>
  </r>
  <r>
    <x v="0"/>
    <x v="93"/>
    <n v="0"/>
    <s v="Severance Process"/>
    <x v="0"/>
  </r>
  <r>
    <x v="0"/>
    <x v="94"/>
    <n v="29259"/>
    <s v="Service Point - CCB"/>
    <x v="0"/>
  </r>
  <r>
    <x v="0"/>
    <x v="95"/>
    <n v="0"/>
    <s v="SP Item History"/>
    <x v="0"/>
  </r>
  <r>
    <x v="0"/>
    <x v="96"/>
    <n v="0"/>
    <s v="SP/Meter History"/>
    <x v="0"/>
  </r>
  <r>
    <x v="0"/>
    <x v="97"/>
    <n v="0"/>
    <s v="Stock Location"/>
    <x v="0"/>
  </r>
  <r>
    <x v="0"/>
    <x v="98"/>
    <n v="0"/>
    <s v="Statement"/>
    <x v="0"/>
  </r>
  <r>
    <x v="0"/>
    <x v="99"/>
    <n v="0"/>
    <s v="Statement Construct"/>
    <x v="0"/>
  </r>
  <r>
    <x v="0"/>
    <x v="100"/>
    <n v="0"/>
    <s v="Service Route Download Staging"/>
    <x v="0"/>
  </r>
  <r>
    <x v="0"/>
    <x v="101"/>
    <n v="13023"/>
    <s v="To Do Entry"/>
    <x v="0"/>
  </r>
  <r>
    <x v="0"/>
    <x v="102"/>
    <n v="1628"/>
    <s v="Tender Control"/>
    <x v="0"/>
  </r>
  <r>
    <x v="0"/>
    <x v="103"/>
    <n v="0"/>
    <s v="Terms of Service"/>
    <x v="0"/>
  </r>
  <r>
    <x v="0"/>
    <x v="104"/>
    <n v="0"/>
    <s v="TOU Data Set"/>
    <x v="0"/>
  </r>
  <r>
    <x v="0"/>
    <x v="105"/>
    <n v="0"/>
    <s v="Time Of Use Map Classic"/>
    <x v="0"/>
  </r>
  <r>
    <x v="0"/>
    <x v="106"/>
    <n v="0"/>
    <s v="Trend"/>
    <x v="0"/>
  </r>
  <r>
    <x v="0"/>
    <x v="107"/>
    <n v="0"/>
    <s v="Umbrella Agreement"/>
    <x v="0"/>
  </r>
  <r>
    <x v="0"/>
    <x v="108"/>
    <n v="0"/>
    <s v="Validation Error"/>
    <x v="0"/>
  </r>
  <r>
    <x v="0"/>
    <x v="109"/>
    <n v="0"/>
    <s v="Validation Error Foreign Keys"/>
    <x v="0"/>
  </r>
  <r>
    <x v="0"/>
    <x v="110"/>
    <n v="0"/>
    <s v="WF Process"/>
    <x v="0"/>
  </r>
  <r>
    <x v="0"/>
    <x v="111"/>
    <n v="0"/>
    <s v="Write Off Process"/>
    <x v="0"/>
  </r>
  <r>
    <x v="0"/>
    <x v="112"/>
    <n v="0"/>
    <s v="XAI Download"/>
    <x v="0"/>
  </r>
  <r>
    <x v="0"/>
    <x v="113"/>
    <n v="0"/>
    <s v="XAI Upload Staging"/>
    <x v="0"/>
  </r>
  <r>
    <x v="0"/>
    <x v="114"/>
    <n v="0"/>
    <s v="XAI Staging Control"/>
    <x v="0"/>
  </r>
  <r>
    <x v="0"/>
    <x v="115"/>
    <n v="10987"/>
    <s v="Activity"/>
    <x v="0"/>
  </r>
  <r>
    <x v="0"/>
    <x v="116"/>
    <n v="0"/>
    <s v="Attribute Data Snapshot"/>
    <x v="0"/>
  </r>
  <r>
    <x v="0"/>
    <x v="117"/>
    <n v="0"/>
    <s v="Aggregation Group Run"/>
    <x v="0"/>
  </r>
  <r>
    <x v="0"/>
    <x v="118"/>
    <n v="0"/>
    <s v="Aggregation Measurement"/>
    <x v="0"/>
  </r>
  <r>
    <x v="0"/>
    <x v="119"/>
    <n v="0"/>
    <s v="Attribute Values"/>
    <x v="0"/>
  </r>
  <r>
    <x v="0"/>
    <x v="120"/>
    <n v="2756"/>
    <s v="Communication In"/>
    <x v="0"/>
  </r>
  <r>
    <x v="0"/>
    <x v="121"/>
    <n v="6395"/>
    <s v="Communication Out"/>
    <x v="0"/>
  </r>
  <r>
    <x v="0"/>
    <x v="122"/>
    <n v="6023"/>
    <s v="Completion Event"/>
    <x v="0"/>
  </r>
  <r>
    <x v="0"/>
    <x v="123"/>
    <n v="27938"/>
    <s v="Contact"/>
    <x v="1"/>
  </r>
  <r>
    <x v="0"/>
    <x v="124"/>
    <n v="45740"/>
    <s v="Device"/>
    <x v="0"/>
  </r>
  <r>
    <x v="0"/>
    <x v="125"/>
    <n v="13893"/>
    <s v="Device Configuration"/>
    <x v="0"/>
  </r>
  <r>
    <x v="0"/>
    <x v="126"/>
    <n v="12620"/>
    <s v="Device Event"/>
    <x v="0"/>
  </r>
  <r>
    <x v="0"/>
    <x v="127"/>
    <n v="0"/>
    <s v="Dynamic Option"/>
    <x v="0"/>
  </r>
  <r>
    <x v="0"/>
    <x v="128"/>
    <n v="0"/>
    <s v="Dynamic Option Event"/>
    <x v="0"/>
  </r>
  <r>
    <x v="0"/>
    <x v="129"/>
    <n v="0"/>
    <s v="Facility"/>
    <x v="0"/>
  </r>
  <r>
    <x v="0"/>
    <x v="130"/>
    <n v="139252"/>
    <s v="Initial Measurement Data"/>
    <x v="0"/>
  </r>
  <r>
    <x v="0"/>
    <x v="131"/>
    <n v="0"/>
    <s v="Initial Measurement Snapshot"/>
    <x v="0"/>
  </r>
  <r>
    <x v="0"/>
    <x v="132"/>
    <n v="13482"/>
    <s v="Install Event"/>
    <x v="0"/>
  </r>
  <r>
    <x v="0"/>
    <x v="133"/>
    <n v="0"/>
    <s v="Interval Snapshot Mapping"/>
    <x v="0"/>
  </r>
  <r>
    <x v="0"/>
    <x v="134"/>
    <n v="0"/>
    <s v="MC Comparison Period"/>
    <x v="0"/>
  </r>
  <r>
    <x v="0"/>
    <x v="135"/>
    <n v="0"/>
    <s v="Measurement Data Snapshot Interval"/>
    <x v="0"/>
  </r>
  <r>
    <x v="0"/>
    <x v="136"/>
    <n v="0"/>
    <s v="Measurement Data Snapshot Scalar"/>
    <x v="0"/>
  </r>
  <r>
    <x v="0"/>
    <x v="137"/>
    <n v="13893"/>
    <s v="Measuring Component"/>
    <x v="0"/>
  </r>
  <r>
    <x v="0"/>
    <x v="138"/>
    <n v="0"/>
    <s v="Market Award"/>
    <x v="0"/>
  </r>
  <r>
    <x v="0"/>
    <x v="139"/>
    <n v="0"/>
    <s v="Market Contract"/>
    <x v="0"/>
  </r>
  <r>
    <x v="0"/>
    <x v="140"/>
    <n v="0"/>
    <s v="Market Product"/>
    <x v="0"/>
  </r>
  <r>
    <x v="0"/>
    <x v="141"/>
    <n v="0"/>
    <s v="Registration Point"/>
    <x v="0"/>
  </r>
  <r>
    <x v="0"/>
    <x v="142"/>
    <n v="996149"/>
    <s v="Measurement"/>
    <x v="0"/>
  </r>
  <r>
    <x v="0"/>
    <x v="143"/>
    <n v="2535"/>
    <s v="Measurement Log"/>
    <x v="0"/>
  </r>
  <r>
    <x v="0"/>
    <x v="144"/>
    <n v="0"/>
    <s v="Network Location"/>
    <x v="0"/>
  </r>
  <r>
    <x v="0"/>
    <x v="145"/>
    <n v="29259"/>
    <s v="Service Point - MDM"/>
    <x v="0"/>
  </r>
  <r>
    <x v="0"/>
    <x v="146"/>
    <n v="131207"/>
    <s v="SP/Measurement Cycle Schedule Route"/>
    <x v="0"/>
  </r>
  <r>
    <x v="0"/>
    <x v="147"/>
    <n v="0"/>
    <s v="Service Point Quantity"/>
    <x v="0"/>
  </r>
  <r>
    <x v="0"/>
    <x v="148"/>
    <n v="0"/>
    <s v="Service Pont Snapshot Download"/>
    <x v="0"/>
  </r>
  <r>
    <x v="0"/>
    <x v="149"/>
    <n v="0"/>
    <s v="SP Unreported Usage Snapshot Download"/>
    <x v="0"/>
  </r>
  <r>
    <x v="0"/>
    <x v="150"/>
    <n v="0"/>
    <s v="Service Point Usage Snapshot Download"/>
    <x v="0"/>
  </r>
  <r>
    <x v="0"/>
    <x v="151"/>
    <n v="0"/>
    <s v="SP VEE Exception Snapshot Download"/>
    <x v="0"/>
  </r>
  <r>
    <x v="0"/>
    <x v="152"/>
    <n v="53747"/>
    <s v="Usage Subscription"/>
    <x v="0"/>
  </r>
  <r>
    <x v="0"/>
    <x v="153"/>
    <n v="251992"/>
    <s v="Usage"/>
    <x v="0"/>
  </r>
  <r>
    <x v="0"/>
    <x v="154"/>
    <n v="12499"/>
    <s v="Usage Transaction Exception"/>
    <x v="0"/>
  </r>
  <r>
    <x v="0"/>
    <x v="155"/>
    <n v="0"/>
    <s v="Usage Subscription Market Participant"/>
    <x v="0"/>
  </r>
  <r>
    <x v="0"/>
    <x v="156"/>
    <n v="0"/>
    <s v="Usage Subscription Quantity"/>
    <x v="0"/>
  </r>
  <r>
    <x v="0"/>
    <x v="157"/>
    <n v="0"/>
    <s v="Usage Subscription Usage Group Download"/>
    <x v="0"/>
  </r>
  <r>
    <x v="0"/>
    <x v="158"/>
    <n v="230327"/>
    <s v="VEE Exception"/>
    <x v="0"/>
  </r>
  <r>
    <x v="0"/>
    <x v="159"/>
    <n v="2466"/>
    <s v="Attachment"/>
    <x v="0"/>
  </r>
  <r>
    <x v="0"/>
    <x v="160"/>
    <n v="9"/>
    <s v="Bundle"/>
    <x v="0"/>
  </r>
  <r>
    <x v="0"/>
    <x v="161"/>
    <n v="0"/>
    <s v="Business Event Log"/>
    <x v="0"/>
  </r>
  <r>
    <x v="0"/>
    <x v="162"/>
    <n v="0"/>
    <s v="Business Flag"/>
    <x v="0"/>
  </r>
  <r>
    <x v="0"/>
    <x v="163"/>
    <n v="0"/>
    <s v="Calendar Dimension"/>
    <x v="0"/>
  </r>
  <r>
    <x v="0"/>
    <x v="164"/>
    <n v="0"/>
    <s v="Cube View"/>
    <x v="0"/>
  </r>
  <r>
    <x v="0"/>
    <x v="165"/>
    <n v="0"/>
    <s v="Deployment"/>
    <x v="0"/>
  </r>
  <r>
    <x v="0"/>
    <x v="166"/>
    <n v="0"/>
    <s v="Object Erasure Schedule"/>
    <x v="0"/>
  </r>
  <r>
    <x v="0"/>
    <x v="167"/>
    <n v="29"/>
    <s v="Fact"/>
    <x v="0"/>
  </r>
  <r>
    <x v="0"/>
    <x v="168"/>
    <n v="6212"/>
    <s v="General Process"/>
    <x v="0"/>
  </r>
  <r>
    <x v="0"/>
    <x v="169"/>
    <n v="0"/>
    <s v="General Audit"/>
    <x v="0"/>
  </r>
  <r>
    <x v="0"/>
    <x v="170"/>
    <n v="0"/>
    <s v="Mobile Data Terminal"/>
    <x v="0"/>
  </r>
  <r>
    <x v="0"/>
    <x v="171"/>
    <n v="0"/>
    <s v="Mobile Data Terminal Type"/>
    <x v="0"/>
  </r>
  <r>
    <x v="0"/>
    <x v="172"/>
    <n v="647"/>
    <s v="Migration Data Set"/>
    <x v="0"/>
  </r>
  <r>
    <x v="0"/>
    <x v="173"/>
    <n v="90617"/>
    <s v="Migration Object"/>
    <x v="0"/>
  </r>
  <r>
    <x v="0"/>
    <x v="174"/>
    <n v="15033"/>
    <s v="Migration Transaction"/>
    <x v="0"/>
  </r>
  <r>
    <x v="0"/>
    <x v="175"/>
    <n v="0"/>
    <s v="Inbound Market Message"/>
    <x v="0"/>
  </r>
  <r>
    <x v="0"/>
    <x v="176"/>
    <n v="0"/>
    <s v="Outbound Market Message"/>
    <x v="0"/>
  </r>
  <r>
    <x v="0"/>
    <x v="177"/>
    <n v="0"/>
    <s v="Market Process"/>
    <x v="0"/>
  </r>
  <r>
    <x v="0"/>
    <x v="178"/>
    <n v="0"/>
    <s v="Market Process Event"/>
    <x v="0"/>
  </r>
  <r>
    <x v="0"/>
    <x v="179"/>
    <n v="0"/>
    <s v="Object Revision"/>
    <x v="0"/>
  </r>
  <r>
    <x v="0"/>
    <x v="180"/>
    <n v="154388"/>
    <s v="Outbound Message"/>
    <x v="0"/>
  </r>
  <r>
    <x v="0"/>
    <x v="181"/>
    <n v="1756"/>
    <s v="Process Flow"/>
    <x v="0"/>
  </r>
  <r>
    <x v="0"/>
    <x v="182"/>
    <n v="0"/>
    <s v="Mobile Remote Message"/>
    <x v="0"/>
  </r>
  <r>
    <x v="0"/>
    <x v="183"/>
    <n v="3"/>
    <s v="Request"/>
    <x v="0"/>
  </r>
  <r>
    <x v="0"/>
    <x v="184"/>
    <n v="0"/>
    <s v="Statistics Snapshot"/>
    <x v="1"/>
  </r>
  <r>
    <x v="0"/>
    <x v="185"/>
    <n v="174538"/>
    <s v="Service Task"/>
    <x v="0"/>
  </r>
  <r>
    <x v="0"/>
    <x v="186"/>
    <n v="156882"/>
    <s v="Sync Request"/>
    <x v="0"/>
  </r>
  <r>
    <x v="0"/>
    <x v="187"/>
    <n v="69880"/>
    <s v="Inbound Sync Request"/>
    <x v="0"/>
  </r>
  <r>
    <x v="0"/>
    <x v="188"/>
    <n v="0"/>
    <s v="Time Dimension"/>
    <x v="0"/>
  </r>
  <r>
    <x v="0"/>
    <x v="189"/>
    <n v="0"/>
    <s v="Accept Line"/>
    <x v="0"/>
  </r>
  <r>
    <x v="0"/>
    <x v="190"/>
    <n v="14"/>
    <s v="Activity"/>
    <x v="0"/>
  </r>
  <r>
    <x v="0"/>
    <x v="191"/>
    <n v="0"/>
    <s v="Activity Construction Location"/>
    <x v="0"/>
  </r>
  <r>
    <x v="0"/>
    <x v="192"/>
    <n v="0"/>
    <s v="Activity Reconciliation"/>
    <x v="0"/>
  </r>
  <r>
    <x v="0"/>
    <x v="193"/>
    <n v="0"/>
    <s v="Activity Resource Requirement"/>
    <x v="0"/>
  </r>
  <r>
    <x v="0"/>
    <x v="194"/>
    <n v="0"/>
    <s v="Cost Adjustment"/>
    <x v="0"/>
  </r>
  <r>
    <x v="0"/>
    <x v="195"/>
    <n v="0"/>
    <s v="Approval Request"/>
    <x v="0"/>
  </r>
  <r>
    <x v="0"/>
    <x v="196"/>
    <n v="45720"/>
    <s v="Asset"/>
    <x v="0"/>
  </r>
  <r>
    <x v="0"/>
    <x v="197"/>
    <n v="0"/>
    <s v="Blanket Contract Header"/>
    <x v="0"/>
  </r>
  <r>
    <x v="0"/>
    <x v="198"/>
    <n v="0"/>
    <s v="Blanket Contract Line"/>
    <x v="0"/>
  </r>
  <r>
    <x v="0"/>
    <x v="199"/>
    <n v="0"/>
    <s v="Bill of Materials Part"/>
    <x v="0"/>
  </r>
  <r>
    <x v="0"/>
    <x v="200"/>
    <n v="0"/>
    <s v="Change Request"/>
    <x v="0"/>
  </r>
  <r>
    <x v="0"/>
    <x v="201"/>
    <n v="0"/>
    <s v="Checklist"/>
    <x v="0"/>
  </r>
  <r>
    <x v="0"/>
    <x v="202"/>
    <n v="14"/>
    <s v="Completion Event"/>
    <x v="0"/>
  </r>
  <r>
    <x v="0"/>
    <x v="203"/>
    <n v="0"/>
    <s v="Communication"/>
    <x v="0"/>
  </r>
  <r>
    <x v="0"/>
    <x v="204"/>
    <n v="0"/>
    <s v="Communication In"/>
    <x v="0"/>
  </r>
  <r>
    <x v="0"/>
    <x v="205"/>
    <n v="0"/>
    <s v="Configuration"/>
    <x v="0"/>
  </r>
  <r>
    <x v="0"/>
    <x v="206"/>
    <n v="0"/>
    <s v="Configuration Report"/>
    <x v="0"/>
  </r>
  <r>
    <x v="0"/>
    <x v="207"/>
    <n v="33884"/>
    <s v="Contact"/>
    <x v="0"/>
  </r>
  <r>
    <x v="0"/>
    <x v="208"/>
    <n v="0"/>
    <s v="Crew"/>
    <x v="0"/>
  </r>
  <r>
    <x v="0"/>
    <x v="209"/>
    <n v="0"/>
    <s v="Crew Shift"/>
    <x v="0"/>
  </r>
  <r>
    <x v="0"/>
    <x v="210"/>
    <n v="0"/>
    <s v="Compatible Unit"/>
    <x v="0"/>
  </r>
  <r>
    <x v="0"/>
    <x v="211"/>
    <n v="0"/>
    <s v="CU Contractor Bid"/>
    <x v="0"/>
  </r>
  <r>
    <x v="0"/>
    <x v="212"/>
    <n v="0"/>
    <s v="Design Element"/>
    <x v="0"/>
  </r>
  <r>
    <x v="0"/>
    <x v="213"/>
    <n v="0"/>
    <s v="Document"/>
    <x v="0"/>
  </r>
  <r>
    <x v="0"/>
    <x v="214"/>
    <n v="0"/>
    <s v="Employee"/>
    <x v="0"/>
  </r>
  <r>
    <x v="0"/>
    <x v="215"/>
    <n v="0"/>
    <s v="Employee Unavailability"/>
    <x v="0"/>
  </r>
  <r>
    <x v="0"/>
    <x v="216"/>
    <n v="0"/>
    <s v="Expedite Purchase Order"/>
    <x v="2"/>
  </r>
  <r>
    <x v="0"/>
    <x v="217"/>
    <n v="0"/>
    <s v="Financial Transaction"/>
    <x v="0"/>
  </r>
  <r>
    <x v="0"/>
    <x v="218"/>
    <n v="0"/>
    <s v="Invoice Group"/>
    <x v="0"/>
  </r>
  <r>
    <x v="0"/>
    <x v="219"/>
    <n v="0"/>
    <s v="Invoice Header"/>
    <x v="0"/>
  </r>
  <r>
    <x v="0"/>
    <x v="220"/>
    <n v="0"/>
    <s v="Invoice Line"/>
    <x v="0"/>
  </r>
  <r>
    <x v="0"/>
    <x v="221"/>
    <n v="0"/>
    <s v="Inventory Adjustment"/>
    <x v="0"/>
  </r>
  <r>
    <x v="0"/>
    <x v="222"/>
    <n v="0"/>
    <s v="Maintenance Event"/>
    <x v="0"/>
  </r>
  <r>
    <x v="0"/>
    <x v="223"/>
    <n v="0"/>
    <s v="Maintenance Schedule"/>
    <x v="0"/>
  </r>
  <r>
    <x v="0"/>
    <x v="224"/>
    <n v="0"/>
    <s v="Maintenance Trigger"/>
    <x v="0"/>
  </r>
  <r>
    <x v="0"/>
    <x v="225"/>
    <n v="0"/>
    <s v="Material Disposition"/>
    <x v="0"/>
  </r>
  <r>
    <x v="0"/>
    <x v="226"/>
    <n v="0"/>
    <s v="Material Issue Line"/>
    <x v="0"/>
  </r>
  <r>
    <x v="0"/>
    <x v="227"/>
    <n v="0"/>
    <s v="Material Request Header"/>
    <x v="0"/>
  </r>
  <r>
    <x v="0"/>
    <x v="228"/>
    <n v="0"/>
    <s v="Material Request Line"/>
    <x v="0"/>
  </r>
  <r>
    <x v="0"/>
    <x v="229"/>
    <n v="0"/>
    <s v="Material Request Template"/>
    <x v="0"/>
  </r>
  <r>
    <x v="0"/>
    <x v="230"/>
    <n v="0"/>
    <s v="Material Return Header"/>
    <x v="0"/>
  </r>
  <r>
    <x v="0"/>
    <x v="231"/>
    <n v="0"/>
    <s v="Material Return Line"/>
    <x v="0"/>
  </r>
  <r>
    <x v="0"/>
    <x v="232"/>
    <n v="0"/>
    <s v="Measurement"/>
    <x v="0"/>
  </r>
  <r>
    <x v="0"/>
    <x v="233"/>
    <n v="0"/>
    <s v="Mobile Subscription"/>
    <x v="0"/>
  </r>
  <r>
    <x v="0"/>
    <x v="234"/>
    <n v="29262"/>
    <s v="Location/Organization"/>
    <x v="0"/>
  </r>
  <r>
    <x v="0"/>
    <x v="235"/>
    <n v="0"/>
    <s v="Other Direct Charges"/>
    <x v="0"/>
  </r>
  <r>
    <x v="0"/>
    <x v="236"/>
    <n v="0"/>
    <s v="Other Direct Charges Detail"/>
    <x v="0"/>
  </r>
  <r>
    <x v="0"/>
    <x v="237"/>
    <n v="0"/>
    <s v="Permit"/>
    <x v="0"/>
  </r>
  <r>
    <x v="0"/>
    <x v="238"/>
    <n v="0"/>
    <s v="Physical Inventory Count Line"/>
    <x v="0"/>
  </r>
  <r>
    <x v="0"/>
    <x v="239"/>
    <n v="0"/>
    <s v="Physical Inventory Count Master"/>
    <x v="0"/>
  </r>
  <r>
    <x v="0"/>
    <x v="240"/>
    <n v="0"/>
    <s v="Physical Inventory Header"/>
    <x v="0"/>
  </r>
  <r>
    <x v="0"/>
    <x v="241"/>
    <n v="0"/>
    <s v="Purchase Order Header"/>
    <x v="0"/>
  </r>
  <r>
    <x v="0"/>
    <x v="242"/>
    <n v="0"/>
    <s v="Purchase Order Line"/>
    <x v="0"/>
  </r>
  <r>
    <x v="0"/>
    <x v="243"/>
    <n v="0"/>
    <s v="Functional Process"/>
    <x v="0"/>
  </r>
  <r>
    <x v="0"/>
    <x v="244"/>
    <n v="0"/>
    <s v="Project"/>
    <x v="0"/>
  </r>
  <r>
    <x v="0"/>
    <x v="245"/>
    <n v="0"/>
    <s v="Purchase Requisition Header"/>
    <x v="0"/>
  </r>
  <r>
    <x v="0"/>
    <x v="246"/>
    <n v="0"/>
    <s v="Purchase Requisition Line"/>
    <x v="0"/>
  </r>
  <r>
    <x v="0"/>
    <x v="247"/>
    <n v="0"/>
    <s v="Receipt Header"/>
    <x v="0"/>
  </r>
  <r>
    <x v="0"/>
    <x v="248"/>
    <n v="0"/>
    <s v="Receipt Line"/>
    <x v="0"/>
  </r>
  <r>
    <x v="0"/>
    <x v="249"/>
    <n v="0"/>
    <s v="Report Queue"/>
    <x v="0"/>
  </r>
  <r>
    <x v="0"/>
    <x v="250"/>
    <n v="0"/>
    <s v="Resource Type"/>
    <x v="0"/>
  </r>
  <r>
    <x v="0"/>
    <x v="251"/>
    <n v="0"/>
    <s v="Reorder Review"/>
    <x v="0"/>
  </r>
  <r>
    <x v="0"/>
    <x v="252"/>
    <n v="0"/>
    <s v="Return Line"/>
    <x v="0"/>
  </r>
  <r>
    <x v="0"/>
    <x v="253"/>
    <n v="0"/>
    <s v="Shift Weekly Template"/>
    <x v="0"/>
  </r>
  <r>
    <x v="0"/>
    <x v="254"/>
    <n v="0"/>
    <s v="Shipping Line"/>
    <x v="0"/>
  </r>
  <r>
    <x v="0"/>
    <x v="255"/>
    <n v="0"/>
    <s v="Shipping Memo"/>
    <x v="0"/>
  </r>
  <r>
    <x v="0"/>
    <x v="256"/>
    <n v="0"/>
    <s v="Stock Item Detail"/>
    <x v="0"/>
  </r>
  <r>
    <x v="0"/>
    <x v="257"/>
    <n v="0"/>
    <s v="Stock Transaction"/>
    <x v="0"/>
  </r>
  <r>
    <x v="0"/>
    <x v="258"/>
    <n v="0"/>
    <s v="Service History"/>
    <x v="0"/>
  </r>
  <r>
    <x v="0"/>
    <x v="259"/>
    <n v="0"/>
    <s v="Timesheet"/>
    <x v="0"/>
  </r>
  <r>
    <x v="0"/>
    <x v="260"/>
    <n v="0"/>
    <s v="Timesheet Detail"/>
    <x v="0"/>
  </r>
  <r>
    <x v="0"/>
    <x v="261"/>
    <n v="0"/>
    <s v="Template Activity"/>
    <x v="0"/>
  </r>
  <r>
    <x v="0"/>
    <x v="262"/>
    <n v="0"/>
    <s v="Template Activity Resource"/>
    <x v="0"/>
  </r>
  <r>
    <x v="0"/>
    <x v="263"/>
    <n v="0"/>
    <s v="Template Work Order"/>
    <x v="0"/>
  </r>
  <r>
    <x v="0"/>
    <x v="264"/>
    <n v="0"/>
    <s v="Vendor"/>
    <x v="0"/>
  </r>
  <r>
    <x v="0"/>
    <x v="265"/>
    <n v="0"/>
    <s v="Vendor Location"/>
    <x v="0"/>
  </r>
  <r>
    <x v="0"/>
    <x v="266"/>
    <n v="0"/>
    <s v="Warranty"/>
    <x v="0"/>
  </r>
  <r>
    <x v="0"/>
    <x v="267"/>
    <n v="0"/>
    <s v="Work Order"/>
    <x v="0"/>
  </r>
  <r>
    <x v="0"/>
    <x v="268"/>
    <n v="0"/>
    <s v="Work Design"/>
    <x v="0"/>
  </r>
  <r>
    <x v="0"/>
    <x v="269"/>
    <n v="0"/>
    <s v="Work Location"/>
    <x v="0"/>
  </r>
  <r>
    <x v="0"/>
    <x v="270"/>
    <n v="0"/>
    <s v="Work Request"/>
    <x v="0"/>
  </r>
  <r>
    <x v="1"/>
    <x v="0"/>
    <n v="0"/>
    <s v="Financial Transaction GL Monthly Aggregate"/>
    <x v="0"/>
  </r>
  <r>
    <x v="1"/>
    <x v="1"/>
    <n v="0"/>
    <s v="Financial Transaction Monthly Aggregate"/>
    <x v="0"/>
  </r>
  <r>
    <x v="1"/>
    <x v="2"/>
    <n v="0"/>
    <s v="SA Arrears Snapshot"/>
    <x v="0"/>
  </r>
  <r>
    <x v="1"/>
    <x v="3"/>
    <n v="0"/>
    <s v="Consumer Contract"/>
    <x v="0"/>
  </r>
  <r>
    <x v="1"/>
    <x v="4"/>
    <n v="31"/>
    <s v="Customer Service Request"/>
    <x v="0"/>
  </r>
  <r>
    <x v="1"/>
    <x v="5"/>
    <n v="0"/>
    <s v="Customer Service Request Account"/>
    <x v="0"/>
  </r>
  <r>
    <x v="1"/>
    <x v="6"/>
    <n v="0"/>
    <s v="Customer Service Request Consumer Contract"/>
    <x v="0"/>
  </r>
  <r>
    <x v="1"/>
    <x v="7"/>
    <n v="0"/>
    <s v="Customer Service Request Contract Product"/>
    <x v="0"/>
  </r>
  <r>
    <x v="1"/>
    <x v="8"/>
    <n v="0"/>
    <s v="Customer Service Request Person"/>
    <x v="0"/>
  </r>
  <r>
    <x v="1"/>
    <x v="9"/>
    <n v="0"/>
    <s v="Customer Service Request Premise"/>
    <x v="0"/>
  </r>
  <r>
    <x v="1"/>
    <x v="10"/>
    <n v="0"/>
    <s v="Customer Service Request SA"/>
    <x v="0"/>
  </r>
  <r>
    <x v="1"/>
    <x v="11"/>
    <n v="0"/>
    <s v="Customer Service Request Service Location"/>
    <x v="0"/>
  </r>
  <r>
    <x v="1"/>
    <x v="12"/>
    <n v="0"/>
    <s v="Customer Relationship Request"/>
    <x v="0"/>
  </r>
  <r>
    <x v="1"/>
    <x v="13"/>
    <n v="0"/>
    <s v="Lead"/>
    <x v="0"/>
  </r>
  <r>
    <x v="1"/>
    <x v="14"/>
    <n v="0"/>
    <s v="Lead Event"/>
    <x v="0"/>
  </r>
  <r>
    <x v="1"/>
    <x v="15"/>
    <n v="0"/>
    <s v="Market Charge"/>
    <x v="0"/>
  </r>
  <r>
    <x v="1"/>
    <x v="16"/>
    <n v="0"/>
    <s v="Market Payment"/>
    <x v="0"/>
  </r>
  <r>
    <x v="1"/>
    <x v="17"/>
    <n v="0"/>
    <s v="Market Usage"/>
    <x v="0"/>
  </r>
  <r>
    <x v="1"/>
    <x v="18"/>
    <n v="0"/>
    <s v="Registration Point"/>
    <x v="0"/>
  </r>
  <r>
    <x v="1"/>
    <x v="19"/>
    <n v="0"/>
    <s v="Communication Preference"/>
    <x v="0"/>
  </r>
  <r>
    <x v="1"/>
    <x v="20"/>
    <n v="6073"/>
    <s v="Off Cycle Bill Generator"/>
    <x v="0"/>
  </r>
  <r>
    <x v="1"/>
    <x v="21"/>
    <n v="1"/>
    <s v="Payment Arrangement Request"/>
    <x v="0"/>
  </r>
  <r>
    <x v="1"/>
    <x v="271"/>
    <n v="0"/>
    <s v="Response"/>
    <x v="0"/>
  </r>
  <r>
    <x v="1"/>
    <x v="22"/>
    <n v="1500648"/>
    <s v="Usage"/>
    <x v="0"/>
  </r>
  <r>
    <x v="1"/>
    <x v="23"/>
    <n v="0"/>
    <s v="Web User"/>
    <x v="0"/>
  </r>
  <r>
    <x v="1"/>
    <x v="24"/>
    <n v="0"/>
    <s v="Web User Account"/>
    <x v="0"/>
  </r>
  <r>
    <x v="1"/>
    <x v="25"/>
    <n v="155128"/>
    <s v="Account"/>
    <x v="0"/>
  </r>
  <r>
    <x v="1"/>
    <x v="26"/>
    <n v="2312799"/>
    <s v="Adjustment"/>
    <x v="0"/>
  </r>
  <r>
    <x v="1"/>
    <x v="27"/>
    <n v="0"/>
    <s v="Adjustment Staging Control"/>
    <x v="0"/>
  </r>
  <r>
    <x v="1"/>
    <x v="28"/>
    <n v="0"/>
    <s v="Adjustment Upload"/>
    <x v="0"/>
  </r>
  <r>
    <x v="1"/>
    <x v="29"/>
    <n v="0"/>
    <s v="Activity Request"/>
    <x v="0"/>
  </r>
  <r>
    <x v="1"/>
    <x v="30"/>
    <n v="3127"/>
    <s v="Approval Request"/>
    <x v="0"/>
  </r>
  <r>
    <x v="1"/>
    <x v="31"/>
    <n v="0"/>
    <s v="Audit"/>
    <x v="0"/>
  </r>
  <r>
    <x v="1"/>
    <x v="32"/>
    <n v="14"/>
    <s v="Balance Control Group"/>
    <x v="0"/>
  </r>
  <r>
    <x v="1"/>
    <x v="33"/>
    <n v="4256"/>
    <s v="Batch Job Ad-Hoc Queues"/>
    <x v="0"/>
  </r>
  <r>
    <x v="1"/>
    <x v="34"/>
    <n v="443985"/>
    <s v="Batch Run"/>
    <x v="0"/>
  </r>
  <r>
    <x v="1"/>
    <x v="35"/>
    <n v="0"/>
    <s v="Billable Charge Upload"/>
    <x v="0"/>
  </r>
  <r>
    <x v="1"/>
    <x v="36"/>
    <n v="2582940"/>
    <s v="Bill Header"/>
    <x v="0"/>
  </r>
  <r>
    <x v="1"/>
    <x v="37"/>
    <n v="5394"/>
    <s v="Billable Charge"/>
    <x v="0"/>
  </r>
  <r>
    <x v="1"/>
    <x v="38"/>
    <n v="0"/>
    <s v="Bill Review Schedule"/>
    <x v="0"/>
  </r>
  <r>
    <x v="1"/>
    <x v="39"/>
    <n v="0"/>
    <s v="Bill Print Group"/>
    <x v="0"/>
  </r>
  <r>
    <x v="1"/>
    <x v="40"/>
    <n v="12115681"/>
    <s v="Bill Segment"/>
    <x v="0"/>
  </r>
  <r>
    <x v="1"/>
    <x v="41"/>
    <n v="1415"/>
    <s v="Budget Review"/>
    <x v="0"/>
  </r>
  <r>
    <x v="1"/>
    <x v="42"/>
    <n v="0"/>
    <s v="Case"/>
    <x v="0"/>
  </r>
  <r>
    <x v="1"/>
    <x v="43"/>
    <n v="407356"/>
    <s v="Customer Contact"/>
    <x v="0"/>
  </r>
  <r>
    <x v="1"/>
    <x v="44"/>
    <n v="7619"/>
    <s v="Collection Agency Referral"/>
    <x v="0"/>
  </r>
  <r>
    <x v="1"/>
    <x v="45"/>
    <n v="27904"/>
    <s v="Collection Process"/>
    <x v="0"/>
  </r>
  <r>
    <x v="1"/>
    <x v="46"/>
    <n v="0"/>
    <s v="Contract Option  "/>
    <x v="0"/>
  </r>
  <r>
    <x v="1"/>
    <x v="47"/>
    <n v="0"/>
    <s v="Contract Option Event"/>
    <x v="0"/>
  </r>
  <r>
    <x v="1"/>
    <x v="48"/>
    <n v="0"/>
    <s v="Cut Process"/>
    <x v="0"/>
  </r>
  <r>
    <x v="1"/>
    <x v="49"/>
    <n v="0"/>
    <s v="Declaration"/>
    <x v="0"/>
  </r>
  <r>
    <x v="1"/>
    <x v="50"/>
    <n v="1969"/>
    <s v="Deposit Control"/>
    <x v="0"/>
  </r>
  <r>
    <x v="1"/>
    <x v="51"/>
    <n v="38"/>
    <s v="Deposit Control Staging"/>
    <x v="0"/>
  </r>
  <r>
    <x v="1"/>
    <x v="52"/>
    <n v="0"/>
    <s v="Deposit Review"/>
    <x v="0"/>
  </r>
  <r>
    <x v="1"/>
    <x v="53"/>
    <n v="0"/>
    <s v="Device Test"/>
    <x v="0"/>
  </r>
  <r>
    <x v="1"/>
    <x v="54"/>
    <n v="0"/>
    <s v="Device Test Selection"/>
    <x v="0"/>
  </r>
  <r>
    <x v="1"/>
    <x v="55"/>
    <n v="10372"/>
    <s v="Order"/>
    <x v="0"/>
  </r>
  <r>
    <x v="1"/>
    <x v="56"/>
    <n v="73934"/>
    <s v="Field Activity"/>
    <x v="0"/>
  </r>
  <r>
    <x v="1"/>
    <x v="57"/>
    <n v="0"/>
    <s v="FA Upload Staging"/>
    <x v="0"/>
  </r>
  <r>
    <x v="1"/>
    <x v="58"/>
    <n v="0"/>
    <s v="Field Order"/>
    <x v="0"/>
  </r>
  <r>
    <x v="1"/>
    <x v="59"/>
    <n v="0"/>
    <s v="Field Order Download Staging"/>
    <x v="0"/>
  </r>
  <r>
    <x v="1"/>
    <x v="60"/>
    <n v="25792770"/>
    <s v="Financial Transaction"/>
    <x v="0"/>
  </r>
  <r>
    <x v="1"/>
    <x v="61"/>
    <n v="0"/>
    <s v="Interval Data Set"/>
    <x v="0"/>
  </r>
  <r>
    <x v="1"/>
    <x v="62"/>
    <n v="0"/>
    <s v="Interval Data Profile"/>
    <x v="0"/>
  </r>
  <r>
    <x v="1"/>
    <x v="63"/>
    <n v="0"/>
    <s v="Interval Value Set"/>
    <x v="0"/>
  </r>
  <r>
    <x v="1"/>
    <x v="64"/>
    <n v="0"/>
    <s v="Item"/>
    <x v="0"/>
  </r>
  <r>
    <x v="1"/>
    <x v="65"/>
    <n v="0"/>
    <s v="Item Type SQ Estimate"/>
    <x v="0"/>
  </r>
  <r>
    <x v="1"/>
    <x v="66"/>
    <n v="15020"/>
    <s v="Landlord Agreement"/>
    <x v="0"/>
  </r>
  <r>
    <x v="1"/>
    <x v="67"/>
    <n v="0"/>
    <s v="Match Event"/>
    <x v="0"/>
  </r>
  <r>
    <x v="1"/>
    <x v="68"/>
    <n v="0"/>
    <s v="Meter Read"/>
    <x v="0"/>
  </r>
  <r>
    <x v="1"/>
    <x v="69"/>
    <n v="0"/>
    <s v="Meter Read Download Staging"/>
    <x v="0"/>
  </r>
  <r>
    <x v="1"/>
    <x v="70"/>
    <n v="0"/>
    <s v="Meter Read Upload Staging"/>
    <x v="0"/>
  </r>
  <r>
    <x v="1"/>
    <x v="71"/>
    <n v="1035955"/>
    <s v="Message Log"/>
    <x v="0"/>
  </r>
  <r>
    <x v="1"/>
    <x v="72"/>
    <n v="0"/>
    <s v="Meter"/>
    <x v="0"/>
  </r>
  <r>
    <x v="1"/>
    <x v="73"/>
    <n v="0"/>
    <s v="Meter Configuration"/>
    <x v="0"/>
  </r>
  <r>
    <x v="1"/>
    <x v="74"/>
    <n v="0"/>
    <s v="Notification Download Staging"/>
    <x v="0"/>
  </r>
  <r>
    <x v="1"/>
    <x v="75"/>
    <n v="0"/>
    <s v="Notification Upload Staging"/>
    <x v="0"/>
  </r>
  <r>
    <x v="1"/>
    <x v="76"/>
    <n v="0"/>
    <s v="NT Upload Staging Extension Sample"/>
    <x v="0"/>
  </r>
  <r>
    <x v="1"/>
    <x v="77"/>
    <n v="0"/>
    <s v="Overdue Process"/>
    <x v="0"/>
  </r>
  <r>
    <x v="1"/>
    <x v="78"/>
    <n v="2449489"/>
    <s v="Payment Header"/>
    <x v="0"/>
  </r>
  <r>
    <x v="1"/>
    <x v="79"/>
    <n v="2448621"/>
    <s v="Payment Event"/>
    <x v="0"/>
  </r>
  <r>
    <x v="1"/>
    <x v="80"/>
    <n v="5098"/>
    <s v="Payment Tender Staging"/>
    <x v="0"/>
  </r>
  <r>
    <x v="1"/>
    <x v="81"/>
    <n v="107202"/>
    <s v="Person"/>
    <x v="0"/>
  </r>
  <r>
    <x v="1"/>
    <x v="82"/>
    <n v="0"/>
    <s v="Payment Event Upload Staging"/>
    <x v="0"/>
  </r>
  <r>
    <x v="1"/>
    <x v="83"/>
    <n v="2648"/>
    <s v="Pay Plan"/>
    <x v="0"/>
  </r>
  <r>
    <x v="1"/>
    <x v="84"/>
    <n v="69240"/>
    <s v="Premise"/>
    <x v="0"/>
  </r>
  <r>
    <x v="1"/>
    <x v="85"/>
    <n v="0"/>
    <s v="Quote"/>
    <x v="0"/>
  </r>
  <r>
    <x v="1"/>
    <x v="86"/>
    <n v="0"/>
    <s v="Rebate Claim"/>
    <x v="0"/>
  </r>
  <r>
    <x v="1"/>
    <x v="87"/>
    <n v="0"/>
    <s v="Rebate Claim Line"/>
    <x v="0"/>
  </r>
  <r>
    <x v="1"/>
    <x v="88"/>
    <n v="0"/>
    <s v="Interval Register Data Set"/>
    <x v="0"/>
  </r>
  <r>
    <x v="1"/>
    <x v="89"/>
    <n v="943834"/>
    <s v="SA (Service Agreement)"/>
    <x v="0"/>
  </r>
  <r>
    <x v="1"/>
    <x v="90"/>
    <n v="0"/>
    <s v="SA Relationship"/>
    <x v="0"/>
  </r>
  <r>
    <x v="1"/>
    <x v="91"/>
    <n v="0"/>
    <s v="Service Credit Membership"/>
    <x v="0"/>
  </r>
  <r>
    <x v="1"/>
    <x v="92"/>
    <n v="0"/>
    <s v="Service Credit Event"/>
    <x v="0"/>
  </r>
  <r>
    <x v="1"/>
    <x v="93"/>
    <n v="47105"/>
    <s v="Severance Process"/>
    <x v="0"/>
  </r>
  <r>
    <x v="1"/>
    <x v="94"/>
    <n v="226778"/>
    <s v="Service Point - CCB"/>
    <x v="0"/>
  </r>
  <r>
    <x v="1"/>
    <x v="272"/>
    <n v="0"/>
    <s v="Service Provider - CCB"/>
    <x v="1"/>
  </r>
  <r>
    <x v="1"/>
    <x v="95"/>
    <n v="0"/>
    <s v="SP Item History"/>
    <x v="0"/>
  </r>
  <r>
    <x v="1"/>
    <x v="96"/>
    <n v="0"/>
    <s v="SP/Meter History"/>
    <x v="0"/>
  </r>
  <r>
    <x v="1"/>
    <x v="97"/>
    <n v="0"/>
    <s v="Stock Location"/>
    <x v="0"/>
  </r>
  <r>
    <x v="1"/>
    <x v="98"/>
    <n v="0"/>
    <s v="Statement"/>
    <x v="0"/>
  </r>
  <r>
    <x v="1"/>
    <x v="99"/>
    <n v="0"/>
    <s v="Statement Construct"/>
    <x v="0"/>
  </r>
  <r>
    <x v="1"/>
    <x v="100"/>
    <n v="0"/>
    <s v="Service Route Download Staging"/>
    <x v="0"/>
  </r>
  <r>
    <x v="1"/>
    <x v="101"/>
    <n v="183363"/>
    <s v="To Do Entry"/>
    <x v="0"/>
  </r>
  <r>
    <x v="1"/>
    <x v="102"/>
    <n v="2586"/>
    <s v="Tender Control"/>
    <x v="0"/>
  </r>
  <r>
    <x v="1"/>
    <x v="103"/>
    <n v="0"/>
    <s v="Terms of Service"/>
    <x v="0"/>
  </r>
  <r>
    <x v="1"/>
    <x v="104"/>
    <n v="0"/>
    <s v="TOU Data Set"/>
    <x v="0"/>
  </r>
  <r>
    <x v="1"/>
    <x v="105"/>
    <n v="0"/>
    <s v="Time Of Use Map Classic"/>
    <x v="0"/>
  </r>
  <r>
    <x v="1"/>
    <x v="106"/>
    <n v="0"/>
    <s v="Trend"/>
    <x v="0"/>
  </r>
  <r>
    <x v="1"/>
    <x v="107"/>
    <n v="0"/>
    <s v="Umbrella Agreement"/>
    <x v="0"/>
  </r>
  <r>
    <x v="1"/>
    <x v="108"/>
    <n v="0"/>
    <s v="Validation Error"/>
    <x v="0"/>
  </r>
  <r>
    <x v="1"/>
    <x v="109"/>
    <n v="0"/>
    <s v="Validation Error Foreign Keys"/>
    <x v="0"/>
  </r>
  <r>
    <x v="1"/>
    <x v="110"/>
    <n v="0"/>
    <s v="WF Process"/>
    <x v="0"/>
  </r>
  <r>
    <x v="1"/>
    <x v="111"/>
    <n v="8931"/>
    <s v="Write Off Process"/>
    <x v="0"/>
  </r>
  <r>
    <x v="1"/>
    <x v="112"/>
    <n v="0"/>
    <s v="XAI Download"/>
    <x v="0"/>
  </r>
  <r>
    <x v="1"/>
    <x v="113"/>
    <n v="0"/>
    <s v="XAI Upload Staging"/>
    <x v="0"/>
  </r>
  <r>
    <x v="1"/>
    <x v="114"/>
    <n v="0"/>
    <s v="XAI Staging Control"/>
    <x v="0"/>
  </r>
  <r>
    <x v="1"/>
    <x v="115"/>
    <n v="1223106"/>
    <s v="Activity"/>
    <x v="0"/>
  </r>
  <r>
    <x v="1"/>
    <x v="116"/>
    <n v="0"/>
    <s v="Attribute Data Snapshot"/>
    <x v="0"/>
  </r>
  <r>
    <x v="1"/>
    <x v="117"/>
    <n v="0"/>
    <s v="Aggregation Group Run"/>
    <x v="0"/>
  </r>
  <r>
    <x v="1"/>
    <x v="118"/>
    <n v="0"/>
    <s v="Aggregation Measurement"/>
    <x v="0"/>
  </r>
  <r>
    <x v="1"/>
    <x v="119"/>
    <n v="0"/>
    <s v="Attribute Values"/>
    <x v="0"/>
  </r>
  <r>
    <x v="1"/>
    <x v="120"/>
    <n v="98507"/>
    <s v="Communication In"/>
    <x v="0"/>
  </r>
  <r>
    <x v="1"/>
    <x v="121"/>
    <n v="102842"/>
    <s v="Communication Out"/>
    <x v="0"/>
  </r>
  <r>
    <x v="1"/>
    <x v="122"/>
    <n v="166450"/>
    <s v="Completion Event"/>
    <x v="0"/>
  </r>
  <r>
    <x v="1"/>
    <x v="123"/>
    <n v="107211"/>
    <s v="Contact"/>
    <x v="1"/>
  </r>
  <r>
    <x v="1"/>
    <x v="124"/>
    <n v="153525"/>
    <s v="Device"/>
    <x v="0"/>
  </r>
  <r>
    <x v="1"/>
    <x v="125"/>
    <n v="121261"/>
    <s v="Device Configuration"/>
    <x v="0"/>
  </r>
  <r>
    <x v="1"/>
    <x v="126"/>
    <n v="3250"/>
    <s v="Device Event"/>
    <x v="0"/>
  </r>
  <r>
    <x v="1"/>
    <x v="127"/>
    <n v="0"/>
    <s v="Dynamic Option"/>
    <x v="0"/>
  </r>
  <r>
    <x v="1"/>
    <x v="128"/>
    <n v="0"/>
    <s v="Dynamic Option Event"/>
    <x v="0"/>
  </r>
  <r>
    <x v="1"/>
    <x v="273"/>
    <n v="0"/>
    <s v="Event Participation"/>
    <x v="0"/>
  </r>
  <r>
    <x v="1"/>
    <x v="129"/>
    <n v="0"/>
    <s v="Facility"/>
    <x v="0"/>
  </r>
  <r>
    <x v="1"/>
    <x v="130"/>
    <n v="1878667"/>
    <s v="Initial Measurement Data"/>
    <x v="0"/>
  </r>
  <r>
    <x v="1"/>
    <x v="131"/>
    <n v="0"/>
    <s v="Initial Measurement Snapshot"/>
    <x v="0"/>
  </r>
  <r>
    <x v="1"/>
    <x v="132"/>
    <n v="115256"/>
    <s v="Install Event"/>
    <x v="0"/>
  </r>
  <r>
    <x v="1"/>
    <x v="133"/>
    <n v="0"/>
    <s v="Interval Snapshot Mapping"/>
    <x v="0"/>
  </r>
  <r>
    <x v="1"/>
    <x v="134"/>
    <n v="0"/>
    <s v="MC Comparison Period"/>
    <x v="0"/>
  </r>
  <r>
    <x v="1"/>
    <x v="135"/>
    <n v="0"/>
    <s v="Measurement Data Snapshot Interval"/>
    <x v="0"/>
  </r>
  <r>
    <x v="1"/>
    <x v="136"/>
    <n v="0"/>
    <s v="Measurement Data Snapshot Scalar"/>
    <x v="0"/>
  </r>
  <r>
    <x v="1"/>
    <x v="137"/>
    <n v="209914"/>
    <s v="Measuring Component"/>
    <x v="0"/>
  </r>
  <r>
    <x v="1"/>
    <x v="138"/>
    <n v="0"/>
    <s v="Market Award"/>
    <x v="0"/>
  </r>
  <r>
    <x v="1"/>
    <x v="139"/>
    <n v="0"/>
    <s v="Market Contract"/>
    <x v="0"/>
  </r>
  <r>
    <x v="1"/>
    <x v="140"/>
    <n v="0"/>
    <s v="Market Product"/>
    <x v="0"/>
  </r>
  <r>
    <x v="1"/>
    <x v="141"/>
    <n v="0"/>
    <s v="Registration Point"/>
    <x v="0"/>
  </r>
  <r>
    <x v="1"/>
    <x v="142"/>
    <n v="6442665"/>
    <s v="Measurement"/>
    <x v="0"/>
  </r>
  <r>
    <x v="1"/>
    <x v="143"/>
    <n v="36529"/>
    <s v="Measurement Log"/>
    <x v="0"/>
  </r>
  <r>
    <x v="1"/>
    <x v="144"/>
    <n v="0"/>
    <s v="Network Location"/>
    <x v="0"/>
  </r>
  <r>
    <x v="1"/>
    <x v="145"/>
    <n v="226778"/>
    <s v="Service Point - MDM"/>
    <x v="0"/>
  </r>
  <r>
    <x v="1"/>
    <x v="146"/>
    <n v="1100694"/>
    <s v="SP/Measurement Cycle Schedule Route"/>
    <x v="0"/>
  </r>
  <r>
    <x v="1"/>
    <x v="147"/>
    <n v="0"/>
    <s v="Service Point Quantity"/>
    <x v="0"/>
  </r>
  <r>
    <x v="1"/>
    <x v="148"/>
    <n v="0"/>
    <s v="Service Pont Snapshot Download"/>
    <x v="0"/>
  </r>
  <r>
    <x v="1"/>
    <x v="149"/>
    <n v="0"/>
    <s v="SP Unreported Usage Snapshot Download"/>
    <x v="0"/>
  </r>
  <r>
    <x v="1"/>
    <x v="150"/>
    <n v="0"/>
    <s v="Service Point Usage Snapshot Download"/>
    <x v="0"/>
  </r>
  <r>
    <x v="1"/>
    <x v="151"/>
    <n v="0"/>
    <s v="SP VEE Exception Snapshot Download"/>
    <x v="0"/>
  </r>
  <r>
    <x v="1"/>
    <x v="152"/>
    <n v="644343"/>
    <s v="Usage Subscription"/>
    <x v="0"/>
  </r>
  <r>
    <x v="1"/>
    <x v="153"/>
    <n v="1501677"/>
    <s v="Usage"/>
    <x v="0"/>
  </r>
  <r>
    <x v="1"/>
    <x v="154"/>
    <n v="21825"/>
    <s v="Usage Transaction Exception"/>
    <x v="0"/>
  </r>
  <r>
    <x v="1"/>
    <x v="155"/>
    <n v="0"/>
    <s v="Usage Subscription Market Participant"/>
    <x v="0"/>
  </r>
  <r>
    <x v="1"/>
    <x v="156"/>
    <n v="0"/>
    <s v="Usage Subscription Quantity"/>
    <x v="0"/>
  </r>
  <r>
    <x v="1"/>
    <x v="157"/>
    <n v="0"/>
    <s v="Usage Subscription Usage Group Download"/>
    <x v="0"/>
  </r>
  <r>
    <x v="1"/>
    <x v="158"/>
    <n v="2538465"/>
    <s v="VEE Exception"/>
    <x v="0"/>
  </r>
  <r>
    <x v="1"/>
    <x v="159"/>
    <n v="9"/>
    <s v="Attachment"/>
    <x v="0"/>
  </r>
  <r>
    <x v="1"/>
    <x v="274"/>
    <n v="0"/>
    <s v="Batch Run Analytics Snapshot"/>
    <x v="2"/>
  </r>
  <r>
    <x v="1"/>
    <x v="275"/>
    <n v="0"/>
    <s v="Batch Thread Analytics Snapshot"/>
    <x v="2"/>
  </r>
  <r>
    <x v="1"/>
    <x v="160"/>
    <n v="58"/>
    <s v="Bundle"/>
    <x v="0"/>
  </r>
  <r>
    <x v="1"/>
    <x v="161"/>
    <n v="0"/>
    <s v="Business Event Log"/>
    <x v="0"/>
  </r>
  <r>
    <x v="1"/>
    <x v="162"/>
    <n v="0"/>
    <s v="Business Flag"/>
    <x v="0"/>
  </r>
  <r>
    <x v="1"/>
    <x v="163"/>
    <n v="0"/>
    <s v="Calendar Dimension"/>
    <x v="0"/>
  </r>
  <r>
    <x v="1"/>
    <x v="164"/>
    <n v="0"/>
    <s v="Cube View"/>
    <x v="0"/>
  </r>
  <r>
    <x v="1"/>
    <x v="165"/>
    <n v="0"/>
    <s v="Deployment"/>
    <x v="0"/>
  </r>
  <r>
    <x v="1"/>
    <x v="166"/>
    <n v="0"/>
    <s v="Object Erasure Schedule"/>
    <x v="0"/>
  </r>
  <r>
    <x v="1"/>
    <x v="167"/>
    <n v="9"/>
    <s v="Fact"/>
    <x v="0"/>
  </r>
  <r>
    <x v="1"/>
    <x v="168"/>
    <n v="1041222"/>
    <s v="General Process"/>
    <x v="0"/>
  </r>
  <r>
    <x v="1"/>
    <x v="169"/>
    <n v="0"/>
    <s v="General Audit"/>
    <x v="0"/>
  </r>
  <r>
    <x v="1"/>
    <x v="170"/>
    <n v="0"/>
    <s v="Mobile Data Terminal"/>
    <x v="0"/>
  </r>
  <r>
    <x v="1"/>
    <x v="171"/>
    <n v="0"/>
    <s v="Mobile Data Terminal Type"/>
    <x v="0"/>
  </r>
  <r>
    <x v="1"/>
    <x v="172"/>
    <n v="179"/>
    <s v="Migration Data Set"/>
    <x v="0"/>
  </r>
  <r>
    <x v="1"/>
    <x v="173"/>
    <n v="5362"/>
    <s v="Migration Object"/>
    <x v="0"/>
  </r>
  <r>
    <x v="1"/>
    <x v="174"/>
    <n v="676"/>
    <s v="Migration Transaction"/>
    <x v="0"/>
  </r>
  <r>
    <x v="1"/>
    <x v="175"/>
    <n v="0"/>
    <s v="Inbound Market Message"/>
    <x v="0"/>
  </r>
  <r>
    <x v="1"/>
    <x v="176"/>
    <n v="0"/>
    <s v="Outbound Market Message"/>
    <x v="0"/>
  </r>
  <r>
    <x v="1"/>
    <x v="177"/>
    <n v="0"/>
    <s v="Market Process"/>
    <x v="0"/>
  </r>
  <r>
    <x v="1"/>
    <x v="178"/>
    <n v="0"/>
    <s v="Market Process Event"/>
    <x v="0"/>
  </r>
  <r>
    <x v="1"/>
    <x v="179"/>
    <n v="0"/>
    <s v="Object Revision"/>
    <x v="0"/>
  </r>
  <r>
    <x v="1"/>
    <x v="180"/>
    <n v="1471815"/>
    <s v="Outbound Message"/>
    <x v="0"/>
  </r>
  <r>
    <x v="1"/>
    <x v="181"/>
    <n v="26"/>
    <s v="Process Flow"/>
    <x v="0"/>
  </r>
  <r>
    <x v="1"/>
    <x v="182"/>
    <n v="0"/>
    <s v="Mobile Remote Message"/>
    <x v="0"/>
  </r>
  <r>
    <x v="1"/>
    <x v="183"/>
    <n v="2103"/>
    <s v="Request"/>
    <x v="0"/>
  </r>
  <r>
    <x v="1"/>
    <x v="184"/>
    <n v="0"/>
    <s v="Statistics Snapshot"/>
    <x v="1"/>
  </r>
  <r>
    <x v="1"/>
    <x v="185"/>
    <n v="1710222"/>
    <s v="Service Task"/>
    <x v="0"/>
  </r>
  <r>
    <x v="1"/>
    <x v="186"/>
    <n v="1016384"/>
    <s v="Sync Request"/>
    <x v="0"/>
  </r>
  <r>
    <x v="1"/>
    <x v="187"/>
    <n v="614636"/>
    <s v="Inbound Sync Request"/>
    <x v="0"/>
  </r>
  <r>
    <x v="1"/>
    <x v="188"/>
    <n v="0"/>
    <s v="Time Dimension"/>
    <x v="0"/>
  </r>
  <r>
    <x v="1"/>
    <x v="189"/>
    <n v="0"/>
    <s v="Accept Line"/>
    <x v="0"/>
  </r>
  <r>
    <x v="1"/>
    <x v="190"/>
    <n v="176"/>
    <s v="Activity"/>
    <x v="0"/>
  </r>
  <r>
    <x v="1"/>
    <x v="191"/>
    <n v="0"/>
    <s v="Activity Construction Location"/>
    <x v="0"/>
  </r>
  <r>
    <x v="1"/>
    <x v="192"/>
    <n v="0"/>
    <s v="Activity Reconciliation"/>
    <x v="0"/>
  </r>
  <r>
    <x v="1"/>
    <x v="193"/>
    <n v="0"/>
    <s v="Activity Resource Requirement"/>
    <x v="0"/>
  </r>
  <r>
    <x v="1"/>
    <x v="194"/>
    <n v="0"/>
    <s v="Cost Adjustment"/>
    <x v="0"/>
  </r>
  <r>
    <x v="1"/>
    <x v="195"/>
    <n v="0"/>
    <s v="Approval Request"/>
    <x v="0"/>
  </r>
  <r>
    <x v="1"/>
    <x v="196"/>
    <n v="153525"/>
    <s v="Asset"/>
    <x v="0"/>
  </r>
  <r>
    <x v="1"/>
    <x v="197"/>
    <n v="0"/>
    <s v="Blanket Contract Header"/>
    <x v="0"/>
  </r>
  <r>
    <x v="1"/>
    <x v="198"/>
    <n v="0"/>
    <s v="Blanket Contract Line"/>
    <x v="0"/>
  </r>
  <r>
    <x v="1"/>
    <x v="199"/>
    <n v="0"/>
    <s v="Bill of Materials Part"/>
    <x v="0"/>
  </r>
  <r>
    <x v="1"/>
    <x v="200"/>
    <n v="0"/>
    <s v="Change Request"/>
    <x v="0"/>
  </r>
  <r>
    <x v="1"/>
    <x v="201"/>
    <n v="0"/>
    <s v="Checklist"/>
    <x v="0"/>
  </r>
  <r>
    <x v="1"/>
    <x v="202"/>
    <n v="176"/>
    <s v="Completion Event"/>
    <x v="0"/>
  </r>
  <r>
    <x v="1"/>
    <x v="203"/>
    <n v="0"/>
    <s v="Communication"/>
    <x v="0"/>
  </r>
  <r>
    <x v="1"/>
    <x v="204"/>
    <n v="0"/>
    <s v="Communication In"/>
    <x v="0"/>
  </r>
  <r>
    <x v="1"/>
    <x v="205"/>
    <n v="0"/>
    <s v="Configuration"/>
    <x v="0"/>
  </r>
  <r>
    <x v="1"/>
    <x v="206"/>
    <n v="0"/>
    <s v="Configuration Report"/>
    <x v="0"/>
  </r>
  <r>
    <x v="1"/>
    <x v="207"/>
    <n v="98478"/>
    <s v="Contact"/>
    <x v="0"/>
  </r>
  <r>
    <x v="1"/>
    <x v="208"/>
    <n v="0"/>
    <s v="Crew"/>
    <x v="0"/>
  </r>
  <r>
    <x v="1"/>
    <x v="209"/>
    <n v="0"/>
    <s v="Crew Shift"/>
    <x v="0"/>
  </r>
  <r>
    <x v="1"/>
    <x v="210"/>
    <n v="0"/>
    <s v="Compatible Unit"/>
    <x v="0"/>
  </r>
  <r>
    <x v="1"/>
    <x v="211"/>
    <n v="0"/>
    <s v="CU Contractor Bid"/>
    <x v="0"/>
  </r>
  <r>
    <x v="1"/>
    <x v="212"/>
    <n v="0"/>
    <s v="Design Element"/>
    <x v="0"/>
  </r>
  <r>
    <x v="1"/>
    <x v="213"/>
    <n v="0"/>
    <s v="Document"/>
    <x v="0"/>
  </r>
  <r>
    <x v="1"/>
    <x v="214"/>
    <n v="0"/>
    <s v="Employee"/>
    <x v="0"/>
  </r>
  <r>
    <x v="1"/>
    <x v="215"/>
    <n v="0"/>
    <s v="Employee Unavailability"/>
    <x v="0"/>
  </r>
  <r>
    <x v="1"/>
    <x v="216"/>
    <n v="0"/>
    <s v="Expedite Purchase Order"/>
    <x v="2"/>
  </r>
  <r>
    <x v="1"/>
    <x v="217"/>
    <n v="0"/>
    <s v="Financial Transaction"/>
    <x v="0"/>
  </r>
  <r>
    <x v="1"/>
    <x v="218"/>
    <n v="0"/>
    <s v="Invoice Group"/>
    <x v="0"/>
  </r>
  <r>
    <x v="1"/>
    <x v="219"/>
    <n v="0"/>
    <s v="Invoice Header"/>
    <x v="0"/>
  </r>
  <r>
    <x v="1"/>
    <x v="220"/>
    <n v="0"/>
    <s v="Invoice Line"/>
    <x v="0"/>
  </r>
  <r>
    <x v="1"/>
    <x v="221"/>
    <n v="0"/>
    <s v="Inventory Adjustment"/>
    <x v="0"/>
  </r>
  <r>
    <x v="1"/>
    <x v="222"/>
    <n v="0"/>
    <s v="Maintenance Event"/>
    <x v="0"/>
  </r>
  <r>
    <x v="1"/>
    <x v="223"/>
    <n v="0"/>
    <s v="Maintenance Schedule"/>
    <x v="0"/>
  </r>
  <r>
    <x v="1"/>
    <x v="224"/>
    <n v="0"/>
    <s v="Maintenance Trigger"/>
    <x v="0"/>
  </r>
  <r>
    <x v="1"/>
    <x v="225"/>
    <n v="0"/>
    <s v="Material Disposition"/>
    <x v="0"/>
  </r>
  <r>
    <x v="1"/>
    <x v="226"/>
    <n v="0"/>
    <s v="Material Issue Line"/>
    <x v="0"/>
  </r>
  <r>
    <x v="1"/>
    <x v="227"/>
    <n v="0"/>
    <s v="Material Request Header"/>
    <x v="0"/>
  </r>
  <r>
    <x v="1"/>
    <x v="228"/>
    <n v="0"/>
    <s v="Material Request Line"/>
    <x v="0"/>
  </r>
  <r>
    <x v="1"/>
    <x v="229"/>
    <n v="0"/>
    <s v="Material Request Template"/>
    <x v="0"/>
  </r>
  <r>
    <x v="1"/>
    <x v="230"/>
    <n v="0"/>
    <s v="Material Return Header"/>
    <x v="0"/>
  </r>
  <r>
    <x v="1"/>
    <x v="231"/>
    <n v="0"/>
    <s v="Material Return Line"/>
    <x v="0"/>
  </r>
  <r>
    <x v="1"/>
    <x v="232"/>
    <n v="0"/>
    <s v="Measurement"/>
    <x v="0"/>
  </r>
  <r>
    <x v="1"/>
    <x v="233"/>
    <n v="0"/>
    <s v="Mobile Subscription"/>
    <x v="0"/>
  </r>
  <r>
    <x v="1"/>
    <x v="234"/>
    <n v="226787"/>
    <s v="Location/Organization"/>
    <x v="0"/>
  </r>
  <r>
    <x v="1"/>
    <x v="235"/>
    <n v="0"/>
    <s v="Other Direct Charges"/>
    <x v="0"/>
  </r>
  <r>
    <x v="1"/>
    <x v="236"/>
    <n v="0"/>
    <s v="Other Direct Charges Detail"/>
    <x v="0"/>
  </r>
  <r>
    <x v="1"/>
    <x v="237"/>
    <n v="0"/>
    <s v="Permit"/>
    <x v="0"/>
  </r>
  <r>
    <x v="1"/>
    <x v="238"/>
    <n v="0"/>
    <s v="Physical Inventory Count Line"/>
    <x v="0"/>
  </r>
  <r>
    <x v="1"/>
    <x v="239"/>
    <n v="0"/>
    <s v="Physical Inventory Count Master"/>
    <x v="0"/>
  </r>
  <r>
    <x v="1"/>
    <x v="240"/>
    <n v="0"/>
    <s v="Physical Inventory Header"/>
    <x v="0"/>
  </r>
  <r>
    <x v="1"/>
    <x v="241"/>
    <n v="0"/>
    <s v="Purchase Order Header"/>
    <x v="0"/>
  </r>
  <r>
    <x v="1"/>
    <x v="242"/>
    <n v="0"/>
    <s v="Purchase Order Line"/>
    <x v="0"/>
  </r>
  <r>
    <x v="1"/>
    <x v="243"/>
    <n v="0"/>
    <s v="Functional Process"/>
    <x v="0"/>
  </r>
  <r>
    <x v="1"/>
    <x v="244"/>
    <n v="0"/>
    <s v="Project"/>
    <x v="0"/>
  </r>
  <r>
    <x v="1"/>
    <x v="245"/>
    <n v="0"/>
    <s v="Purchase Requisition Header"/>
    <x v="0"/>
  </r>
  <r>
    <x v="1"/>
    <x v="246"/>
    <n v="0"/>
    <s v="Purchase Requisition Line"/>
    <x v="0"/>
  </r>
  <r>
    <x v="1"/>
    <x v="247"/>
    <n v="0"/>
    <s v="Receipt Header"/>
    <x v="0"/>
  </r>
  <r>
    <x v="1"/>
    <x v="248"/>
    <n v="0"/>
    <s v="Receipt Line"/>
    <x v="0"/>
  </r>
  <r>
    <x v="1"/>
    <x v="249"/>
    <n v="0"/>
    <s v="Report Queue"/>
    <x v="0"/>
  </r>
  <r>
    <x v="1"/>
    <x v="250"/>
    <n v="0"/>
    <s v="Resource Type"/>
    <x v="0"/>
  </r>
  <r>
    <x v="1"/>
    <x v="251"/>
    <n v="0"/>
    <s v="Reorder Review"/>
    <x v="0"/>
  </r>
  <r>
    <x v="1"/>
    <x v="252"/>
    <n v="0"/>
    <s v="Return Line"/>
    <x v="0"/>
  </r>
  <r>
    <x v="1"/>
    <x v="253"/>
    <n v="0"/>
    <s v="Shift Weekly Template"/>
    <x v="0"/>
  </r>
  <r>
    <x v="1"/>
    <x v="254"/>
    <n v="0"/>
    <s v="Shipping Line"/>
    <x v="0"/>
  </r>
  <r>
    <x v="1"/>
    <x v="255"/>
    <n v="0"/>
    <s v="Shipping Memo"/>
    <x v="0"/>
  </r>
  <r>
    <x v="1"/>
    <x v="256"/>
    <n v="0"/>
    <s v="Stock Item Detail"/>
    <x v="0"/>
  </r>
  <r>
    <x v="1"/>
    <x v="257"/>
    <n v="0"/>
    <s v="Stock Transaction"/>
    <x v="0"/>
  </r>
  <r>
    <x v="1"/>
    <x v="258"/>
    <n v="0"/>
    <s v="Service History"/>
    <x v="0"/>
  </r>
  <r>
    <x v="1"/>
    <x v="259"/>
    <n v="0"/>
    <s v="Timesheet"/>
    <x v="0"/>
  </r>
  <r>
    <x v="1"/>
    <x v="260"/>
    <n v="0"/>
    <s v="Timesheet Detail"/>
    <x v="0"/>
  </r>
  <r>
    <x v="1"/>
    <x v="261"/>
    <n v="0"/>
    <s v="Template Activity"/>
    <x v="0"/>
  </r>
  <r>
    <x v="1"/>
    <x v="262"/>
    <n v="0"/>
    <s v="Template Activity Resource"/>
    <x v="0"/>
  </r>
  <r>
    <x v="1"/>
    <x v="263"/>
    <n v="0"/>
    <s v="Template Work Order"/>
    <x v="0"/>
  </r>
  <r>
    <x v="1"/>
    <x v="264"/>
    <n v="0"/>
    <s v="Vendor"/>
    <x v="0"/>
  </r>
  <r>
    <x v="1"/>
    <x v="265"/>
    <n v="0"/>
    <s v="Vendor Location"/>
    <x v="0"/>
  </r>
  <r>
    <x v="1"/>
    <x v="266"/>
    <n v="0"/>
    <s v="Warranty"/>
    <x v="0"/>
  </r>
  <r>
    <x v="1"/>
    <x v="267"/>
    <n v="0"/>
    <s v="Work Order"/>
    <x v="0"/>
  </r>
  <r>
    <x v="1"/>
    <x v="268"/>
    <n v="0"/>
    <s v="Work Design"/>
    <x v="0"/>
  </r>
  <r>
    <x v="1"/>
    <x v="269"/>
    <n v="0"/>
    <s v="Work Location"/>
    <x v="0"/>
  </r>
  <r>
    <x v="1"/>
    <x v="270"/>
    <n v="0"/>
    <s v="Work Request"/>
    <x v="0"/>
  </r>
  <r>
    <x v="2"/>
    <x v="0"/>
    <n v="0"/>
    <s v="Financial Transaction GL Monthly Aggregate"/>
    <x v="0"/>
  </r>
  <r>
    <x v="2"/>
    <x v="1"/>
    <n v="0"/>
    <s v="Financial Transaction Monthly Aggregate"/>
    <x v="0"/>
  </r>
  <r>
    <x v="2"/>
    <x v="2"/>
    <n v="500256"/>
    <s v="SA Arrears Snapshot"/>
    <x v="0"/>
  </r>
  <r>
    <x v="2"/>
    <x v="3"/>
    <n v="0"/>
    <s v="Consumer Contract"/>
    <x v="0"/>
  </r>
  <r>
    <x v="2"/>
    <x v="4"/>
    <n v="7504"/>
    <s v="Customer Service Request"/>
    <x v="0"/>
  </r>
  <r>
    <x v="2"/>
    <x v="5"/>
    <n v="6151"/>
    <s v="Customer Service Request Account"/>
    <x v="0"/>
  </r>
  <r>
    <x v="2"/>
    <x v="6"/>
    <n v="0"/>
    <s v="Customer Service Request Consumer Contract"/>
    <x v="0"/>
  </r>
  <r>
    <x v="2"/>
    <x v="7"/>
    <n v="0"/>
    <s v="Customer Service Request Contract Product"/>
    <x v="0"/>
  </r>
  <r>
    <x v="2"/>
    <x v="8"/>
    <n v="5557"/>
    <s v="Customer Service Request Person"/>
    <x v="0"/>
  </r>
  <r>
    <x v="2"/>
    <x v="9"/>
    <n v="5421"/>
    <s v="Customer Service Request Premise"/>
    <x v="0"/>
  </r>
  <r>
    <x v="2"/>
    <x v="10"/>
    <n v="18037"/>
    <s v="Customer Service Request SA"/>
    <x v="0"/>
  </r>
  <r>
    <x v="2"/>
    <x v="11"/>
    <n v="0"/>
    <s v="Customer Service Request Service Location"/>
    <x v="0"/>
  </r>
  <r>
    <x v="2"/>
    <x v="12"/>
    <n v="0"/>
    <s v="Customer Relationship Request"/>
    <x v="0"/>
  </r>
  <r>
    <x v="2"/>
    <x v="13"/>
    <n v="0"/>
    <s v="Lead"/>
    <x v="0"/>
  </r>
  <r>
    <x v="2"/>
    <x v="14"/>
    <n v="0"/>
    <s v="Lead Event"/>
    <x v="0"/>
  </r>
  <r>
    <x v="2"/>
    <x v="15"/>
    <n v="0"/>
    <s v="Market Charge"/>
    <x v="0"/>
  </r>
  <r>
    <x v="2"/>
    <x v="16"/>
    <n v="0"/>
    <s v="Market Payment"/>
    <x v="0"/>
  </r>
  <r>
    <x v="2"/>
    <x v="17"/>
    <n v="0"/>
    <s v="Market Usage"/>
    <x v="0"/>
  </r>
  <r>
    <x v="2"/>
    <x v="18"/>
    <n v="0"/>
    <s v="Registration Point"/>
    <x v="0"/>
  </r>
  <r>
    <x v="2"/>
    <x v="19"/>
    <n v="0"/>
    <s v="Communication Preference"/>
    <x v="0"/>
  </r>
  <r>
    <x v="2"/>
    <x v="20"/>
    <n v="36816"/>
    <s v="Off Cycle Bill Generator"/>
    <x v="0"/>
  </r>
  <r>
    <x v="2"/>
    <x v="21"/>
    <n v="0"/>
    <s v="Payment Arrangement Request"/>
    <x v="0"/>
  </r>
  <r>
    <x v="2"/>
    <x v="22"/>
    <n v="445035"/>
    <s v="Usage"/>
    <x v="0"/>
  </r>
  <r>
    <x v="2"/>
    <x v="23"/>
    <n v="0"/>
    <s v="Web User"/>
    <x v="0"/>
  </r>
  <r>
    <x v="2"/>
    <x v="24"/>
    <n v="0"/>
    <s v="Web User Account"/>
    <x v="0"/>
  </r>
  <r>
    <x v="2"/>
    <x v="25"/>
    <n v="90087"/>
    <s v="Account"/>
    <x v="0"/>
  </r>
  <r>
    <x v="2"/>
    <x v="26"/>
    <n v="328670"/>
    <s v="Adjustment"/>
    <x v="0"/>
  </r>
  <r>
    <x v="2"/>
    <x v="27"/>
    <n v="1"/>
    <s v="Adjustment Staging Control"/>
    <x v="0"/>
  </r>
  <r>
    <x v="2"/>
    <x v="28"/>
    <n v="1452"/>
    <s v="Adjustment Upload"/>
    <x v="0"/>
  </r>
  <r>
    <x v="2"/>
    <x v="29"/>
    <n v="0"/>
    <s v="Activity Request"/>
    <x v="0"/>
  </r>
  <r>
    <x v="2"/>
    <x v="30"/>
    <n v="8818"/>
    <s v="Approval Request"/>
    <x v="0"/>
  </r>
  <r>
    <x v="2"/>
    <x v="31"/>
    <n v="0"/>
    <s v="Audit"/>
    <x v="0"/>
  </r>
  <r>
    <x v="2"/>
    <x v="32"/>
    <n v="15"/>
    <s v="Balance Control Group"/>
    <x v="0"/>
  </r>
  <r>
    <x v="2"/>
    <x v="33"/>
    <n v="1329"/>
    <s v="Batch Job Ad-Hoc Queues"/>
    <x v="0"/>
  </r>
  <r>
    <x v="2"/>
    <x v="34"/>
    <n v="394785"/>
    <s v="Batch Run"/>
    <x v="0"/>
  </r>
  <r>
    <x v="2"/>
    <x v="35"/>
    <n v="0"/>
    <s v="Billable Charge Upload"/>
    <x v="0"/>
  </r>
  <r>
    <x v="2"/>
    <x v="36"/>
    <n v="538151"/>
    <s v="Bill Header"/>
    <x v="0"/>
  </r>
  <r>
    <x v="2"/>
    <x v="37"/>
    <n v="18110"/>
    <s v="Billable Charge"/>
    <x v="0"/>
  </r>
  <r>
    <x v="2"/>
    <x v="38"/>
    <n v="0"/>
    <s v="Bill Review Schedule"/>
    <x v="0"/>
  </r>
  <r>
    <x v="2"/>
    <x v="39"/>
    <n v="0"/>
    <s v="Bill Print Group"/>
    <x v="0"/>
  </r>
  <r>
    <x v="2"/>
    <x v="40"/>
    <n v="1836637"/>
    <s v="Bill Segment"/>
    <x v="0"/>
  </r>
  <r>
    <x v="2"/>
    <x v="41"/>
    <n v="978"/>
    <s v="Budget Review"/>
    <x v="0"/>
  </r>
  <r>
    <x v="2"/>
    <x v="42"/>
    <n v="0"/>
    <s v="Case"/>
    <x v="0"/>
  </r>
  <r>
    <x v="2"/>
    <x v="43"/>
    <n v="96066"/>
    <s v="Customer Contact"/>
    <x v="0"/>
  </r>
  <r>
    <x v="2"/>
    <x v="44"/>
    <n v="2213"/>
    <s v="Collection Agency Referral"/>
    <x v="0"/>
  </r>
  <r>
    <x v="2"/>
    <x v="45"/>
    <n v="32502"/>
    <s v="Collection Process"/>
    <x v="0"/>
  </r>
  <r>
    <x v="2"/>
    <x v="46"/>
    <n v="0"/>
    <s v="Contract Option  "/>
    <x v="0"/>
  </r>
  <r>
    <x v="2"/>
    <x v="47"/>
    <n v="0"/>
    <s v="Contract Option Event"/>
    <x v="0"/>
  </r>
  <r>
    <x v="2"/>
    <x v="48"/>
    <n v="0"/>
    <s v="Cut Process"/>
    <x v="0"/>
  </r>
  <r>
    <x v="2"/>
    <x v="49"/>
    <n v="0"/>
    <s v="Declaration"/>
    <x v="0"/>
  </r>
  <r>
    <x v="2"/>
    <x v="50"/>
    <n v="1421"/>
    <s v="Deposit Control"/>
    <x v="0"/>
  </r>
  <r>
    <x v="2"/>
    <x v="51"/>
    <n v="53"/>
    <s v="Deposit Control Staging"/>
    <x v="0"/>
  </r>
  <r>
    <x v="2"/>
    <x v="52"/>
    <n v="0"/>
    <s v="Deposit Review"/>
    <x v="0"/>
  </r>
  <r>
    <x v="2"/>
    <x v="53"/>
    <n v="0"/>
    <s v="Device Test"/>
    <x v="0"/>
  </r>
  <r>
    <x v="2"/>
    <x v="54"/>
    <n v="0"/>
    <s v="Device Test Selection"/>
    <x v="0"/>
  </r>
  <r>
    <x v="2"/>
    <x v="55"/>
    <n v="0"/>
    <s v="Order"/>
    <x v="0"/>
  </r>
  <r>
    <x v="2"/>
    <x v="56"/>
    <n v="38063"/>
    <s v="Field Activity"/>
    <x v="0"/>
  </r>
  <r>
    <x v="2"/>
    <x v="57"/>
    <n v="0"/>
    <s v="FA Upload Staging"/>
    <x v="0"/>
  </r>
  <r>
    <x v="2"/>
    <x v="58"/>
    <n v="0"/>
    <s v="Field Order"/>
    <x v="0"/>
  </r>
  <r>
    <x v="2"/>
    <x v="59"/>
    <n v="0"/>
    <s v="Field Order Download Staging"/>
    <x v="0"/>
  </r>
  <r>
    <x v="2"/>
    <x v="60"/>
    <n v="3985463"/>
    <s v="Financial Transaction"/>
    <x v="0"/>
  </r>
  <r>
    <x v="2"/>
    <x v="61"/>
    <n v="0"/>
    <s v="Interval Data Set"/>
    <x v="0"/>
  </r>
  <r>
    <x v="2"/>
    <x v="62"/>
    <n v="0"/>
    <s v="Interval Data Profile"/>
    <x v="0"/>
  </r>
  <r>
    <x v="2"/>
    <x v="63"/>
    <n v="0"/>
    <s v="Interval Value Set"/>
    <x v="0"/>
  </r>
  <r>
    <x v="2"/>
    <x v="64"/>
    <n v="0"/>
    <s v="Item"/>
    <x v="0"/>
  </r>
  <r>
    <x v="2"/>
    <x v="65"/>
    <n v="0"/>
    <s v="Item Type SQ Estimate"/>
    <x v="0"/>
  </r>
  <r>
    <x v="2"/>
    <x v="66"/>
    <n v="2423"/>
    <s v="Landlord Agreement"/>
    <x v="0"/>
  </r>
  <r>
    <x v="2"/>
    <x v="67"/>
    <n v="0"/>
    <s v="Match Event"/>
    <x v="0"/>
  </r>
  <r>
    <x v="2"/>
    <x v="68"/>
    <n v="0"/>
    <s v="Meter Read"/>
    <x v="0"/>
  </r>
  <r>
    <x v="2"/>
    <x v="69"/>
    <n v="0"/>
    <s v="Meter Read Download Staging"/>
    <x v="0"/>
  </r>
  <r>
    <x v="2"/>
    <x v="70"/>
    <n v="0"/>
    <s v="Meter Read Upload Staging"/>
    <x v="0"/>
  </r>
  <r>
    <x v="2"/>
    <x v="71"/>
    <n v="815772"/>
    <s v="Message Log"/>
    <x v="0"/>
  </r>
  <r>
    <x v="2"/>
    <x v="72"/>
    <n v="0"/>
    <s v="Meter"/>
    <x v="0"/>
  </r>
  <r>
    <x v="2"/>
    <x v="73"/>
    <n v="0"/>
    <s v="Meter Configuration"/>
    <x v="0"/>
  </r>
  <r>
    <x v="2"/>
    <x v="74"/>
    <n v="0"/>
    <s v="Notification Download Staging"/>
    <x v="0"/>
  </r>
  <r>
    <x v="2"/>
    <x v="75"/>
    <n v="0"/>
    <s v="Notification Upload Staging"/>
    <x v="0"/>
  </r>
  <r>
    <x v="2"/>
    <x v="76"/>
    <n v="0"/>
    <s v="NT Upload Staging Extension Sample"/>
    <x v="0"/>
  </r>
  <r>
    <x v="2"/>
    <x v="77"/>
    <n v="0"/>
    <s v="Overdue Process"/>
    <x v="0"/>
  </r>
  <r>
    <x v="2"/>
    <x v="78"/>
    <n v="537659"/>
    <s v="Payment Header"/>
    <x v="0"/>
  </r>
  <r>
    <x v="2"/>
    <x v="79"/>
    <n v="537390"/>
    <s v="Payment Event"/>
    <x v="0"/>
  </r>
  <r>
    <x v="2"/>
    <x v="80"/>
    <n v="1754"/>
    <s v="Payment Tender Staging"/>
    <x v="0"/>
  </r>
  <r>
    <x v="2"/>
    <x v="81"/>
    <n v="49261"/>
    <s v="Person"/>
    <x v="0"/>
  </r>
  <r>
    <x v="2"/>
    <x v="82"/>
    <n v="0"/>
    <s v="Payment Event Upload Staging"/>
    <x v="0"/>
  </r>
  <r>
    <x v="2"/>
    <x v="83"/>
    <n v="4442"/>
    <s v="Pay Plan"/>
    <x v="0"/>
  </r>
  <r>
    <x v="2"/>
    <x v="84"/>
    <n v="12006"/>
    <s v="Premise"/>
    <x v="0"/>
  </r>
  <r>
    <x v="2"/>
    <x v="85"/>
    <n v="0"/>
    <s v="Quote"/>
    <x v="0"/>
  </r>
  <r>
    <x v="2"/>
    <x v="86"/>
    <n v="0"/>
    <s v="Rebate Claim"/>
    <x v="0"/>
  </r>
  <r>
    <x v="2"/>
    <x v="87"/>
    <n v="0"/>
    <s v="Rebate Claim Line"/>
    <x v="0"/>
  </r>
  <r>
    <x v="2"/>
    <x v="88"/>
    <n v="0"/>
    <s v="Interval Register Data Set"/>
    <x v="0"/>
  </r>
  <r>
    <x v="2"/>
    <x v="89"/>
    <n v="119294"/>
    <s v="SA (Service Agreement)"/>
    <x v="0"/>
  </r>
  <r>
    <x v="2"/>
    <x v="90"/>
    <n v="0"/>
    <s v="SA Relationship"/>
    <x v="0"/>
  </r>
  <r>
    <x v="2"/>
    <x v="91"/>
    <n v="0"/>
    <s v="Service Credit Membership"/>
    <x v="0"/>
  </r>
  <r>
    <x v="2"/>
    <x v="92"/>
    <n v="0"/>
    <s v="Service Credit Event"/>
    <x v="0"/>
  </r>
  <r>
    <x v="2"/>
    <x v="93"/>
    <n v="17041"/>
    <s v="Severance Process"/>
    <x v="0"/>
  </r>
  <r>
    <x v="2"/>
    <x v="94"/>
    <n v="32598"/>
    <s v="Service Point - CCB"/>
    <x v="0"/>
  </r>
  <r>
    <x v="2"/>
    <x v="95"/>
    <n v="0"/>
    <s v="SP Item History"/>
    <x v="0"/>
  </r>
  <r>
    <x v="2"/>
    <x v="96"/>
    <n v="0"/>
    <s v="SP/Meter History"/>
    <x v="0"/>
  </r>
  <r>
    <x v="2"/>
    <x v="97"/>
    <n v="0"/>
    <s v="Stock Location"/>
    <x v="0"/>
  </r>
  <r>
    <x v="2"/>
    <x v="98"/>
    <n v="0"/>
    <s v="Statement"/>
    <x v="0"/>
  </r>
  <r>
    <x v="2"/>
    <x v="99"/>
    <n v="0"/>
    <s v="Statement Construct"/>
    <x v="0"/>
  </r>
  <r>
    <x v="2"/>
    <x v="100"/>
    <n v="0"/>
    <s v="Service Route Download Staging"/>
    <x v="0"/>
  </r>
  <r>
    <x v="2"/>
    <x v="101"/>
    <n v="612099"/>
    <s v="To Do Entry"/>
    <x v="0"/>
  </r>
  <r>
    <x v="2"/>
    <x v="102"/>
    <n v="3156"/>
    <s v="Tender Control"/>
    <x v="0"/>
  </r>
  <r>
    <x v="2"/>
    <x v="103"/>
    <n v="0"/>
    <s v="Terms of Service"/>
    <x v="0"/>
  </r>
  <r>
    <x v="2"/>
    <x v="104"/>
    <n v="0"/>
    <s v="TOU Data Set"/>
    <x v="0"/>
  </r>
  <r>
    <x v="2"/>
    <x v="105"/>
    <n v="0"/>
    <s v="Time Of Use Map Classic"/>
    <x v="0"/>
  </r>
  <r>
    <x v="2"/>
    <x v="106"/>
    <n v="0"/>
    <s v="Trend"/>
    <x v="0"/>
  </r>
  <r>
    <x v="2"/>
    <x v="107"/>
    <n v="0"/>
    <s v="Umbrella Agreement"/>
    <x v="0"/>
  </r>
  <r>
    <x v="2"/>
    <x v="108"/>
    <n v="0"/>
    <s v="Validation Error"/>
    <x v="0"/>
  </r>
  <r>
    <x v="2"/>
    <x v="109"/>
    <n v="0"/>
    <s v="Validation Error Foreign Keys"/>
    <x v="0"/>
  </r>
  <r>
    <x v="2"/>
    <x v="110"/>
    <n v="0"/>
    <s v="WF Process"/>
    <x v="0"/>
  </r>
  <r>
    <x v="2"/>
    <x v="111"/>
    <n v="3303"/>
    <s v="Write Off Process"/>
    <x v="0"/>
  </r>
  <r>
    <x v="2"/>
    <x v="112"/>
    <n v="0"/>
    <s v="XAI Download"/>
    <x v="0"/>
  </r>
  <r>
    <x v="2"/>
    <x v="113"/>
    <n v="0"/>
    <s v="XAI Upload Staging"/>
    <x v="0"/>
  </r>
  <r>
    <x v="2"/>
    <x v="114"/>
    <n v="0"/>
    <s v="XAI Staging Control"/>
    <x v="0"/>
  </r>
  <r>
    <x v="2"/>
    <x v="115"/>
    <n v="449631"/>
    <s v="Activity"/>
    <x v="0"/>
  </r>
  <r>
    <x v="2"/>
    <x v="116"/>
    <n v="0"/>
    <s v="Attribute Data Snapshot"/>
    <x v="0"/>
  </r>
  <r>
    <x v="2"/>
    <x v="117"/>
    <n v="0"/>
    <s v="Aggregation Group Run"/>
    <x v="0"/>
  </r>
  <r>
    <x v="2"/>
    <x v="118"/>
    <n v="0"/>
    <s v="Aggregation Measurement"/>
    <x v="0"/>
  </r>
  <r>
    <x v="2"/>
    <x v="119"/>
    <n v="0"/>
    <s v="Attribute Values"/>
    <x v="0"/>
  </r>
  <r>
    <x v="2"/>
    <x v="120"/>
    <n v="8493"/>
    <s v="Communication In"/>
    <x v="0"/>
  </r>
  <r>
    <x v="2"/>
    <x v="121"/>
    <n v="17280"/>
    <s v="Communication Out"/>
    <x v="0"/>
  </r>
  <r>
    <x v="2"/>
    <x v="122"/>
    <n v="9230"/>
    <s v="Completion Event"/>
    <x v="0"/>
  </r>
  <r>
    <x v="2"/>
    <x v="123"/>
    <n v="49264"/>
    <s v="Contact"/>
    <x v="1"/>
  </r>
  <r>
    <x v="2"/>
    <x v="124"/>
    <n v="50796"/>
    <s v="Device"/>
    <x v="0"/>
  </r>
  <r>
    <x v="2"/>
    <x v="125"/>
    <n v="24760"/>
    <s v="Device Configuration"/>
    <x v="0"/>
  </r>
  <r>
    <x v="2"/>
    <x v="126"/>
    <n v="2921"/>
    <s v="Device Event"/>
    <x v="0"/>
  </r>
  <r>
    <x v="2"/>
    <x v="127"/>
    <n v="0"/>
    <s v="Dynamic Option"/>
    <x v="0"/>
  </r>
  <r>
    <x v="2"/>
    <x v="128"/>
    <n v="0"/>
    <s v="Dynamic Option Event"/>
    <x v="0"/>
  </r>
  <r>
    <x v="2"/>
    <x v="129"/>
    <n v="0"/>
    <s v="Facility"/>
    <x v="0"/>
  </r>
  <r>
    <x v="2"/>
    <x v="130"/>
    <n v="442532"/>
    <s v="Initial Measurement Data"/>
    <x v="0"/>
  </r>
  <r>
    <x v="2"/>
    <x v="131"/>
    <n v="0"/>
    <s v="Initial Measurement Snapshot"/>
    <x v="0"/>
  </r>
  <r>
    <x v="2"/>
    <x v="132"/>
    <n v="23616"/>
    <s v="Install Event"/>
    <x v="0"/>
  </r>
  <r>
    <x v="2"/>
    <x v="133"/>
    <n v="0"/>
    <s v="Interval Snapshot Mapping"/>
    <x v="0"/>
  </r>
  <r>
    <x v="2"/>
    <x v="134"/>
    <n v="0"/>
    <s v="MC Comparison Period"/>
    <x v="0"/>
  </r>
  <r>
    <x v="2"/>
    <x v="135"/>
    <n v="0"/>
    <s v="Measurement Data Snapshot Interval"/>
    <x v="0"/>
  </r>
  <r>
    <x v="2"/>
    <x v="136"/>
    <n v="0"/>
    <s v="Measurement Data Snapshot Scalar"/>
    <x v="0"/>
  </r>
  <r>
    <x v="2"/>
    <x v="137"/>
    <n v="26177"/>
    <s v="Measuring Component"/>
    <x v="0"/>
  </r>
  <r>
    <x v="2"/>
    <x v="138"/>
    <n v="0"/>
    <s v="Market Award"/>
    <x v="0"/>
  </r>
  <r>
    <x v="2"/>
    <x v="139"/>
    <n v="0"/>
    <s v="Market Contract"/>
    <x v="0"/>
  </r>
  <r>
    <x v="2"/>
    <x v="140"/>
    <n v="0"/>
    <s v="Market Product"/>
    <x v="0"/>
  </r>
  <r>
    <x v="2"/>
    <x v="141"/>
    <n v="0"/>
    <s v="Registration Point"/>
    <x v="0"/>
  </r>
  <r>
    <x v="2"/>
    <x v="142"/>
    <n v="1437398"/>
    <s v="Measurement"/>
    <x v="0"/>
  </r>
  <r>
    <x v="2"/>
    <x v="143"/>
    <n v="13938"/>
    <s v="Measurement Log"/>
    <x v="0"/>
  </r>
  <r>
    <x v="2"/>
    <x v="144"/>
    <n v="0"/>
    <s v="Network Location"/>
    <x v="0"/>
  </r>
  <r>
    <x v="2"/>
    <x v="145"/>
    <n v="32598"/>
    <s v="Service Point - MDM"/>
    <x v="0"/>
  </r>
  <r>
    <x v="2"/>
    <x v="146"/>
    <n v="520916"/>
    <s v="SP/Measurement Cycle Schedule Route"/>
    <x v="0"/>
  </r>
  <r>
    <x v="2"/>
    <x v="147"/>
    <n v="0"/>
    <s v="Service Point Quantity"/>
    <x v="0"/>
  </r>
  <r>
    <x v="2"/>
    <x v="148"/>
    <n v="0"/>
    <s v="Service Pont Snapshot Download"/>
    <x v="0"/>
  </r>
  <r>
    <x v="2"/>
    <x v="149"/>
    <n v="0"/>
    <s v="SP Unreported Usage Snapshot Download"/>
    <x v="0"/>
  </r>
  <r>
    <x v="2"/>
    <x v="150"/>
    <n v="0"/>
    <s v="Service Point Usage Snapshot Download"/>
    <x v="0"/>
  </r>
  <r>
    <x v="2"/>
    <x v="151"/>
    <n v="0"/>
    <s v="SP VEE Exception Snapshot Download"/>
    <x v="0"/>
  </r>
  <r>
    <x v="2"/>
    <x v="152"/>
    <n v="54699"/>
    <s v="Usage Subscription"/>
    <x v="0"/>
  </r>
  <r>
    <x v="2"/>
    <x v="153"/>
    <n v="445119"/>
    <s v="Usage"/>
    <x v="0"/>
  </r>
  <r>
    <x v="2"/>
    <x v="154"/>
    <n v="325000"/>
    <s v="Usage Transaction Exception"/>
    <x v="0"/>
  </r>
  <r>
    <x v="2"/>
    <x v="155"/>
    <n v="0"/>
    <s v="Usage Subscription Market Participant"/>
    <x v="0"/>
  </r>
  <r>
    <x v="2"/>
    <x v="156"/>
    <n v="0"/>
    <s v="Usage Subscription Quantity"/>
    <x v="0"/>
  </r>
  <r>
    <x v="2"/>
    <x v="157"/>
    <n v="0"/>
    <s v="Usage Subscription Usage Group Download"/>
    <x v="0"/>
  </r>
  <r>
    <x v="2"/>
    <x v="158"/>
    <n v="1052463"/>
    <s v="VEE Exception"/>
    <x v="0"/>
  </r>
  <r>
    <x v="2"/>
    <x v="159"/>
    <n v="0"/>
    <s v="Attachment"/>
    <x v="0"/>
  </r>
  <r>
    <x v="2"/>
    <x v="160"/>
    <n v="5"/>
    <s v="Bundle"/>
    <x v="0"/>
  </r>
  <r>
    <x v="2"/>
    <x v="161"/>
    <n v="0"/>
    <s v="Business Event Log"/>
    <x v="0"/>
  </r>
  <r>
    <x v="2"/>
    <x v="162"/>
    <n v="0"/>
    <s v="Business Flag"/>
    <x v="0"/>
  </r>
  <r>
    <x v="2"/>
    <x v="163"/>
    <n v="0"/>
    <s v="Calendar Dimension"/>
    <x v="0"/>
  </r>
  <r>
    <x v="2"/>
    <x v="164"/>
    <n v="0"/>
    <s v="Cube View"/>
    <x v="0"/>
  </r>
  <r>
    <x v="2"/>
    <x v="165"/>
    <n v="0"/>
    <s v="Deployment"/>
    <x v="0"/>
  </r>
  <r>
    <x v="2"/>
    <x v="166"/>
    <n v="0"/>
    <s v="Object Erasure Schedule"/>
    <x v="0"/>
  </r>
  <r>
    <x v="2"/>
    <x v="167"/>
    <n v="41"/>
    <s v="Fact"/>
    <x v="0"/>
  </r>
  <r>
    <x v="2"/>
    <x v="168"/>
    <n v="343765"/>
    <s v="General Process"/>
    <x v="0"/>
  </r>
  <r>
    <x v="2"/>
    <x v="169"/>
    <n v="0"/>
    <s v="General Audit"/>
    <x v="0"/>
  </r>
  <r>
    <x v="2"/>
    <x v="170"/>
    <n v="0"/>
    <s v="Mobile Data Terminal"/>
    <x v="0"/>
  </r>
  <r>
    <x v="2"/>
    <x v="171"/>
    <n v="0"/>
    <s v="Mobile Data Terminal Type"/>
    <x v="0"/>
  </r>
  <r>
    <x v="2"/>
    <x v="172"/>
    <n v="564"/>
    <s v="Migration Data Set"/>
    <x v="0"/>
  </r>
  <r>
    <x v="2"/>
    <x v="173"/>
    <n v="76876"/>
    <s v="Migration Object"/>
    <x v="0"/>
  </r>
  <r>
    <x v="2"/>
    <x v="174"/>
    <n v="7698"/>
    <s v="Migration Transaction"/>
    <x v="0"/>
  </r>
  <r>
    <x v="2"/>
    <x v="175"/>
    <n v="0"/>
    <s v="Inbound Market Message"/>
    <x v="0"/>
  </r>
  <r>
    <x v="2"/>
    <x v="176"/>
    <n v="0"/>
    <s v="Outbound Market Message"/>
    <x v="0"/>
  </r>
  <r>
    <x v="2"/>
    <x v="177"/>
    <n v="0"/>
    <s v="Market Process"/>
    <x v="0"/>
  </r>
  <r>
    <x v="2"/>
    <x v="178"/>
    <n v="0"/>
    <s v="Market Process Event"/>
    <x v="0"/>
  </r>
  <r>
    <x v="2"/>
    <x v="179"/>
    <n v="0"/>
    <s v="Object Revision"/>
    <x v="0"/>
  </r>
  <r>
    <x v="2"/>
    <x v="180"/>
    <n v="259861"/>
    <s v="Outbound Message"/>
    <x v="0"/>
  </r>
  <r>
    <x v="2"/>
    <x v="181"/>
    <n v="6545"/>
    <s v="Process Flow"/>
    <x v="0"/>
  </r>
  <r>
    <x v="2"/>
    <x v="182"/>
    <n v="0"/>
    <s v="Mobile Remote Message"/>
    <x v="0"/>
  </r>
  <r>
    <x v="2"/>
    <x v="183"/>
    <n v="3"/>
    <s v="Request"/>
    <x v="0"/>
  </r>
  <r>
    <x v="2"/>
    <x v="184"/>
    <n v="0"/>
    <s v="Statistics Snapshot"/>
    <x v="1"/>
  </r>
  <r>
    <x v="2"/>
    <x v="185"/>
    <n v="202487"/>
    <s v="Service Task"/>
    <x v="0"/>
  </r>
  <r>
    <x v="2"/>
    <x v="186"/>
    <n v="286321"/>
    <s v="Sync Request"/>
    <x v="0"/>
  </r>
  <r>
    <x v="2"/>
    <x v="187"/>
    <n v="94776"/>
    <s v="Inbound Sync Request"/>
    <x v="0"/>
  </r>
  <r>
    <x v="2"/>
    <x v="188"/>
    <n v="0"/>
    <s v="Time Dimension"/>
    <x v="0"/>
  </r>
  <r>
    <x v="2"/>
    <x v="189"/>
    <n v="0"/>
    <s v="Accept Line"/>
    <x v="0"/>
  </r>
  <r>
    <x v="2"/>
    <x v="190"/>
    <n v="24"/>
    <s v="Activity"/>
    <x v="0"/>
  </r>
  <r>
    <x v="2"/>
    <x v="191"/>
    <n v="0"/>
    <s v="Activity Construction Location"/>
    <x v="0"/>
  </r>
  <r>
    <x v="2"/>
    <x v="192"/>
    <n v="0"/>
    <s v="Activity Reconciliation"/>
    <x v="0"/>
  </r>
  <r>
    <x v="2"/>
    <x v="193"/>
    <n v="0"/>
    <s v="Activity Resource Requirement"/>
    <x v="0"/>
  </r>
  <r>
    <x v="2"/>
    <x v="194"/>
    <n v="0"/>
    <s v="Cost Adjustment"/>
    <x v="0"/>
  </r>
  <r>
    <x v="2"/>
    <x v="195"/>
    <n v="0"/>
    <s v="Approval Request"/>
    <x v="0"/>
  </r>
  <r>
    <x v="2"/>
    <x v="196"/>
    <n v="50791"/>
    <s v="Asset"/>
    <x v="0"/>
  </r>
  <r>
    <x v="2"/>
    <x v="197"/>
    <n v="0"/>
    <s v="Blanket Contract Header"/>
    <x v="0"/>
  </r>
  <r>
    <x v="2"/>
    <x v="198"/>
    <n v="0"/>
    <s v="Blanket Contract Line"/>
    <x v="0"/>
  </r>
  <r>
    <x v="2"/>
    <x v="199"/>
    <n v="0"/>
    <s v="Bill of Materials Part"/>
    <x v="0"/>
  </r>
  <r>
    <x v="2"/>
    <x v="200"/>
    <n v="0"/>
    <s v="Change Request"/>
    <x v="0"/>
  </r>
  <r>
    <x v="2"/>
    <x v="201"/>
    <n v="0"/>
    <s v="Checklist"/>
    <x v="0"/>
  </r>
  <r>
    <x v="2"/>
    <x v="202"/>
    <n v="24"/>
    <s v="Completion Event"/>
    <x v="0"/>
  </r>
  <r>
    <x v="2"/>
    <x v="203"/>
    <n v="0"/>
    <s v="Communication"/>
    <x v="0"/>
  </r>
  <r>
    <x v="2"/>
    <x v="204"/>
    <n v="0"/>
    <s v="Communication In"/>
    <x v="0"/>
  </r>
  <r>
    <x v="2"/>
    <x v="205"/>
    <n v="0"/>
    <s v="Configuration"/>
    <x v="0"/>
  </r>
  <r>
    <x v="2"/>
    <x v="206"/>
    <n v="0"/>
    <s v="Configuration Report"/>
    <x v="0"/>
  </r>
  <r>
    <x v="2"/>
    <x v="207"/>
    <n v="48019"/>
    <s v="Contact"/>
    <x v="0"/>
  </r>
  <r>
    <x v="2"/>
    <x v="208"/>
    <n v="0"/>
    <s v="Crew"/>
    <x v="0"/>
  </r>
  <r>
    <x v="2"/>
    <x v="209"/>
    <n v="0"/>
    <s v="Crew Shift"/>
    <x v="0"/>
  </r>
  <r>
    <x v="2"/>
    <x v="210"/>
    <n v="0"/>
    <s v="Compatible Unit"/>
    <x v="0"/>
  </r>
  <r>
    <x v="2"/>
    <x v="211"/>
    <n v="0"/>
    <s v="CU Contractor Bid"/>
    <x v="0"/>
  </r>
  <r>
    <x v="2"/>
    <x v="212"/>
    <n v="0"/>
    <s v="Design Element"/>
    <x v="0"/>
  </r>
  <r>
    <x v="2"/>
    <x v="213"/>
    <n v="0"/>
    <s v="Document"/>
    <x v="0"/>
  </r>
  <r>
    <x v="2"/>
    <x v="214"/>
    <n v="0"/>
    <s v="Employee"/>
    <x v="0"/>
  </r>
  <r>
    <x v="2"/>
    <x v="215"/>
    <n v="0"/>
    <s v="Employee Unavailability"/>
    <x v="0"/>
  </r>
  <r>
    <x v="2"/>
    <x v="216"/>
    <n v="0"/>
    <s v="Expedite Purchase Order"/>
    <x v="2"/>
  </r>
  <r>
    <x v="2"/>
    <x v="217"/>
    <n v="0"/>
    <s v="Financial Transaction"/>
    <x v="0"/>
  </r>
  <r>
    <x v="2"/>
    <x v="218"/>
    <n v="0"/>
    <s v="Invoice Group"/>
    <x v="0"/>
  </r>
  <r>
    <x v="2"/>
    <x v="219"/>
    <n v="0"/>
    <s v="Invoice Header"/>
    <x v="0"/>
  </r>
  <r>
    <x v="2"/>
    <x v="220"/>
    <n v="0"/>
    <s v="Invoice Line"/>
    <x v="0"/>
  </r>
  <r>
    <x v="2"/>
    <x v="221"/>
    <n v="0"/>
    <s v="Inventory Adjustment"/>
    <x v="0"/>
  </r>
  <r>
    <x v="2"/>
    <x v="222"/>
    <n v="0"/>
    <s v="Maintenance Event"/>
    <x v="0"/>
  </r>
  <r>
    <x v="2"/>
    <x v="223"/>
    <n v="0"/>
    <s v="Maintenance Schedule"/>
    <x v="0"/>
  </r>
  <r>
    <x v="2"/>
    <x v="224"/>
    <n v="0"/>
    <s v="Maintenance Trigger"/>
    <x v="0"/>
  </r>
  <r>
    <x v="2"/>
    <x v="225"/>
    <n v="0"/>
    <s v="Material Disposition"/>
    <x v="0"/>
  </r>
  <r>
    <x v="2"/>
    <x v="226"/>
    <n v="0"/>
    <s v="Material Issue Line"/>
    <x v="0"/>
  </r>
  <r>
    <x v="2"/>
    <x v="227"/>
    <n v="0"/>
    <s v="Material Request Header"/>
    <x v="0"/>
  </r>
  <r>
    <x v="2"/>
    <x v="228"/>
    <n v="0"/>
    <s v="Material Request Line"/>
    <x v="0"/>
  </r>
  <r>
    <x v="2"/>
    <x v="229"/>
    <n v="0"/>
    <s v="Material Request Template"/>
    <x v="0"/>
  </r>
  <r>
    <x v="2"/>
    <x v="230"/>
    <n v="0"/>
    <s v="Material Return Header"/>
    <x v="0"/>
  </r>
  <r>
    <x v="2"/>
    <x v="231"/>
    <n v="0"/>
    <s v="Material Return Line"/>
    <x v="0"/>
  </r>
  <r>
    <x v="2"/>
    <x v="232"/>
    <n v="0"/>
    <s v="Measurement"/>
    <x v="0"/>
  </r>
  <r>
    <x v="2"/>
    <x v="233"/>
    <n v="0"/>
    <s v="Mobile Subscription"/>
    <x v="0"/>
  </r>
  <r>
    <x v="2"/>
    <x v="234"/>
    <n v="32603"/>
    <s v="Location/Organization"/>
    <x v="0"/>
  </r>
  <r>
    <x v="2"/>
    <x v="235"/>
    <n v="0"/>
    <s v="Other Direct Charges"/>
    <x v="0"/>
  </r>
  <r>
    <x v="2"/>
    <x v="236"/>
    <n v="0"/>
    <s v="Other Direct Charges Detail"/>
    <x v="0"/>
  </r>
  <r>
    <x v="2"/>
    <x v="237"/>
    <n v="0"/>
    <s v="Permit"/>
    <x v="0"/>
  </r>
  <r>
    <x v="2"/>
    <x v="238"/>
    <n v="0"/>
    <s v="Physical Inventory Count Line"/>
    <x v="0"/>
  </r>
  <r>
    <x v="2"/>
    <x v="239"/>
    <n v="0"/>
    <s v="Physical Inventory Count Master"/>
    <x v="0"/>
  </r>
  <r>
    <x v="2"/>
    <x v="240"/>
    <n v="0"/>
    <s v="Physical Inventory Header"/>
    <x v="0"/>
  </r>
  <r>
    <x v="2"/>
    <x v="241"/>
    <n v="0"/>
    <s v="Purchase Order Header"/>
    <x v="0"/>
  </r>
  <r>
    <x v="2"/>
    <x v="242"/>
    <n v="0"/>
    <s v="Purchase Order Line"/>
    <x v="0"/>
  </r>
  <r>
    <x v="2"/>
    <x v="243"/>
    <n v="0"/>
    <s v="Functional Process"/>
    <x v="0"/>
  </r>
  <r>
    <x v="2"/>
    <x v="244"/>
    <n v="0"/>
    <s v="Project"/>
    <x v="0"/>
  </r>
  <r>
    <x v="2"/>
    <x v="245"/>
    <n v="0"/>
    <s v="Purchase Requisition Header"/>
    <x v="0"/>
  </r>
  <r>
    <x v="2"/>
    <x v="246"/>
    <n v="0"/>
    <s v="Purchase Requisition Line"/>
    <x v="0"/>
  </r>
  <r>
    <x v="2"/>
    <x v="247"/>
    <n v="0"/>
    <s v="Receipt Header"/>
    <x v="0"/>
  </r>
  <r>
    <x v="2"/>
    <x v="248"/>
    <n v="0"/>
    <s v="Receipt Line"/>
    <x v="0"/>
  </r>
  <r>
    <x v="2"/>
    <x v="249"/>
    <n v="0"/>
    <s v="Report Queue"/>
    <x v="0"/>
  </r>
  <r>
    <x v="2"/>
    <x v="250"/>
    <n v="0"/>
    <s v="Resource Type"/>
    <x v="0"/>
  </r>
  <r>
    <x v="2"/>
    <x v="251"/>
    <n v="0"/>
    <s v="Reorder Review"/>
    <x v="0"/>
  </r>
  <r>
    <x v="2"/>
    <x v="252"/>
    <n v="0"/>
    <s v="Return Line"/>
    <x v="0"/>
  </r>
  <r>
    <x v="2"/>
    <x v="253"/>
    <n v="0"/>
    <s v="Shift Weekly Template"/>
    <x v="0"/>
  </r>
  <r>
    <x v="2"/>
    <x v="254"/>
    <n v="0"/>
    <s v="Shipping Line"/>
    <x v="0"/>
  </r>
  <r>
    <x v="2"/>
    <x v="255"/>
    <n v="0"/>
    <s v="Shipping Memo"/>
    <x v="0"/>
  </r>
  <r>
    <x v="2"/>
    <x v="256"/>
    <n v="0"/>
    <s v="Stock Item Detail"/>
    <x v="0"/>
  </r>
  <r>
    <x v="2"/>
    <x v="257"/>
    <n v="0"/>
    <s v="Stock Transaction"/>
    <x v="0"/>
  </r>
  <r>
    <x v="2"/>
    <x v="258"/>
    <n v="0"/>
    <s v="Service History"/>
    <x v="0"/>
  </r>
  <r>
    <x v="2"/>
    <x v="259"/>
    <n v="0"/>
    <s v="Timesheet"/>
    <x v="0"/>
  </r>
  <r>
    <x v="2"/>
    <x v="260"/>
    <n v="0"/>
    <s v="Timesheet Detail"/>
    <x v="0"/>
  </r>
  <r>
    <x v="2"/>
    <x v="261"/>
    <n v="0"/>
    <s v="Template Activity"/>
    <x v="0"/>
  </r>
  <r>
    <x v="2"/>
    <x v="262"/>
    <n v="0"/>
    <s v="Template Activity Resource"/>
    <x v="0"/>
  </r>
  <r>
    <x v="2"/>
    <x v="263"/>
    <n v="0"/>
    <s v="Template Work Order"/>
    <x v="0"/>
  </r>
  <r>
    <x v="2"/>
    <x v="264"/>
    <n v="0"/>
    <s v="Vendor"/>
    <x v="0"/>
  </r>
  <r>
    <x v="2"/>
    <x v="265"/>
    <n v="0"/>
    <s v="Vendor Location"/>
    <x v="0"/>
  </r>
  <r>
    <x v="2"/>
    <x v="266"/>
    <n v="0"/>
    <s v="Warranty"/>
    <x v="0"/>
  </r>
  <r>
    <x v="2"/>
    <x v="267"/>
    <n v="0"/>
    <s v="Work Order"/>
    <x v="0"/>
  </r>
  <r>
    <x v="2"/>
    <x v="268"/>
    <n v="0"/>
    <s v="Work Design"/>
    <x v="0"/>
  </r>
  <r>
    <x v="2"/>
    <x v="269"/>
    <n v="0"/>
    <s v="Work Location"/>
    <x v="0"/>
  </r>
  <r>
    <x v="2"/>
    <x v="270"/>
    <n v="0"/>
    <s v="Work Request"/>
    <x v="0"/>
  </r>
  <r>
    <x v="3"/>
    <x v="0"/>
    <n v="0"/>
    <s v="Financial Transaction GL Monthly Aggregate"/>
    <x v="0"/>
  </r>
  <r>
    <x v="3"/>
    <x v="1"/>
    <n v="0"/>
    <s v="Financial Transaction Monthly Aggregate"/>
    <x v="0"/>
  </r>
  <r>
    <x v="3"/>
    <x v="2"/>
    <n v="0"/>
    <s v="SA Arrears Snapshot"/>
    <x v="0"/>
  </r>
  <r>
    <x v="3"/>
    <x v="3"/>
    <n v="0"/>
    <s v="Consumer Contract"/>
    <x v="0"/>
  </r>
  <r>
    <x v="3"/>
    <x v="4"/>
    <n v="5286"/>
    <s v="Customer Service Request"/>
    <x v="0"/>
  </r>
  <r>
    <x v="3"/>
    <x v="5"/>
    <n v="4856"/>
    <s v="Customer Service Request Account"/>
    <x v="0"/>
  </r>
  <r>
    <x v="3"/>
    <x v="6"/>
    <n v="0"/>
    <s v="Customer Service Request Consumer Contract"/>
    <x v="0"/>
  </r>
  <r>
    <x v="3"/>
    <x v="7"/>
    <n v="0"/>
    <s v="Customer Service Request Contract Product"/>
    <x v="0"/>
  </r>
  <r>
    <x v="3"/>
    <x v="8"/>
    <n v="5079"/>
    <s v="Customer Service Request Person"/>
    <x v="0"/>
  </r>
  <r>
    <x v="3"/>
    <x v="9"/>
    <n v="4766"/>
    <s v="Customer Service Request Premise"/>
    <x v="0"/>
  </r>
  <r>
    <x v="3"/>
    <x v="10"/>
    <n v="14404"/>
    <s v="Customer Service Request SA"/>
    <x v="0"/>
  </r>
  <r>
    <x v="3"/>
    <x v="11"/>
    <n v="0"/>
    <s v="Customer Service Request Service Location"/>
    <x v="0"/>
  </r>
  <r>
    <x v="3"/>
    <x v="12"/>
    <n v="0"/>
    <s v="Customer Relationship Request"/>
    <x v="0"/>
  </r>
  <r>
    <x v="3"/>
    <x v="13"/>
    <n v="0"/>
    <s v="Lead"/>
    <x v="0"/>
  </r>
  <r>
    <x v="3"/>
    <x v="14"/>
    <n v="0"/>
    <s v="Lead Event"/>
    <x v="0"/>
  </r>
  <r>
    <x v="3"/>
    <x v="15"/>
    <n v="0"/>
    <s v="Market Charge"/>
    <x v="0"/>
  </r>
  <r>
    <x v="3"/>
    <x v="16"/>
    <n v="0"/>
    <s v="Market Payment"/>
    <x v="0"/>
  </r>
  <r>
    <x v="3"/>
    <x v="17"/>
    <n v="0"/>
    <s v="Market Usage"/>
    <x v="0"/>
  </r>
  <r>
    <x v="3"/>
    <x v="18"/>
    <n v="0"/>
    <s v="Registration Point"/>
    <x v="0"/>
  </r>
  <r>
    <x v="3"/>
    <x v="19"/>
    <n v="0"/>
    <s v="Communication Preference"/>
    <x v="0"/>
  </r>
  <r>
    <x v="3"/>
    <x v="20"/>
    <n v="169"/>
    <s v="Off Cycle Bill Generator"/>
    <x v="0"/>
  </r>
  <r>
    <x v="3"/>
    <x v="21"/>
    <n v="0"/>
    <s v="Payment Arrangement Request"/>
    <x v="0"/>
  </r>
  <r>
    <x v="3"/>
    <x v="22"/>
    <n v="2173379"/>
    <s v="Usage"/>
    <x v="0"/>
  </r>
  <r>
    <x v="3"/>
    <x v="23"/>
    <n v="0"/>
    <s v="Web User"/>
    <x v="0"/>
  </r>
  <r>
    <x v="3"/>
    <x v="24"/>
    <n v="0"/>
    <s v="Web User Account"/>
    <x v="0"/>
  </r>
  <r>
    <x v="3"/>
    <x v="25"/>
    <n v="29496"/>
    <s v="Account"/>
    <x v="0"/>
  </r>
  <r>
    <x v="3"/>
    <x v="26"/>
    <n v="557276"/>
    <s v="Adjustment"/>
    <x v="0"/>
  </r>
  <r>
    <x v="3"/>
    <x v="27"/>
    <n v="5"/>
    <s v="Adjustment Staging Control"/>
    <x v="0"/>
  </r>
  <r>
    <x v="3"/>
    <x v="28"/>
    <n v="22839"/>
    <s v="Adjustment Upload"/>
    <x v="0"/>
  </r>
  <r>
    <x v="3"/>
    <x v="29"/>
    <n v="0"/>
    <s v="Activity Request"/>
    <x v="0"/>
  </r>
  <r>
    <x v="3"/>
    <x v="30"/>
    <n v="4252"/>
    <s v="Approval Request"/>
    <x v="0"/>
  </r>
  <r>
    <x v="3"/>
    <x v="31"/>
    <n v="0"/>
    <s v="Audit"/>
    <x v="0"/>
  </r>
  <r>
    <x v="3"/>
    <x v="32"/>
    <n v="21"/>
    <s v="Balance Control Group"/>
    <x v="0"/>
  </r>
  <r>
    <x v="3"/>
    <x v="33"/>
    <n v="1319"/>
    <s v="Batch Job Ad-Hoc Queues"/>
    <x v="0"/>
  </r>
  <r>
    <x v="3"/>
    <x v="34"/>
    <n v="446935"/>
    <s v="Batch Run"/>
    <x v="0"/>
  </r>
  <r>
    <x v="3"/>
    <x v="35"/>
    <n v="0"/>
    <s v="Billable Charge Upload"/>
    <x v="0"/>
  </r>
  <r>
    <x v="3"/>
    <x v="36"/>
    <n v="467909"/>
    <s v="Bill Header"/>
    <x v="0"/>
  </r>
  <r>
    <x v="3"/>
    <x v="37"/>
    <n v="9626"/>
    <s v="Billable Charge"/>
    <x v="0"/>
  </r>
  <r>
    <x v="3"/>
    <x v="38"/>
    <n v="0"/>
    <s v="Bill Review Schedule"/>
    <x v="0"/>
  </r>
  <r>
    <x v="3"/>
    <x v="39"/>
    <n v="0"/>
    <s v="Bill Print Group"/>
    <x v="0"/>
  </r>
  <r>
    <x v="3"/>
    <x v="40"/>
    <n v="1428974"/>
    <s v="Bill Segment"/>
    <x v="0"/>
  </r>
  <r>
    <x v="3"/>
    <x v="41"/>
    <n v="0"/>
    <s v="Budget Review"/>
    <x v="0"/>
  </r>
  <r>
    <x v="3"/>
    <x v="42"/>
    <n v="8"/>
    <s v="Case"/>
    <x v="0"/>
  </r>
  <r>
    <x v="3"/>
    <x v="43"/>
    <n v="22886"/>
    <s v="Customer Contact"/>
    <x v="0"/>
  </r>
  <r>
    <x v="3"/>
    <x v="44"/>
    <n v="0"/>
    <s v="Collection Agency Referral"/>
    <x v="0"/>
  </r>
  <r>
    <x v="3"/>
    <x v="45"/>
    <n v="6114"/>
    <s v="Collection Process"/>
    <x v="0"/>
  </r>
  <r>
    <x v="3"/>
    <x v="46"/>
    <n v="0"/>
    <s v="Contract Option  "/>
    <x v="0"/>
  </r>
  <r>
    <x v="3"/>
    <x v="47"/>
    <n v="0"/>
    <s v="Contract Option Event"/>
    <x v="0"/>
  </r>
  <r>
    <x v="3"/>
    <x v="48"/>
    <n v="0"/>
    <s v="Cut Process"/>
    <x v="0"/>
  </r>
  <r>
    <x v="3"/>
    <x v="49"/>
    <n v="0"/>
    <s v="Declaration"/>
    <x v="0"/>
  </r>
  <r>
    <x v="3"/>
    <x v="50"/>
    <n v="1495"/>
    <s v="Deposit Control"/>
    <x v="0"/>
  </r>
  <r>
    <x v="3"/>
    <x v="51"/>
    <n v="47"/>
    <s v="Deposit Control Staging"/>
    <x v="0"/>
  </r>
  <r>
    <x v="3"/>
    <x v="52"/>
    <n v="0"/>
    <s v="Deposit Review"/>
    <x v="0"/>
  </r>
  <r>
    <x v="3"/>
    <x v="53"/>
    <n v="0"/>
    <s v="Device Test"/>
    <x v="0"/>
  </r>
  <r>
    <x v="3"/>
    <x v="54"/>
    <n v="0"/>
    <s v="Device Test Selection"/>
    <x v="0"/>
  </r>
  <r>
    <x v="3"/>
    <x v="55"/>
    <n v="0"/>
    <s v="Order"/>
    <x v="0"/>
  </r>
  <r>
    <x v="3"/>
    <x v="56"/>
    <n v="20033"/>
    <s v="Field Activity"/>
    <x v="0"/>
  </r>
  <r>
    <x v="3"/>
    <x v="57"/>
    <n v="0"/>
    <s v="FA Upload Staging"/>
    <x v="0"/>
  </r>
  <r>
    <x v="3"/>
    <x v="58"/>
    <n v="0"/>
    <s v="Field Order"/>
    <x v="0"/>
  </r>
  <r>
    <x v="3"/>
    <x v="59"/>
    <n v="0"/>
    <s v="Field Order Download Staging"/>
    <x v="0"/>
  </r>
  <r>
    <x v="3"/>
    <x v="60"/>
    <n v="3665021"/>
    <s v="Financial Transaction"/>
    <x v="0"/>
  </r>
  <r>
    <x v="3"/>
    <x v="61"/>
    <n v="0"/>
    <s v="Interval Data Set"/>
    <x v="0"/>
  </r>
  <r>
    <x v="3"/>
    <x v="62"/>
    <n v="0"/>
    <s v="Interval Data Profile"/>
    <x v="0"/>
  </r>
  <r>
    <x v="3"/>
    <x v="63"/>
    <n v="0"/>
    <s v="Interval Value Set"/>
    <x v="0"/>
  </r>
  <r>
    <x v="3"/>
    <x v="64"/>
    <n v="0"/>
    <s v="Item"/>
    <x v="0"/>
  </r>
  <r>
    <x v="3"/>
    <x v="65"/>
    <n v="0"/>
    <s v="Item Type SQ Estimate"/>
    <x v="0"/>
  </r>
  <r>
    <x v="3"/>
    <x v="66"/>
    <n v="0"/>
    <s v="Landlord Agreement"/>
    <x v="0"/>
  </r>
  <r>
    <x v="3"/>
    <x v="67"/>
    <n v="0"/>
    <s v="Match Event"/>
    <x v="0"/>
  </r>
  <r>
    <x v="3"/>
    <x v="68"/>
    <n v="0"/>
    <s v="Meter Read"/>
    <x v="0"/>
  </r>
  <r>
    <x v="3"/>
    <x v="69"/>
    <n v="0"/>
    <s v="Meter Read Download Staging"/>
    <x v="0"/>
  </r>
  <r>
    <x v="3"/>
    <x v="70"/>
    <n v="0"/>
    <s v="Meter Read Upload Staging"/>
    <x v="0"/>
  </r>
  <r>
    <x v="3"/>
    <x v="71"/>
    <n v="987729"/>
    <s v="Message Log"/>
    <x v="0"/>
  </r>
  <r>
    <x v="3"/>
    <x v="72"/>
    <n v="0"/>
    <s v="Meter"/>
    <x v="0"/>
  </r>
  <r>
    <x v="3"/>
    <x v="73"/>
    <n v="0"/>
    <s v="Meter Configuration"/>
    <x v="0"/>
  </r>
  <r>
    <x v="3"/>
    <x v="74"/>
    <n v="0"/>
    <s v="Notification Download Staging"/>
    <x v="0"/>
  </r>
  <r>
    <x v="3"/>
    <x v="75"/>
    <n v="0"/>
    <s v="Notification Upload Staging"/>
    <x v="0"/>
  </r>
  <r>
    <x v="3"/>
    <x v="76"/>
    <n v="0"/>
    <s v="NT Upload Staging Extension Sample"/>
    <x v="0"/>
  </r>
  <r>
    <x v="3"/>
    <x v="77"/>
    <n v="0"/>
    <s v="Overdue Process"/>
    <x v="0"/>
  </r>
  <r>
    <x v="3"/>
    <x v="78"/>
    <n v="455524"/>
    <s v="Payment Header"/>
    <x v="0"/>
  </r>
  <r>
    <x v="3"/>
    <x v="79"/>
    <n v="450702"/>
    <s v="Payment Event"/>
    <x v="0"/>
  </r>
  <r>
    <x v="3"/>
    <x v="80"/>
    <n v="388"/>
    <s v="Payment Tender Staging"/>
    <x v="0"/>
  </r>
  <r>
    <x v="3"/>
    <x v="81"/>
    <n v="25395"/>
    <s v="Person"/>
    <x v="0"/>
  </r>
  <r>
    <x v="3"/>
    <x v="82"/>
    <n v="0"/>
    <s v="Payment Event Upload Staging"/>
    <x v="0"/>
  </r>
  <r>
    <x v="3"/>
    <x v="83"/>
    <n v="16"/>
    <s v="Pay Plan"/>
    <x v="0"/>
  </r>
  <r>
    <x v="3"/>
    <x v="84"/>
    <n v="16282"/>
    <s v="Premise"/>
    <x v="0"/>
  </r>
  <r>
    <x v="3"/>
    <x v="85"/>
    <n v="0"/>
    <s v="Quote"/>
    <x v="0"/>
  </r>
  <r>
    <x v="3"/>
    <x v="86"/>
    <n v="0"/>
    <s v="Rebate Claim"/>
    <x v="0"/>
  </r>
  <r>
    <x v="3"/>
    <x v="87"/>
    <n v="0"/>
    <s v="Rebate Claim Line"/>
    <x v="0"/>
  </r>
  <r>
    <x v="3"/>
    <x v="88"/>
    <n v="0"/>
    <s v="Interval Register Data Set"/>
    <x v="0"/>
  </r>
  <r>
    <x v="3"/>
    <x v="89"/>
    <n v="144153"/>
    <s v="SA (Service Agreement)"/>
    <x v="0"/>
  </r>
  <r>
    <x v="3"/>
    <x v="90"/>
    <n v="0"/>
    <s v="SA Relationship"/>
    <x v="0"/>
  </r>
  <r>
    <x v="3"/>
    <x v="91"/>
    <n v="0"/>
    <s v="Service Credit Membership"/>
    <x v="0"/>
  </r>
  <r>
    <x v="3"/>
    <x v="92"/>
    <n v="0"/>
    <s v="Service Credit Event"/>
    <x v="0"/>
  </r>
  <r>
    <x v="3"/>
    <x v="93"/>
    <n v="0"/>
    <s v="Severance Process"/>
    <x v="0"/>
  </r>
  <r>
    <x v="3"/>
    <x v="94"/>
    <n v="17674"/>
    <s v="Service Point - CCB"/>
    <x v="0"/>
  </r>
  <r>
    <x v="3"/>
    <x v="95"/>
    <n v="0"/>
    <s v="SP Item History"/>
    <x v="0"/>
  </r>
  <r>
    <x v="3"/>
    <x v="96"/>
    <n v="0"/>
    <s v="SP/Meter History"/>
    <x v="0"/>
  </r>
  <r>
    <x v="3"/>
    <x v="97"/>
    <n v="0"/>
    <s v="Stock Location"/>
    <x v="0"/>
  </r>
  <r>
    <x v="3"/>
    <x v="98"/>
    <n v="0"/>
    <s v="Statement"/>
    <x v="0"/>
  </r>
  <r>
    <x v="3"/>
    <x v="99"/>
    <n v="0"/>
    <s v="Statement Construct"/>
    <x v="0"/>
  </r>
  <r>
    <x v="3"/>
    <x v="100"/>
    <n v="0"/>
    <s v="Service Route Download Staging"/>
    <x v="0"/>
  </r>
  <r>
    <x v="3"/>
    <x v="101"/>
    <n v="41861"/>
    <s v="To Do Entry"/>
    <x v="0"/>
  </r>
  <r>
    <x v="3"/>
    <x v="102"/>
    <n v="1991"/>
    <s v="Tender Control"/>
    <x v="0"/>
  </r>
  <r>
    <x v="3"/>
    <x v="103"/>
    <n v="0"/>
    <s v="Terms of Service"/>
    <x v="0"/>
  </r>
  <r>
    <x v="3"/>
    <x v="104"/>
    <n v="0"/>
    <s v="TOU Data Set"/>
    <x v="0"/>
  </r>
  <r>
    <x v="3"/>
    <x v="105"/>
    <n v="0"/>
    <s v="Time Of Use Map Classic"/>
    <x v="0"/>
  </r>
  <r>
    <x v="3"/>
    <x v="106"/>
    <n v="0"/>
    <s v="Trend"/>
    <x v="0"/>
  </r>
  <r>
    <x v="3"/>
    <x v="107"/>
    <n v="0"/>
    <s v="Umbrella Agreement"/>
    <x v="0"/>
  </r>
  <r>
    <x v="3"/>
    <x v="108"/>
    <n v="0"/>
    <s v="Validation Error"/>
    <x v="0"/>
  </r>
  <r>
    <x v="3"/>
    <x v="109"/>
    <n v="0"/>
    <s v="Validation Error Foreign Keys"/>
    <x v="0"/>
  </r>
  <r>
    <x v="3"/>
    <x v="110"/>
    <n v="0"/>
    <s v="WF Process"/>
    <x v="0"/>
  </r>
  <r>
    <x v="3"/>
    <x v="111"/>
    <n v="777"/>
    <s v="Write Off Process"/>
    <x v="0"/>
  </r>
  <r>
    <x v="3"/>
    <x v="112"/>
    <n v="0"/>
    <s v="XAI Download"/>
    <x v="0"/>
  </r>
  <r>
    <x v="3"/>
    <x v="113"/>
    <n v="0"/>
    <s v="XAI Upload Staging"/>
    <x v="0"/>
  </r>
  <r>
    <x v="3"/>
    <x v="114"/>
    <n v="0"/>
    <s v="XAI Staging Control"/>
    <x v="0"/>
  </r>
  <r>
    <x v="3"/>
    <x v="115"/>
    <n v="20723"/>
    <s v="Activity"/>
    <x v="0"/>
  </r>
  <r>
    <x v="3"/>
    <x v="116"/>
    <n v="0"/>
    <s v="Attribute Data Snapshot"/>
    <x v="0"/>
  </r>
  <r>
    <x v="3"/>
    <x v="117"/>
    <n v="0"/>
    <s v="Aggregation Group Run"/>
    <x v="0"/>
  </r>
  <r>
    <x v="3"/>
    <x v="118"/>
    <n v="0"/>
    <s v="Aggregation Measurement"/>
    <x v="0"/>
  </r>
  <r>
    <x v="3"/>
    <x v="119"/>
    <n v="0"/>
    <s v="Attribute Values"/>
    <x v="0"/>
  </r>
  <r>
    <x v="3"/>
    <x v="120"/>
    <n v="943"/>
    <s v="Communication In"/>
    <x v="0"/>
  </r>
  <r>
    <x v="3"/>
    <x v="121"/>
    <n v="5807"/>
    <s v="Communication Out"/>
    <x v="0"/>
  </r>
  <r>
    <x v="3"/>
    <x v="122"/>
    <n v="7939"/>
    <s v="Completion Event"/>
    <x v="0"/>
  </r>
  <r>
    <x v="3"/>
    <x v="123"/>
    <n v="25399"/>
    <s v="Contact"/>
    <x v="1"/>
  </r>
  <r>
    <x v="3"/>
    <x v="124"/>
    <n v="42311"/>
    <s v="Device"/>
    <x v="0"/>
  </r>
  <r>
    <x v="3"/>
    <x v="125"/>
    <n v="25292"/>
    <s v="Device Configuration"/>
    <x v="0"/>
  </r>
  <r>
    <x v="3"/>
    <x v="126"/>
    <n v="0"/>
    <s v="Device Event"/>
    <x v="0"/>
  </r>
  <r>
    <x v="3"/>
    <x v="127"/>
    <n v="0"/>
    <s v="Dynamic Option"/>
    <x v="0"/>
  </r>
  <r>
    <x v="3"/>
    <x v="128"/>
    <n v="0"/>
    <s v="Dynamic Option Event"/>
    <x v="0"/>
  </r>
  <r>
    <x v="3"/>
    <x v="129"/>
    <n v="0"/>
    <s v="Facility"/>
    <x v="0"/>
  </r>
  <r>
    <x v="3"/>
    <x v="130"/>
    <n v="126336"/>
    <s v="Initial Measurement Data"/>
    <x v="0"/>
  </r>
  <r>
    <x v="3"/>
    <x v="131"/>
    <n v="0"/>
    <s v="Initial Measurement Snapshot"/>
    <x v="0"/>
  </r>
  <r>
    <x v="3"/>
    <x v="132"/>
    <n v="18575"/>
    <s v="Install Event"/>
    <x v="0"/>
  </r>
  <r>
    <x v="3"/>
    <x v="133"/>
    <n v="0"/>
    <s v="Interval Snapshot Mapping"/>
    <x v="0"/>
  </r>
  <r>
    <x v="3"/>
    <x v="134"/>
    <n v="0"/>
    <s v="MC Comparison Period"/>
    <x v="0"/>
  </r>
  <r>
    <x v="3"/>
    <x v="135"/>
    <n v="0"/>
    <s v="Measurement Data Snapshot Interval"/>
    <x v="0"/>
  </r>
  <r>
    <x v="3"/>
    <x v="136"/>
    <n v="0"/>
    <s v="Measurement Data Snapshot Scalar"/>
    <x v="0"/>
  </r>
  <r>
    <x v="3"/>
    <x v="137"/>
    <n v="25309"/>
    <s v="Measuring Component"/>
    <x v="0"/>
  </r>
  <r>
    <x v="3"/>
    <x v="138"/>
    <n v="0"/>
    <s v="Market Award"/>
    <x v="0"/>
  </r>
  <r>
    <x v="3"/>
    <x v="139"/>
    <n v="0"/>
    <s v="Market Contract"/>
    <x v="0"/>
  </r>
  <r>
    <x v="3"/>
    <x v="140"/>
    <n v="0"/>
    <s v="Market Product"/>
    <x v="0"/>
  </r>
  <r>
    <x v="3"/>
    <x v="141"/>
    <n v="0"/>
    <s v="Registration Point"/>
    <x v="0"/>
  </r>
  <r>
    <x v="3"/>
    <x v="142"/>
    <n v="506057"/>
    <s v="Measurement"/>
    <x v="0"/>
  </r>
  <r>
    <x v="3"/>
    <x v="143"/>
    <n v="1829"/>
    <s v="Measurement Log"/>
    <x v="0"/>
  </r>
  <r>
    <x v="3"/>
    <x v="144"/>
    <n v="0"/>
    <s v="Network Location"/>
    <x v="0"/>
  </r>
  <r>
    <x v="3"/>
    <x v="145"/>
    <n v="17674"/>
    <s v="Service Point - MDM"/>
    <x v="0"/>
  </r>
  <r>
    <x v="3"/>
    <x v="146"/>
    <n v="105410"/>
    <s v="SP/Measurement Cycle Schedule Route"/>
    <x v="0"/>
  </r>
  <r>
    <x v="3"/>
    <x v="147"/>
    <n v="0"/>
    <s v="Service Point Quantity"/>
    <x v="0"/>
  </r>
  <r>
    <x v="3"/>
    <x v="148"/>
    <n v="0"/>
    <s v="Service Pont Snapshot Download"/>
    <x v="0"/>
  </r>
  <r>
    <x v="3"/>
    <x v="149"/>
    <n v="0"/>
    <s v="SP Unreported Usage Snapshot Download"/>
    <x v="0"/>
  </r>
  <r>
    <x v="3"/>
    <x v="150"/>
    <n v="0"/>
    <s v="Service Point Usage Snapshot Download"/>
    <x v="0"/>
  </r>
  <r>
    <x v="3"/>
    <x v="151"/>
    <n v="0"/>
    <s v="SP VEE Exception Snapshot Download"/>
    <x v="0"/>
  </r>
  <r>
    <x v="3"/>
    <x v="152"/>
    <n v="59611"/>
    <s v="Usage Subscription"/>
    <x v="0"/>
  </r>
  <r>
    <x v="3"/>
    <x v="153"/>
    <n v="2151298"/>
    <s v="Usage"/>
    <x v="0"/>
  </r>
  <r>
    <x v="3"/>
    <x v="154"/>
    <n v="0"/>
    <s v="Usage Transaction Exception"/>
    <x v="0"/>
  </r>
  <r>
    <x v="3"/>
    <x v="155"/>
    <n v="0"/>
    <s v="Usage Subscription Market Participant"/>
    <x v="0"/>
  </r>
  <r>
    <x v="3"/>
    <x v="156"/>
    <n v="0"/>
    <s v="Usage Subscription Quantity"/>
    <x v="0"/>
  </r>
  <r>
    <x v="3"/>
    <x v="157"/>
    <n v="0"/>
    <s v="Usage Subscription Usage Group Download"/>
    <x v="0"/>
  </r>
  <r>
    <x v="3"/>
    <x v="158"/>
    <n v="133102"/>
    <s v="VEE Exception"/>
    <x v="0"/>
  </r>
  <r>
    <x v="3"/>
    <x v="159"/>
    <n v="5345"/>
    <s v="Attachment"/>
    <x v="0"/>
  </r>
  <r>
    <x v="3"/>
    <x v="160"/>
    <n v="65"/>
    <s v="Bundle"/>
    <x v="0"/>
  </r>
  <r>
    <x v="3"/>
    <x v="161"/>
    <n v="0"/>
    <s v="Business Event Log"/>
    <x v="0"/>
  </r>
  <r>
    <x v="3"/>
    <x v="162"/>
    <n v="0"/>
    <s v="Business Flag"/>
    <x v="0"/>
  </r>
  <r>
    <x v="3"/>
    <x v="163"/>
    <n v="0"/>
    <s v="Calendar Dimension"/>
    <x v="0"/>
  </r>
  <r>
    <x v="3"/>
    <x v="164"/>
    <n v="0"/>
    <s v="Cube View"/>
    <x v="0"/>
  </r>
  <r>
    <x v="3"/>
    <x v="165"/>
    <n v="0"/>
    <s v="Deployment"/>
    <x v="0"/>
  </r>
  <r>
    <x v="3"/>
    <x v="166"/>
    <n v="0"/>
    <s v="Object Erasure Schedule"/>
    <x v="0"/>
  </r>
  <r>
    <x v="3"/>
    <x v="167"/>
    <n v="186"/>
    <s v="Fact"/>
    <x v="0"/>
  </r>
  <r>
    <x v="3"/>
    <x v="168"/>
    <n v="15747"/>
    <s v="General Process"/>
    <x v="0"/>
  </r>
  <r>
    <x v="3"/>
    <x v="169"/>
    <n v="0"/>
    <s v="General Audit"/>
    <x v="0"/>
  </r>
  <r>
    <x v="3"/>
    <x v="170"/>
    <n v="0"/>
    <s v="Mobile Data Terminal"/>
    <x v="0"/>
  </r>
  <r>
    <x v="3"/>
    <x v="171"/>
    <n v="0"/>
    <s v="Mobile Data Terminal Type"/>
    <x v="0"/>
  </r>
  <r>
    <x v="3"/>
    <x v="172"/>
    <n v="358"/>
    <s v="Migration Data Set"/>
    <x v="0"/>
  </r>
  <r>
    <x v="3"/>
    <x v="173"/>
    <n v="114332"/>
    <s v="Migration Object"/>
    <x v="0"/>
  </r>
  <r>
    <x v="3"/>
    <x v="174"/>
    <n v="11306"/>
    <s v="Migration Transaction"/>
    <x v="0"/>
  </r>
  <r>
    <x v="3"/>
    <x v="175"/>
    <n v="0"/>
    <s v="Inbound Market Message"/>
    <x v="0"/>
  </r>
  <r>
    <x v="3"/>
    <x v="176"/>
    <n v="0"/>
    <s v="Outbound Market Message"/>
    <x v="0"/>
  </r>
  <r>
    <x v="3"/>
    <x v="177"/>
    <n v="0"/>
    <s v="Market Process"/>
    <x v="0"/>
  </r>
  <r>
    <x v="3"/>
    <x v="178"/>
    <n v="0"/>
    <s v="Market Process Event"/>
    <x v="0"/>
  </r>
  <r>
    <x v="3"/>
    <x v="179"/>
    <n v="0"/>
    <s v="Object Revision"/>
    <x v="0"/>
  </r>
  <r>
    <x v="3"/>
    <x v="180"/>
    <n v="112595"/>
    <s v="Outbound Message"/>
    <x v="0"/>
  </r>
  <r>
    <x v="3"/>
    <x v="181"/>
    <n v="5246"/>
    <s v="Process Flow"/>
    <x v="0"/>
  </r>
  <r>
    <x v="3"/>
    <x v="182"/>
    <n v="0"/>
    <s v="Mobile Remote Message"/>
    <x v="0"/>
  </r>
  <r>
    <x v="3"/>
    <x v="183"/>
    <n v="0"/>
    <s v="Request"/>
    <x v="0"/>
  </r>
  <r>
    <x v="3"/>
    <x v="184"/>
    <n v="0"/>
    <s v="Statistics Snapshot"/>
    <x v="1"/>
  </r>
  <r>
    <x v="3"/>
    <x v="185"/>
    <n v="61106"/>
    <s v="Service Task"/>
    <x v="0"/>
  </r>
  <r>
    <x v="3"/>
    <x v="186"/>
    <n v="142216"/>
    <s v="Sync Request"/>
    <x v="0"/>
  </r>
  <r>
    <x v="3"/>
    <x v="187"/>
    <n v="43783"/>
    <s v="Inbound Sync Request"/>
    <x v="0"/>
  </r>
  <r>
    <x v="3"/>
    <x v="188"/>
    <n v="0"/>
    <s v="Time Dimension"/>
    <x v="0"/>
  </r>
  <r>
    <x v="3"/>
    <x v="189"/>
    <n v="0"/>
    <s v="Accept Line"/>
    <x v="0"/>
  </r>
  <r>
    <x v="3"/>
    <x v="190"/>
    <n v="20"/>
    <s v="Activity"/>
    <x v="0"/>
  </r>
  <r>
    <x v="3"/>
    <x v="191"/>
    <n v="0"/>
    <s v="Activity Construction Location"/>
    <x v="0"/>
  </r>
  <r>
    <x v="3"/>
    <x v="192"/>
    <n v="0"/>
    <s v="Activity Reconciliation"/>
    <x v="0"/>
  </r>
  <r>
    <x v="3"/>
    <x v="193"/>
    <n v="0"/>
    <s v="Activity Resource Requirement"/>
    <x v="0"/>
  </r>
  <r>
    <x v="3"/>
    <x v="194"/>
    <n v="0"/>
    <s v="Cost Adjustment"/>
    <x v="0"/>
  </r>
  <r>
    <x v="3"/>
    <x v="195"/>
    <n v="0"/>
    <s v="Approval Request"/>
    <x v="0"/>
  </r>
  <r>
    <x v="3"/>
    <x v="196"/>
    <n v="42282"/>
    <s v="Asset"/>
    <x v="0"/>
  </r>
  <r>
    <x v="3"/>
    <x v="197"/>
    <n v="0"/>
    <s v="Blanket Contract Header"/>
    <x v="0"/>
  </r>
  <r>
    <x v="3"/>
    <x v="198"/>
    <n v="0"/>
    <s v="Blanket Contract Line"/>
    <x v="0"/>
  </r>
  <r>
    <x v="3"/>
    <x v="199"/>
    <n v="0"/>
    <s v="Bill of Materials Part"/>
    <x v="0"/>
  </r>
  <r>
    <x v="3"/>
    <x v="200"/>
    <n v="0"/>
    <s v="Change Request"/>
    <x v="0"/>
  </r>
  <r>
    <x v="3"/>
    <x v="201"/>
    <n v="0"/>
    <s v="Checklist"/>
    <x v="0"/>
  </r>
  <r>
    <x v="3"/>
    <x v="202"/>
    <n v="20"/>
    <s v="Completion Event"/>
    <x v="0"/>
  </r>
  <r>
    <x v="3"/>
    <x v="203"/>
    <n v="0"/>
    <s v="Communication"/>
    <x v="0"/>
  </r>
  <r>
    <x v="3"/>
    <x v="204"/>
    <n v="0"/>
    <s v="Communication In"/>
    <x v="0"/>
  </r>
  <r>
    <x v="3"/>
    <x v="205"/>
    <n v="0"/>
    <s v="Configuration"/>
    <x v="0"/>
  </r>
  <r>
    <x v="3"/>
    <x v="206"/>
    <n v="0"/>
    <s v="Configuration Report"/>
    <x v="0"/>
  </r>
  <r>
    <x v="3"/>
    <x v="207"/>
    <n v="23209"/>
    <s v="Contact"/>
    <x v="0"/>
  </r>
  <r>
    <x v="3"/>
    <x v="208"/>
    <n v="0"/>
    <s v="Crew"/>
    <x v="0"/>
  </r>
  <r>
    <x v="3"/>
    <x v="209"/>
    <n v="0"/>
    <s v="Crew Shift"/>
    <x v="0"/>
  </r>
  <r>
    <x v="3"/>
    <x v="210"/>
    <n v="0"/>
    <s v="Compatible Unit"/>
    <x v="0"/>
  </r>
  <r>
    <x v="3"/>
    <x v="211"/>
    <n v="0"/>
    <s v="CU Contractor Bid"/>
    <x v="0"/>
  </r>
  <r>
    <x v="3"/>
    <x v="212"/>
    <n v="0"/>
    <s v="Design Element"/>
    <x v="0"/>
  </r>
  <r>
    <x v="3"/>
    <x v="213"/>
    <n v="0"/>
    <s v="Document"/>
    <x v="0"/>
  </r>
  <r>
    <x v="3"/>
    <x v="214"/>
    <n v="0"/>
    <s v="Employee"/>
    <x v="0"/>
  </r>
  <r>
    <x v="3"/>
    <x v="215"/>
    <n v="0"/>
    <s v="Employee Unavailability"/>
    <x v="0"/>
  </r>
  <r>
    <x v="3"/>
    <x v="216"/>
    <n v="0"/>
    <s v="Expedite Purchase Order"/>
    <x v="2"/>
  </r>
  <r>
    <x v="3"/>
    <x v="217"/>
    <n v="0"/>
    <s v="Financial Transaction"/>
    <x v="0"/>
  </r>
  <r>
    <x v="3"/>
    <x v="218"/>
    <n v="0"/>
    <s v="Invoice Group"/>
    <x v="0"/>
  </r>
  <r>
    <x v="3"/>
    <x v="219"/>
    <n v="0"/>
    <s v="Invoice Header"/>
    <x v="0"/>
  </r>
  <r>
    <x v="3"/>
    <x v="220"/>
    <n v="0"/>
    <s v="Invoice Line"/>
    <x v="0"/>
  </r>
  <r>
    <x v="3"/>
    <x v="221"/>
    <n v="0"/>
    <s v="Inventory Adjustment"/>
    <x v="0"/>
  </r>
  <r>
    <x v="3"/>
    <x v="222"/>
    <n v="0"/>
    <s v="Maintenance Event"/>
    <x v="0"/>
  </r>
  <r>
    <x v="3"/>
    <x v="223"/>
    <n v="0"/>
    <s v="Maintenance Schedule"/>
    <x v="0"/>
  </r>
  <r>
    <x v="3"/>
    <x v="224"/>
    <n v="0"/>
    <s v="Maintenance Trigger"/>
    <x v="0"/>
  </r>
  <r>
    <x v="3"/>
    <x v="225"/>
    <n v="0"/>
    <s v="Material Disposition"/>
    <x v="0"/>
  </r>
  <r>
    <x v="3"/>
    <x v="226"/>
    <n v="0"/>
    <s v="Material Issue Line"/>
    <x v="0"/>
  </r>
  <r>
    <x v="3"/>
    <x v="227"/>
    <n v="0"/>
    <s v="Material Request Header"/>
    <x v="0"/>
  </r>
  <r>
    <x v="3"/>
    <x v="228"/>
    <n v="0"/>
    <s v="Material Request Line"/>
    <x v="0"/>
  </r>
  <r>
    <x v="3"/>
    <x v="229"/>
    <n v="0"/>
    <s v="Material Request Template"/>
    <x v="0"/>
  </r>
  <r>
    <x v="3"/>
    <x v="230"/>
    <n v="0"/>
    <s v="Material Return Header"/>
    <x v="0"/>
  </r>
  <r>
    <x v="3"/>
    <x v="231"/>
    <n v="0"/>
    <s v="Material Return Line"/>
    <x v="0"/>
  </r>
  <r>
    <x v="3"/>
    <x v="232"/>
    <n v="0"/>
    <s v="Measurement"/>
    <x v="0"/>
  </r>
  <r>
    <x v="3"/>
    <x v="233"/>
    <n v="0"/>
    <s v="Mobile Subscription"/>
    <x v="0"/>
  </r>
  <r>
    <x v="3"/>
    <x v="234"/>
    <n v="17678"/>
    <s v="Location/Organization"/>
    <x v="0"/>
  </r>
  <r>
    <x v="3"/>
    <x v="235"/>
    <n v="0"/>
    <s v="Other Direct Charges"/>
    <x v="0"/>
  </r>
  <r>
    <x v="3"/>
    <x v="236"/>
    <n v="0"/>
    <s v="Other Direct Charges Detail"/>
    <x v="0"/>
  </r>
  <r>
    <x v="3"/>
    <x v="237"/>
    <n v="0"/>
    <s v="Permit"/>
    <x v="0"/>
  </r>
  <r>
    <x v="3"/>
    <x v="238"/>
    <n v="0"/>
    <s v="Physical Inventory Count Line"/>
    <x v="0"/>
  </r>
  <r>
    <x v="3"/>
    <x v="239"/>
    <n v="0"/>
    <s v="Physical Inventory Count Master"/>
    <x v="0"/>
  </r>
  <r>
    <x v="3"/>
    <x v="240"/>
    <n v="0"/>
    <s v="Physical Inventory Header"/>
    <x v="0"/>
  </r>
  <r>
    <x v="3"/>
    <x v="241"/>
    <n v="0"/>
    <s v="Purchase Order Header"/>
    <x v="0"/>
  </r>
  <r>
    <x v="3"/>
    <x v="242"/>
    <n v="0"/>
    <s v="Purchase Order Line"/>
    <x v="0"/>
  </r>
  <r>
    <x v="3"/>
    <x v="243"/>
    <n v="0"/>
    <s v="Functional Process"/>
    <x v="0"/>
  </r>
  <r>
    <x v="3"/>
    <x v="244"/>
    <n v="0"/>
    <s v="Project"/>
    <x v="0"/>
  </r>
  <r>
    <x v="3"/>
    <x v="245"/>
    <n v="0"/>
    <s v="Purchase Requisition Header"/>
    <x v="0"/>
  </r>
  <r>
    <x v="3"/>
    <x v="246"/>
    <n v="0"/>
    <s v="Purchase Requisition Line"/>
    <x v="0"/>
  </r>
  <r>
    <x v="3"/>
    <x v="247"/>
    <n v="0"/>
    <s v="Receipt Header"/>
    <x v="0"/>
  </r>
  <r>
    <x v="3"/>
    <x v="248"/>
    <n v="0"/>
    <s v="Receipt Line"/>
    <x v="0"/>
  </r>
  <r>
    <x v="3"/>
    <x v="249"/>
    <n v="0"/>
    <s v="Report Queue"/>
    <x v="0"/>
  </r>
  <r>
    <x v="3"/>
    <x v="250"/>
    <n v="0"/>
    <s v="Resource Type"/>
    <x v="0"/>
  </r>
  <r>
    <x v="3"/>
    <x v="251"/>
    <n v="0"/>
    <s v="Reorder Review"/>
    <x v="0"/>
  </r>
  <r>
    <x v="3"/>
    <x v="252"/>
    <n v="0"/>
    <s v="Return Line"/>
    <x v="0"/>
  </r>
  <r>
    <x v="3"/>
    <x v="253"/>
    <n v="0"/>
    <s v="Shift Weekly Template"/>
    <x v="0"/>
  </r>
  <r>
    <x v="3"/>
    <x v="254"/>
    <n v="0"/>
    <s v="Shipping Line"/>
    <x v="0"/>
  </r>
  <r>
    <x v="3"/>
    <x v="255"/>
    <n v="0"/>
    <s v="Shipping Memo"/>
    <x v="0"/>
  </r>
  <r>
    <x v="3"/>
    <x v="256"/>
    <n v="0"/>
    <s v="Stock Item Detail"/>
    <x v="0"/>
  </r>
  <r>
    <x v="3"/>
    <x v="257"/>
    <n v="0"/>
    <s v="Stock Transaction"/>
    <x v="0"/>
  </r>
  <r>
    <x v="3"/>
    <x v="258"/>
    <n v="0"/>
    <s v="Service History"/>
    <x v="0"/>
  </r>
  <r>
    <x v="3"/>
    <x v="259"/>
    <n v="0"/>
    <s v="Timesheet"/>
    <x v="0"/>
  </r>
  <r>
    <x v="3"/>
    <x v="260"/>
    <n v="0"/>
    <s v="Timesheet Detail"/>
    <x v="0"/>
  </r>
  <r>
    <x v="3"/>
    <x v="261"/>
    <n v="0"/>
    <s v="Template Activity"/>
    <x v="0"/>
  </r>
  <r>
    <x v="3"/>
    <x v="262"/>
    <n v="0"/>
    <s v="Template Activity Resource"/>
    <x v="0"/>
  </r>
  <r>
    <x v="3"/>
    <x v="263"/>
    <n v="0"/>
    <s v="Template Work Order"/>
    <x v="0"/>
  </r>
  <r>
    <x v="3"/>
    <x v="264"/>
    <n v="0"/>
    <s v="Vendor"/>
    <x v="0"/>
  </r>
  <r>
    <x v="3"/>
    <x v="265"/>
    <n v="0"/>
    <s v="Vendor Location"/>
    <x v="0"/>
  </r>
  <r>
    <x v="3"/>
    <x v="266"/>
    <n v="0"/>
    <s v="Warranty"/>
    <x v="0"/>
  </r>
  <r>
    <x v="3"/>
    <x v="267"/>
    <n v="0"/>
    <s v="Work Order"/>
    <x v="0"/>
  </r>
  <r>
    <x v="3"/>
    <x v="268"/>
    <n v="0"/>
    <s v="Work Design"/>
    <x v="0"/>
  </r>
  <r>
    <x v="3"/>
    <x v="269"/>
    <n v="0"/>
    <s v="Work Location"/>
    <x v="0"/>
  </r>
  <r>
    <x v="3"/>
    <x v="270"/>
    <n v="0"/>
    <s v="Work Request"/>
    <x v="0"/>
  </r>
  <r>
    <x v="4"/>
    <x v="0"/>
    <n v="0"/>
    <s v="Financial Transaction GL Monthly Aggregate"/>
    <x v="0"/>
  </r>
  <r>
    <x v="4"/>
    <x v="1"/>
    <n v="0"/>
    <s v="Financial Transaction Monthly Aggregate"/>
    <x v="0"/>
  </r>
  <r>
    <x v="4"/>
    <x v="2"/>
    <n v="0"/>
    <s v="SA Arrears Snapshot"/>
    <x v="0"/>
  </r>
  <r>
    <x v="4"/>
    <x v="3"/>
    <n v="0"/>
    <s v="Consumer Contract"/>
    <x v="0"/>
  </r>
  <r>
    <x v="4"/>
    <x v="4"/>
    <n v="1618"/>
    <s v="Customer Service Request"/>
    <x v="0"/>
  </r>
  <r>
    <x v="4"/>
    <x v="5"/>
    <n v="713"/>
    <s v="Customer Service Request Account"/>
    <x v="0"/>
  </r>
  <r>
    <x v="4"/>
    <x v="6"/>
    <n v="0"/>
    <s v="Customer Service Request Consumer Contract"/>
    <x v="0"/>
  </r>
  <r>
    <x v="4"/>
    <x v="7"/>
    <n v="0"/>
    <s v="Customer Service Request Contract Product"/>
    <x v="0"/>
  </r>
  <r>
    <x v="4"/>
    <x v="8"/>
    <n v="722"/>
    <s v="Customer Service Request Person"/>
    <x v="0"/>
  </r>
  <r>
    <x v="4"/>
    <x v="9"/>
    <n v="684"/>
    <s v="Customer Service Request Premise"/>
    <x v="0"/>
  </r>
  <r>
    <x v="4"/>
    <x v="10"/>
    <n v="2091"/>
    <s v="Customer Service Request SA"/>
    <x v="0"/>
  </r>
  <r>
    <x v="4"/>
    <x v="11"/>
    <n v="0"/>
    <s v="Customer Service Request Service Location"/>
    <x v="0"/>
  </r>
  <r>
    <x v="4"/>
    <x v="12"/>
    <n v="0"/>
    <s v="Customer Relationship Request"/>
    <x v="0"/>
  </r>
  <r>
    <x v="4"/>
    <x v="13"/>
    <n v="0"/>
    <s v="Lead"/>
    <x v="0"/>
  </r>
  <r>
    <x v="4"/>
    <x v="14"/>
    <n v="0"/>
    <s v="Lead Event"/>
    <x v="0"/>
  </r>
  <r>
    <x v="4"/>
    <x v="15"/>
    <n v="0"/>
    <s v="Market Charge"/>
    <x v="0"/>
  </r>
  <r>
    <x v="4"/>
    <x v="16"/>
    <n v="0"/>
    <s v="Market Payment"/>
    <x v="0"/>
  </r>
  <r>
    <x v="4"/>
    <x v="17"/>
    <n v="0"/>
    <s v="Market Usage"/>
    <x v="0"/>
  </r>
  <r>
    <x v="4"/>
    <x v="18"/>
    <n v="0"/>
    <s v="Registration Point"/>
    <x v="0"/>
  </r>
  <r>
    <x v="4"/>
    <x v="19"/>
    <n v="0"/>
    <s v="Communication Preference"/>
    <x v="0"/>
  </r>
  <r>
    <x v="4"/>
    <x v="20"/>
    <n v="52675"/>
    <s v="Off Cycle Bill Generator"/>
    <x v="0"/>
  </r>
  <r>
    <x v="4"/>
    <x v="21"/>
    <n v="358"/>
    <s v="Payment Arrangement Request"/>
    <x v="0"/>
  </r>
  <r>
    <x v="4"/>
    <x v="22"/>
    <n v="15360951"/>
    <s v="Usage"/>
    <x v="0"/>
  </r>
  <r>
    <x v="4"/>
    <x v="23"/>
    <n v="0"/>
    <s v="Web User"/>
    <x v="0"/>
  </r>
  <r>
    <x v="4"/>
    <x v="24"/>
    <n v="0"/>
    <s v="Web User Account"/>
    <x v="0"/>
  </r>
  <r>
    <x v="4"/>
    <x v="25"/>
    <n v="59950"/>
    <s v="Account"/>
    <x v="0"/>
  </r>
  <r>
    <x v="4"/>
    <x v="26"/>
    <n v="8715478"/>
    <s v="Adjustment"/>
    <x v="0"/>
  </r>
  <r>
    <x v="4"/>
    <x v="27"/>
    <n v="0"/>
    <s v="Adjustment Staging Control"/>
    <x v="0"/>
  </r>
  <r>
    <x v="4"/>
    <x v="28"/>
    <n v="0"/>
    <s v="Adjustment Upload"/>
    <x v="0"/>
  </r>
  <r>
    <x v="4"/>
    <x v="29"/>
    <n v="0"/>
    <s v="Activity Request"/>
    <x v="0"/>
  </r>
  <r>
    <x v="4"/>
    <x v="30"/>
    <n v="2468"/>
    <s v="Approval Request"/>
    <x v="0"/>
  </r>
  <r>
    <x v="4"/>
    <x v="31"/>
    <n v="0"/>
    <s v="Audit"/>
    <x v="0"/>
  </r>
  <r>
    <x v="4"/>
    <x v="32"/>
    <n v="21"/>
    <s v="Balance Control Group"/>
    <x v="0"/>
  </r>
  <r>
    <x v="4"/>
    <x v="33"/>
    <n v="2928"/>
    <s v="Batch Job Ad-Hoc Queues"/>
    <x v="0"/>
  </r>
  <r>
    <x v="4"/>
    <x v="34"/>
    <n v="312507"/>
    <s v="Batch Run"/>
    <x v="0"/>
  </r>
  <r>
    <x v="4"/>
    <x v="35"/>
    <n v="0"/>
    <s v="Billable Charge Upload"/>
    <x v="0"/>
  </r>
  <r>
    <x v="4"/>
    <x v="36"/>
    <n v="4175472"/>
    <s v="Bill Header"/>
    <x v="0"/>
  </r>
  <r>
    <x v="4"/>
    <x v="37"/>
    <n v="1893"/>
    <s v="Billable Charge"/>
    <x v="0"/>
  </r>
  <r>
    <x v="4"/>
    <x v="38"/>
    <n v="0"/>
    <s v="Bill Review Schedule"/>
    <x v="0"/>
  </r>
  <r>
    <x v="4"/>
    <x v="39"/>
    <n v="0"/>
    <s v="Bill Print Group"/>
    <x v="0"/>
  </r>
  <r>
    <x v="4"/>
    <x v="40"/>
    <n v="12920736"/>
    <s v="Bill Segment"/>
    <x v="0"/>
  </r>
  <r>
    <x v="4"/>
    <x v="41"/>
    <n v="0"/>
    <s v="Budget Review"/>
    <x v="0"/>
  </r>
  <r>
    <x v="4"/>
    <x v="42"/>
    <n v="49"/>
    <s v="Case"/>
    <x v="0"/>
  </r>
  <r>
    <x v="4"/>
    <x v="43"/>
    <n v="933459"/>
    <s v="Customer Contact"/>
    <x v="0"/>
  </r>
  <r>
    <x v="4"/>
    <x v="44"/>
    <n v="0"/>
    <s v="Collection Agency Referral"/>
    <x v="0"/>
  </r>
  <r>
    <x v="4"/>
    <x v="45"/>
    <n v="19502"/>
    <s v="Collection Process"/>
    <x v="0"/>
  </r>
  <r>
    <x v="4"/>
    <x v="46"/>
    <n v="0"/>
    <s v="Contract Option  "/>
    <x v="0"/>
  </r>
  <r>
    <x v="4"/>
    <x v="47"/>
    <n v="0"/>
    <s v="Contract Option Event"/>
    <x v="0"/>
  </r>
  <r>
    <x v="4"/>
    <x v="48"/>
    <n v="0"/>
    <s v="Cut Process"/>
    <x v="0"/>
  </r>
  <r>
    <x v="4"/>
    <x v="49"/>
    <n v="0"/>
    <s v="Declaration"/>
    <x v="0"/>
  </r>
  <r>
    <x v="4"/>
    <x v="50"/>
    <n v="2022"/>
    <s v="Deposit Control"/>
    <x v="0"/>
  </r>
  <r>
    <x v="4"/>
    <x v="51"/>
    <n v="167"/>
    <s v="Deposit Control Staging"/>
    <x v="0"/>
  </r>
  <r>
    <x v="4"/>
    <x v="52"/>
    <n v="0"/>
    <s v="Deposit Review"/>
    <x v="0"/>
  </r>
  <r>
    <x v="4"/>
    <x v="53"/>
    <n v="0"/>
    <s v="Device Test"/>
    <x v="0"/>
  </r>
  <r>
    <x v="4"/>
    <x v="54"/>
    <n v="0"/>
    <s v="Device Test Selection"/>
    <x v="0"/>
  </r>
  <r>
    <x v="4"/>
    <x v="55"/>
    <n v="0"/>
    <s v="Order"/>
    <x v="0"/>
  </r>
  <r>
    <x v="4"/>
    <x v="56"/>
    <n v="26866"/>
    <s v="Field Activity"/>
    <x v="0"/>
  </r>
  <r>
    <x v="4"/>
    <x v="57"/>
    <n v="0"/>
    <s v="FA Upload Staging"/>
    <x v="0"/>
  </r>
  <r>
    <x v="4"/>
    <x v="58"/>
    <n v="0"/>
    <s v="Field Order"/>
    <x v="0"/>
  </r>
  <r>
    <x v="4"/>
    <x v="59"/>
    <n v="0"/>
    <s v="Field Order Download Staging"/>
    <x v="0"/>
  </r>
  <r>
    <x v="4"/>
    <x v="60"/>
    <n v="29847799"/>
    <s v="Financial Transaction"/>
    <x v="0"/>
  </r>
  <r>
    <x v="4"/>
    <x v="61"/>
    <n v="0"/>
    <s v="Interval Data Set"/>
    <x v="0"/>
  </r>
  <r>
    <x v="4"/>
    <x v="62"/>
    <n v="0"/>
    <s v="Interval Data Profile"/>
    <x v="0"/>
  </r>
  <r>
    <x v="4"/>
    <x v="63"/>
    <n v="0"/>
    <s v="Interval Value Set"/>
    <x v="0"/>
  </r>
  <r>
    <x v="4"/>
    <x v="64"/>
    <n v="0"/>
    <s v="Item"/>
    <x v="0"/>
  </r>
  <r>
    <x v="4"/>
    <x v="65"/>
    <n v="0"/>
    <s v="Item Type SQ Estimate"/>
    <x v="0"/>
  </r>
  <r>
    <x v="4"/>
    <x v="66"/>
    <n v="0"/>
    <s v="Landlord Agreement"/>
    <x v="0"/>
  </r>
  <r>
    <x v="4"/>
    <x v="67"/>
    <n v="0"/>
    <s v="Match Event"/>
    <x v="0"/>
  </r>
  <r>
    <x v="4"/>
    <x v="68"/>
    <n v="0"/>
    <s v="Meter Read"/>
    <x v="0"/>
  </r>
  <r>
    <x v="4"/>
    <x v="69"/>
    <n v="0"/>
    <s v="Meter Read Download Staging"/>
    <x v="0"/>
  </r>
  <r>
    <x v="4"/>
    <x v="70"/>
    <n v="0"/>
    <s v="Meter Read Upload Staging"/>
    <x v="0"/>
  </r>
  <r>
    <x v="4"/>
    <x v="71"/>
    <n v="916103"/>
    <s v="Message Log"/>
    <x v="0"/>
  </r>
  <r>
    <x v="4"/>
    <x v="72"/>
    <n v="0"/>
    <s v="Meter"/>
    <x v="0"/>
  </r>
  <r>
    <x v="4"/>
    <x v="73"/>
    <n v="0"/>
    <s v="Meter Configuration"/>
    <x v="0"/>
  </r>
  <r>
    <x v="4"/>
    <x v="74"/>
    <n v="0"/>
    <s v="Notification Download Staging"/>
    <x v="0"/>
  </r>
  <r>
    <x v="4"/>
    <x v="75"/>
    <n v="0"/>
    <s v="Notification Upload Staging"/>
    <x v="0"/>
  </r>
  <r>
    <x v="4"/>
    <x v="76"/>
    <n v="0"/>
    <s v="NT Upload Staging Extension Sample"/>
    <x v="0"/>
  </r>
  <r>
    <x v="4"/>
    <x v="77"/>
    <n v="0"/>
    <s v="Overdue Process"/>
    <x v="0"/>
  </r>
  <r>
    <x v="4"/>
    <x v="78"/>
    <n v="2731089"/>
    <s v="Payment Header"/>
    <x v="0"/>
  </r>
  <r>
    <x v="4"/>
    <x v="79"/>
    <n v="2729439"/>
    <s v="Payment Event"/>
    <x v="0"/>
  </r>
  <r>
    <x v="4"/>
    <x v="80"/>
    <n v="32519"/>
    <s v="Payment Tender Staging"/>
    <x v="0"/>
  </r>
  <r>
    <x v="4"/>
    <x v="81"/>
    <n v="58435"/>
    <s v="Person"/>
    <x v="0"/>
  </r>
  <r>
    <x v="4"/>
    <x v="82"/>
    <n v="0"/>
    <s v="Payment Event Upload Staging"/>
    <x v="0"/>
  </r>
  <r>
    <x v="4"/>
    <x v="83"/>
    <n v="7"/>
    <s v="Pay Plan"/>
    <x v="0"/>
  </r>
  <r>
    <x v="4"/>
    <x v="84"/>
    <n v="49890"/>
    <s v="Premise"/>
    <x v="0"/>
  </r>
  <r>
    <x v="4"/>
    <x v="85"/>
    <n v="0"/>
    <s v="Quote"/>
    <x v="0"/>
  </r>
  <r>
    <x v="4"/>
    <x v="86"/>
    <n v="0"/>
    <s v="Rebate Claim"/>
    <x v="0"/>
  </r>
  <r>
    <x v="4"/>
    <x v="87"/>
    <n v="0"/>
    <s v="Rebate Claim Line"/>
    <x v="0"/>
  </r>
  <r>
    <x v="4"/>
    <x v="88"/>
    <n v="0"/>
    <s v="Interval Register Data Set"/>
    <x v="0"/>
  </r>
  <r>
    <x v="4"/>
    <x v="89"/>
    <n v="194102"/>
    <s v="SA (Service Agreement)"/>
    <x v="0"/>
  </r>
  <r>
    <x v="4"/>
    <x v="90"/>
    <n v="0"/>
    <s v="SA Relationship"/>
    <x v="0"/>
  </r>
  <r>
    <x v="4"/>
    <x v="91"/>
    <n v="0"/>
    <s v="Service Credit Membership"/>
    <x v="0"/>
  </r>
  <r>
    <x v="4"/>
    <x v="92"/>
    <n v="0"/>
    <s v="Service Credit Event"/>
    <x v="0"/>
  </r>
  <r>
    <x v="4"/>
    <x v="93"/>
    <n v="30490"/>
    <s v="Severance Process"/>
    <x v="0"/>
  </r>
  <r>
    <x v="4"/>
    <x v="94"/>
    <n v="44699"/>
    <s v="Service Point - CCB"/>
    <x v="0"/>
  </r>
  <r>
    <x v="4"/>
    <x v="95"/>
    <n v="0"/>
    <s v="SP Item History"/>
    <x v="0"/>
  </r>
  <r>
    <x v="4"/>
    <x v="96"/>
    <n v="0"/>
    <s v="SP/Meter History"/>
    <x v="0"/>
  </r>
  <r>
    <x v="4"/>
    <x v="97"/>
    <n v="0"/>
    <s v="Stock Location"/>
    <x v="0"/>
  </r>
  <r>
    <x v="4"/>
    <x v="98"/>
    <n v="0"/>
    <s v="Statement"/>
    <x v="0"/>
  </r>
  <r>
    <x v="4"/>
    <x v="99"/>
    <n v="0"/>
    <s v="Statement Construct"/>
    <x v="0"/>
  </r>
  <r>
    <x v="4"/>
    <x v="100"/>
    <n v="0"/>
    <s v="Service Route Download Staging"/>
    <x v="0"/>
  </r>
  <r>
    <x v="4"/>
    <x v="101"/>
    <n v="5095769"/>
    <s v="To Do Entry"/>
    <x v="0"/>
  </r>
  <r>
    <x v="4"/>
    <x v="102"/>
    <n v="4042"/>
    <s v="Tender Control"/>
    <x v="0"/>
  </r>
  <r>
    <x v="4"/>
    <x v="103"/>
    <n v="0"/>
    <s v="Terms of Service"/>
    <x v="0"/>
  </r>
  <r>
    <x v="4"/>
    <x v="104"/>
    <n v="0"/>
    <s v="TOU Data Set"/>
    <x v="0"/>
  </r>
  <r>
    <x v="4"/>
    <x v="105"/>
    <n v="0"/>
    <s v="Time Of Use Map Classic"/>
    <x v="0"/>
  </r>
  <r>
    <x v="4"/>
    <x v="106"/>
    <n v="0"/>
    <s v="Trend"/>
    <x v="0"/>
  </r>
  <r>
    <x v="4"/>
    <x v="107"/>
    <n v="0"/>
    <s v="Umbrella Agreement"/>
    <x v="0"/>
  </r>
  <r>
    <x v="4"/>
    <x v="108"/>
    <n v="567"/>
    <s v="Validation Error"/>
    <x v="0"/>
  </r>
  <r>
    <x v="4"/>
    <x v="109"/>
    <n v="0"/>
    <s v="Validation Error Foreign Keys"/>
    <x v="0"/>
  </r>
  <r>
    <x v="4"/>
    <x v="110"/>
    <n v="0"/>
    <s v="WF Process"/>
    <x v="0"/>
  </r>
  <r>
    <x v="4"/>
    <x v="111"/>
    <n v="0"/>
    <s v="Write Off Process"/>
    <x v="0"/>
  </r>
  <r>
    <x v="4"/>
    <x v="112"/>
    <n v="0"/>
    <s v="XAI Download"/>
    <x v="0"/>
  </r>
  <r>
    <x v="4"/>
    <x v="113"/>
    <n v="0"/>
    <s v="XAI Upload Staging"/>
    <x v="0"/>
  </r>
  <r>
    <x v="4"/>
    <x v="114"/>
    <n v="0"/>
    <s v="XAI Staging Control"/>
    <x v="0"/>
  </r>
  <r>
    <x v="4"/>
    <x v="115"/>
    <n v="1064631"/>
    <s v="Activity"/>
    <x v="0"/>
  </r>
  <r>
    <x v="4"/>
    <x v="116"/>
    <n v="0"/>
    <s v="Attribute Data Snapshot"/>
    <x v="0"/>
  </r>
  <r>
    <x v="4"/>
    <x v="117"/>
    <n v="0"/>
    <s v="Aggregation Group Run"/>
    <x v="0"/>
  </r>
  <r>
    <x v="4"/>
    <x v="118"/>
    <n v="0"/>
    <s v="Aggregation Measurement"/>
    <x v="0"/>
  </r>
  <r>
    <x v="4"/>
    <x v="119"/>
    <n v="0"/>
    <s v="Attribute Values"/>
    <x v="0"/>
  </r>
  <r>
    <x v="4"/>
    <x v="120"/>
    <n v="144857"/>
    <s v="Communication In"/>
    <x v="0"/>
  </r>
  <r>
    <x v="4"/>
    <x v="121"/>
    <n v="24950"/>
    <s v="Communication Out"/>
    <x v="0"/>
  </r>
  <r>
    <x v="4"/>
    <x v="122"/>
    <n v="772"/>
    <s v="Completion Event"/>
    <x v="0"/>
  </r>
  <r>
    <x v="4"/>
    <x v="123"/>
    <n v="58438"/>
    <s v="Contact"/>
    <x v="1"/>
  </r>
  <r>
    <x v="4"/>
    <x v="124"/>
    <n v="108121"/>
    <s v="Device"/>
    <x v="0"/>
  </r>
  <r>
    <x v="4"/>
    <x v="125"/>
    <n v="63491"/>
    <s v="Device Configuration"/>
    <x v="0"/>
  </r>
  <r>
    <x v="4"/>
    <x v="126"/>
    <n v="1"/>
    <s v="Device Event"/>
    <x v="0"/>
  </r>
  <r>
    <x v="4"/>
    <x v="127"/>
    <n v="0"/>
    <s v="Dynamic Option"/>
    <x v="0"/>
  </r>
  <r>
    <x v="4"/>
    <x v="128"/>
    <n v="0"/>
    <s v="Dynamic Option Event"/>
    <x v="0"/>
  </r>
  <r>
    <x v="4"/>
    <x v="129"/>
    <n v="0"/>
    <s v="Facility"/>
    <x v="0"/>
  </r>
  <r>
    <x v="4"/>
    <x v="130"/>
    <n v="1161339"/>
    <s v="Initial Measurement Data"/>
    <x v="0"/>
  </r>
  <r>
    <x v="4"/>
    <x v="131"/>
    <n v="0"/>
    <s v="Initial Measurement Snapshot"/>
    <x v="0"/>
  </r>
  <r>
    <x v="4"/>
    <x v="132"/>
    <n v="60661"/>
    <s v="Install Event"/>
    <x v="0"/>
  </r>
  <r>
    <x v="4"/>
    <x v="133"/>
    <n v="0"/>
    <s v="Interval Snapshot Mapping"/>
    <x v="0"/>
  </r>
  <r>
    <x v="4"/>
    <x v="134"/>
    <n v="0"/>
    <s v="MC Comparison Period"/>
    <x v="0"/>
  </r>
  <r>
    <x v="4"/>
    <x v="135"/>
    <n v="0"/>
    <s v="Measurement Data Snapshot Interval"/>
    <x v="0"/>
  </r>
  <r>
    <x v="4"/>
    <x v="136"/>
    <n v="0"/>
    <s v="Measurement Data Snapshot Scalar"/>
    <x v="0"/>
  </r>
  <r>
    <x v="4"/>
    <x v="137"/>
    <n v="63503"/>
    <s v="Measuring Component"/>
    <x v="0"/>
  </r>
  <r>
    <x v="4"/>
    <x v="138"/>
    <n v="0"/>
    <s v="Market Award"/>
    <x v="0"/>
  </r>
  <r>
    <x v="4"/>
    <x v="139"/>
    <n v="0"/>
    <s v="Market Contract"/>
    <x v="0"/>
  </r>
  <r>
    <x v="4"/>
    <x v="140"/>
    <n v="0"/>
    <s v="Market Product"/>
    <x v="0"/>
  </r>
  <r>
    <x v="4"/>
    <x v="141"/>
    <n v="0"/>
    <s v="Registration Point"/>
    <x v="0"/>
  </r>
  <r>
    <x v="4"/>
    <x v="142"/>
    <n v="4625948"/>
    <s v="Measurement"/>
    <x v="0"/>
  </r>
  <r>
    <x v="4"/>
    <x v="143"/>
    <n v="10202"/>
    <s v="Measurement Log"/>
    <x v="0"/>
  </r>
  <r>
    <x v="4"/>
    <x v="144"/>
    <n v="0"/>
    <s v="Network Location"/>
    <x v="0"/>
  </r>
  <r>
    <x v="4"/>
    <x v="145"/>
    <n v="44699"/>
    <s v="Service Point - MDM"/>
    <x v="0"/>
  </r>
  <r>
    <x v="4"/>
    <x v="146"/>
    <n v="1020257"/>
    <s v="SP/Measurement Cycle Schedule Route"/>
    <x v="0"/>
  </r>
  <r>
    <x v="4"/>
    <x v="147"/>
    <n v="0"/>
    <s v="Service Point Quantity"/>
    <x v="0"/>
  </r>
  <r>
    <x v="4"/>
    <x v="148"/>
    <n v="0"/>
    <s v="Service Pont Snapshot Download"/>
    <x v="0"/>
  </r>
  <r>
    <x v="4"/>
    <x v="149"/>
    <n v="0"/>
    <s v="SP Unreported Usage Snapshot Download"/>
    <x v="0"/>
  </r>
  <r>
    <x v="4"/>
    <x v="150"/>
    <n v="0"/>
    <s v="Service Point Usage Snapshot Download"/>
    <x v="0"/>
  </r>
  <r>
    <x v="4"/>
    <x v="151"/>
    <n v="0"/>
    <s v="SP VEE Exception Snapshot Download"/>
    <x v="0"/>
  </r>
  <r>
    <x v="4"/>
    <x v="152"/>
    <n v="151934"/>
    <s v="Usage Subscription"/>
    <x v="0"/>
  </r>
  <r>
    <x v="4"/>
    <x v="153"/>
    <n v="25258673"/>
    <s v="Usage"/>
    <x v="0"/>
  </r>
  <r>
    <x v="4"/>
    <x v="154"/>
    <n v="1972616"/>
    <s v="Usage Transaction Exception"/>
    <x v="0"/>
  </r>
  <r>
    <x v="4"/>
    <x v="155"/>
    <n v="0"/>
    <s v="Usage Subscription Market Participant"/>
    <x v="0"/>
  </r>
  <r>
    <x v="4"/>
    <x v="156"/>
    <n v="0"/>
    <s v="Usage Subscription Quantity"/>
    <x v="0"/>
  </r>
  <r>
    <x v="4"/>
    <x v="157"/>
    <n v="0"/>
    <s v="Usage Subscription Usage Group Download"/>
    <x v="0"/>
  </r>
  <r>
    <x v="4"/>
    <x v="158"/>
    <n v="1936460"/>
    <s v="VEE Exception"/>
    <x v="0"/>
  </r>
  <r>
    <x v="4"/>
    <x v="159"/>
    <n v="3"/>
    <s v="Attachment"/>
    <x v="0"/>
  </r>
  <r>
    <x v="4"/>
    <x v="160"/>
    <n v="33"/>
    <s v="Bundle"/>
    <x v="0"/>
  </r>
  <r>
    <x v="4"/>
    <x v="161"/>
    <n v="0"/>
    <s v="Business Event Log"/>
    <x v="0"/>
  </r>
  <r>
    <x v="4"/>
    <x v="162"/>
    <n v="0"/>
    <s v="Business Flag"/>
    <x v="0"/>
  </r>
  <r>
    <x v="4"/>
    <x v="163"/>
    <n v="0"/>
    <s v="Calendar Dimension"/>
    <x v="0"/>
  </r>
  <r>
    <x v="4"/>
    <x v="164"/>
    <n v="0"/>
    <s v="Cube View"/>
    <x v="0"/>
  </r>
  <r>
    <x v="4"/>
    <x v="165"/>
    <n v="0"/>
    <s v="Deployment"/>
    <x v="0"/>
  </r>
  <r>
    <x v="4"/>
    <x v="166"/>
    <n v="0"/>
    <s v="Object Erasure Schedule"/>
    <x v="0"/>
  </r>
  <r>
    <x v="4"/>
    <x v="167"/>
    <n v="34"/>
    <s v="Fact"/>
    <x v="0"/>
  </r>
  <r>
    <x v="4"/>
    <x v="168"/>
    <n v="909484"/>
    <s v="General Process"/>
    <x v="0"/>
  </r>
  <r>
    <x v="4"/>
    <x v="169"/>
    <n v="0"/>
    <s v="General Audit"/>
    <x v="0"/>
  </r>
  <r>
    <x v="4"/>
    <x v="170"/>
    <n v="0"/>
    <s v="Mobile Data Terminal"/>
    <x v="0"/>
  </r>
  <r>
    <x v="4"/>
    <x v="171"/>
    <n v="0"/>
    <s v="Mobile Data Terminal Type"/>
    <x v="0"/>
  </r>
  <r>
    <x v="4"/>
    <x v="172"/>
    <n v="254"/>
    <s v="Migration Data Set"/>
    <x v="0"/>
  </r>
  <r>
    <x v="4"/>
    <x v="173"/>
    <n v="93597"/>
    <s v="Migration Object"/>
    <x v="0"/>
  </r>
  <r>
    <x v="4"/>
    <x v="174"/>
    <n v="11156"/>
    <s v="Migration Transaction"/>
    <x v="0"/>
  </r>
  <r>
    <x v="4"/>
    <x v="175"/>
    <n v="0"/>
    <s v="Inbound Market Message"/>
    <x v="0"/>
  </r>
  <r>
    <x v="4"/>
    <x v="176"/>
    <n v="0"/>
    <s v="Outbound Market Message"/>
    <x v="0"/>
  </r>
  <r>
    <x v="4"/>
    <x v="177"/>
    <n v="0"/>
    <s v="Market Process"/>
    <x v="0"/>
  </r>
  <r>
    <x v="4"/>
    <x v="178"/>
    <n v="0"/>
    <s v="Market Process Event"/>
    <x v="0"/>
  </r>
  <r>
    <x v="4"/>
    <x v="179"/>
    <n v="0"/>
    <s v="Object Revision"/>
    <x v="0"/>
  </r>
  <r>
    <x v="4"/>
    <x v="180"/>
    <n v="439263"/>
    <s v="Outbound Message"/>
    <x v="0"/>
  </r>
  <r>
    <x v="4"/>
    <x v="181"/>
    <n v="1790"/>
    <s v="Process Flow"/>
    <x v="0"/>
  </r>
  <r>
    <x v="4"/>
    <x v="182"/>
    <n v="0"/>
    <s v="Mobile Remote Message"/>
    <x v="0"/>
  </r>
  <r>
    <x v="4"/>
    <x v="183"/>
    <n v="0"/>
    <s v="Request"/>
    <x v="0"/>
  </r>
  <r>
    <x v="4"/>
    <x v="184"/>
    <n v="704"/>
    <s v="Statistics Snapshot"/>
    <x v="1"/>
  </r>
  <r>
    <x v="4"/>
    <x v="185"/>
    <n v="395299"/>
    <s v="Service Task"/>
    <x v="0"/>
  </r>
  <r>
    <x v="4"/>
    <x v="186"/>
    <n v="323972"/>
    <s v="Sync Request"/>
    <x v="0"/>
  </r>
  <r>
    <x v="4"/>
    <x v="187"/>
    <n v="49304"/>
    <s v="Inbound Sync Request"/>
    <x v="0"/>
  </r>
  <r>
    <x v="4"/>
    <x v="188"/>
    <n v="0"/>
    <s v="Time Dimension"/>
    <x v="0"/>
  </r>
  <r>
    <x v="4"/>
    <x v="189"/>
    <n v="0"/>
    <s v="Accept Line"/>
    <x v="0"/>
  </r>
  <r>
    <x v="4"/>
    <x v="190"/>
    <n v="81"/>
    <s v="Activity"/>
    <x v="0"/>
  </r>
  <r>
    <x v="4"/>
    <x v="191"/>
    <n v="0"/>
    <s v="Activity Construction Location"/>
    <x v="0"/>
  </r>
  <r>
    <x v="4"/>
    <x v="192"/>
    <n v="0"/>
    <s v="Activity Reconciliation"/>
    <x v="0"/>
  </r>
  <r>
    <x v="4"/>
    <x v="193"/>
    <n v="0"/>
    <s v="Activity Resource Requirement"/>
    <x v="0"/>
  </r>
  <r>
    <x v="4"/>
    <x v="194"/>
    <n v="0"/>
    <s v="Cost Adjustment"/>
    <x v="0"/>
  </r>
  <r>
    <x v="4"/>
    <x v="195"/>
    <n v="0"/>
    <s v="Approval Request"/>
    <x v="0"/>
  </r>
  <r>
    <x v="4"/>
    <x v="196"/>
    <n v="108114"/>
    <s v="Asset"/>
    <x v="0"/>
  </r>
  <r>
    <x v="4"/>
    <x v="197"/>
    <n v="0"/>
    <s v="Blanket Contract Header"/>
    <x v="0"/>
  </r>
  <r>
    <x v="4"/>
    <x v="198"/>
    <n v="0"/>
    <s v="Blanket Contract Line"/>
    <x v="0"/>
  </r>
  <r>
    <x v="4"/>
    <x v="199"/>
    <n v="0"/>
    <s v="Bill of Materials Part"/>
    <x v="0"/>
  </r>
  <r>
    <x v="4"/>
    <x v="200"/>
    <n v="0"/>
    <s v="Change Request"/>
    <x v="0"/>
  </r>
  <r>
    <x v="4"/>
    <x v="201"/>
    <n v="0"/>
    <s v="Checklist"/>
    <x v="0"/>
  </r>
  <r>
    <x v="4"/>
    <x v="202"/>
    <n v="81"/>
    <s v="Completion Event"/>
    <x v="0"/>
  </r>
  <r>
    <x v="4"/>
    <x v="203"/>
    <n v="0"/>
    <s v="Communication"/>
    <x v="0"/>
  </r>
  <r>
    <x v="4"/>
    <x v="204"/>
    <n v="0"/>
    <s v="Communication In"/>
    <x v="0"/>
  </r>
  <r>
    <x v="4"/>
    <x v="205"/>
    <n v="0"/>
    <s v="Configuration"/>
    <x v="0"/>
  </r>
  <r>
    <x v="4"/>
    <x v="206"/>
    <n v="0"/>
    <s v="Configuration Report"/>
    <x v="0"/>
  </r>
  <r>
    <x v="4"/>
    <x v="207"/>
    <n v="56750"/>
    <s v="Contact"/>
    <x v="0"/>
  </r>
  <r>
    <x v="4"/>
    <x v="208"/>
    <n v="0"/>
    <s v="Crew"/>
    <x v="0"/>
  </r>
  <r>
    <x v="4"/>
    <x v="209"/>
    <n v="0"/>
    <s v="Crew Shift"/>
    <x v="0"/>
  </r>
  <r>
    <x v="4"/>
    <x v="210"/>
    <n v="0"/>
    <s v="Compatible Unit"/>
    <x v="0"/>
  </r>
  <r>
    <x v="4"/>
    <x v="211"/>
    <n v="0"/>
    <s v="CU Contractor Bid"/>
    <x v="0"/>
  </r>
  <r>
    <x v="4"/>
    <x v="212"/>
    <n v="0"/>
    <s v="Design Element"/>
    <x v="0"/>
  </r>
  <r>
    <x v="4"/>
    <x v="213"/>
    <n v="0"/>
    <s v="Document"/>
    <x v="0"/>
  </r>
  <r>
    <x v="4"/>
    <x v="214"/>
    <n v="0"/>
    <s v="Employee"/>
    <x v="0"/>
  </r>
  <r>
    <x v="4"/>
    <x v="215"/>
    <n v="0"/>
    <s v="Employee Unavailability"/>
    <x v="0"/>
  </r>
  <r>
    <x v="4"/>
    <x v="216"/>
    <n v="0"/>
    <s v="Expedite Purchase Order"/>
    <x v="2"/>
  </r>
  <r>
    <x v="4"/>
    <x v="217"/>
    <n v="0"/>
    <s v="Financial Transaction"/>
    <x v="0"/>
  </r>
  <r>
    <x v="4"/>
    <x v="218"/>
    <n v="0"/>
    <s v="Invoice Group"/>
    <x v="0"/>
  </r>
  <r>
    <x v="4"/>
    <x v="219"/>
    <n v="0"/>
    <s v="Invoice Header"/>
    <x v="0"/>
  </r>
  <r>
    <x v="4"/>
    <x v="220"/>
    <n v="0"/>
    <s v="Invoice Line"/>
    <x v="0"/>
  </r>
  <r>
    <x v="4"/>
    <x v="221"/>
    <n v="0"/>
    <s v="Inventory Adjustment"/>
    <x v="0"/>
  </r>
  <r>
    <x v="4"/>
    <x v="222"/>
    <n v="0"/>
    <s v="Maintenance Event"/>
    <x v="0"/>
  </r>
  <r>
    <x v="4"/>
    <x v="223"/>
    <n v="0"/>
    <s v="Maintenance Schedule"/>
    <x v="0"/>
  </r>
  <r>
    <x v="4"/>
    <x v="224"/>
    <n v="0"/>
    <s v="Maintenance Trigger"/>
    <x v="0"/>
  </r>
  <r>
    <x v="4"/>
    <x v="225"/>
    <n v="0"/>
    <s v="Material Disposition"/>
    <x v="0"/>
  </r>
  <r>
    <x v="4"/>
    <x v="226"/>
    <n v="0"/>
    <s v="Material Issue Line"/>
    <x v="0"/>
  </r>
  <r>
    <x v="4"/>
    <x v="227"/>
    <n v="0"/>
    <s v="Material Request Header"/>
    <x v="0"/>
  </r>
  <r>
    <x v="4"/>
    <x v="228"/>
    <n v="0"/>
    <s v="Material Request Line"/>
    <x v="0"/>
  </r>
  <r>
    <x v="4"/>
    <x v="229"/>
    <n v="0"/>
    <s v="Material Request Template"/>
    <x v="0"/>
  </r>
  <r>
    <x v="4"/>
    <x v="230"/>
    <n v="0"/>
    <s v="Material Return Header"/>
    <x v="0"/>
  </r>
  <r>
    <x v="4"/>
    <x v="231"/>
    <n v="0"/>
    <s v="Material Return Line"/>
    <x v="0"/>
  </r>
  <r>
    <x v="4"/>
    <x v="232"/>
    <n v="0"/>
    <s v="Measurement"/>
    <x v="0"/>
  </r>
  <r>
    <x v="4"/>
    <x v="233"/>
    <n v="0"/>
    <s v="Mobile Subscription"/>
    <x v="0"/>
  </r>
  <r>
    <x v="4"/>
    <x v="234"/>
    <n v="44703"/>
    <s v="Location/Organization"/>
    <x v="0"/>
  </r>
  <r>
    <x v="4"/>
    <x v="235"/>
    <n v="0"/>
    <s v="Other Direct Charges"/>
    <x v="0"/>
  </r>
  <r>
    <x v="4"/>
    <x v="236"/>
    <n v="0"/>
    <s v="Other Direct Charges Detail"/>
    <x v="0"/>
  </r>
  <r>
    <x v="4"/>
    <x v="237"/>
    <n v="0"/>
    <s v="Permit"/>
    <x v="0"/>
  </r>
  <r>
    <x v="4"/>
    <x v="238"/>
    <n v="0"/>
    <s v="Physical Inventory Count Line"/>
    <x v="0"/>
  </r>
  <r>
    <x v="4"/>
    <x v="239"/>
    <n v="0"/>
    <s v="Physical Inventory Count Master"/>
    <x v="0"/>
  </r>
  <r>
    <x v="4"/>
    <x v="240"/>
    <n v="0"/>
    <s v="Physical Inventory Header"/>
    <x v="0"/>
  </r>
  <r>
    <x v="4"/>
    <x v="241"/>
    <n v="0"/>
    <s v="Purchase Order Header"/>
    <x v="0"/>
  </r>
  <r>
    <x v="4"/>
    <x v="242"/>
    <n v="0"/>
    <s v="Purchase Order Line"/>
    <x v="0"/>
  </r>
  <r>
    <x v="4"/>
    <x v="243"/>
    <n v="0"/>
    <s v="Functional Process"/>
    <x v="0"/>
  </r>
  <r>
    <x v="4"/>
    <x v="244"/>
    <n v="0"/>
    <s v="Project"/>
    <x v="0"/>
  </r>
  <r>
    <x v="4"/>
    <x v="245"/>
    <n v="0"/>
    <s v="Purchase Requisition Header"/>
    <x v="0"/>
  </r>
  <r>
    <x v="4"/>
    <x v="246"/>
    <n v="0"/>
    <s v="Purchase Requisition Line"/>
    <x v="0"/>
  </r>
  <r>
    <x v="4"/>
    <x v="247"/>
    <n v="0"/>
    <s v="Receipt Header"/>
    <x v="0"/>
  </r>
  <r>
    <x v="4"/>
    <x v="248"/>
    <n v="0"/>
    <s v="Receipt Line"/>
    <x v="0"/>
  </r>
  <r>
    <x v="4"/>
    <x v="249"/>
    <n v="0"/>
    <s v="Report Queue"/>
    <x v="0"/>
  </r>
  <r>
    <x v="4"/>
    <x v="250"/>
    <n v="0"/>
    <s v="Resource Type"/>
    <x v="0"/>
  </r>
  <r>
    <x v="4"/>
    <x v="251"/>
    <n v="0"/>
    <s v="Reorder Review"/>
    <x v="0"/>
  </r>
  <r>
    <x v="4"/>
    <x v="252"/>
    <n v="0"/>
    <s v="Return Line"/>
    <x v="0"/>
  </r>
  <r>
    <x v="4"/>
    <x v="253"/>
    <n v="0"/>
    <s v="Shift Weekly Template"/>
    <x v="0"/>
  </r>
  <r>
    <x v="4"/>
    <x v="254"/>
    <n v="0"/>
    <s v="Shipping Line"/>
    <x v="0"/>
  </r>
  <r>
    <x v="4"/>
    <x v="255"/>
    <n v="0"/>
    <s v="Shipping Memo"/>
    <x v="0"/>
  </r>
  <r>
    <x v="4"/>
    <x v="256"/>
    <n v="0"/>
    <s v="Stock Item Detail"/>
    <x v="0"/>
  </r>
  <r>
    <x v="4"/>
    <x v="257"/>
    <n v="0"/>
    <s v="Stock Transaction"/>
    <x v="0"/>
  </r>
  <r>
    <x v="4"/>
    <x v="258"/>
    <n v="0"/>
    <s v="Service History"/>
    <x v="0"/>
  </r>
  <r>
    <x v="4"/>
    <x v="259"/>
    <n v="0"/>
    <s v="Timesheet"/>
    <x v="0"/>
  </r>
  <r>
    <x v="4"/>
    <x v="260"/>
    <n v="0"/>
    <s v="Timesheet Detail"/>
    <x v="0"/>
  </r>
  <r>
    <x v="4"/>
    <x v="261"/>
    <n v="0"/>
    <s v="Template Activity"/>
    <x v="0"/>
  </r>
  <r>
    <x v="4"/>
    <x v="262"/>
    <n v="0"/>
    <s v="Template Activity Resource"/>
    <x v="0"/>
  </r>
  <r>
    <x v="4"/>
    <x v="263"/>
    <n v="0"/>
    <s v="Template Work Order"/>
    <x v="0"/>
  </r>
  <r>
    <x v="4"/>
    <x v="264"/>
    <n v="0"/>
    <s v="Vendor"/>
    <x v="0"/>
  </r>
  <r>
    <x v="4"/>
    <x v="265"/>
    <n v="0"/>
    <s v="Vendor Location"/>
    <x v="0"/>
  </r>
  <r>
    <x v="4"/>
    <x v="266"/>
    <n v="0"/>
    <s v="Warranty"/>
    <x v="0"/>
  </r>
  <r>
    <x v="4"/>
    <x v="267"/>
    <n v="3"/>
    <s v="Work Order"/>
    <x v="0"/>
  </r>
  <r>
    <x v="4"/>
    <x v="268"/>
    <n v="0"/>
    <s v="Work Design"/>
    <x v="0"/>
  </r>
  <r>
    <x v="4"/>
    <x v="269"/>
    <n v="0"/>
    <s v="Work Location"/>
    <x v="0"/>
  </r>
  <r>
    <x v="4"/>
    <x v="270"/>
    <n v="0"/>
    <s v="Work Request"/>
    <x v="0"/>
  </r>
  <r>
    <x v="5"/>
    <x v="276"/>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607F1-7D32-4077-8893-BC3F518F55D1}" name="PivotTable1" cacheId="35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F279" firstHeaderRow="1" firstDataRow="2" firstDataCol="1"/>
  <pivotFields count="5">
    <pivotField axis="axisCol" showAll="0">
      <items count="8">
        <item h="1" x="5"/>
        <item x="4"/>
        <item x="3"/>
        <item x="2"/>
        <item x="1"/>
        <item x="0"/>
        <item m="1" x="6"/>
        <item t="default"/>
      </items>
    </pivotField>
    <pivotField axis="axisRow" showAll="0">
      <items count="278">
        <item x="1"/>
        <item x="0"/>
        <item x="2"/>
        <item x="3"/>
        <item x="4"/>
        <item x="5"/>
        <item x="6"/>
        <item x="7"/>
        <item x="8"/>
        <item x="9"/>
        <item x="10"/>
        <item x="11"/>
        <item x="12"/>
        <item x="13"/>
        <item x="14"/>
        <item x="18"/>
        <item x="15"/>
        <item x="16"/>
        <item x="17"/>
        <item x="19"/>
        <item x="20"/>
        <item x="21"/>
        <item x="271"/>
        <item x="22"/>
        <item x="23"/>
        <item x="24"/>
        <item x="25"/>
        <item x="26"/>
        <item x="27"/>
        <item x="28"/>
        <item x="29"/>
        <item x="30"/>
        <item x="31"/>
        <item x="32"/>
        <item x="33"/>
        <item x="34"/>
        <item x="35"/>
        <item x="36"/>
        <item x="37"/>
        <item x="38"/>
        <item x="39"/>
        <item x="40"/>
        <item x="41"/>
        <item x="42"/>
        <item x="43"/>
        <item x="44"/>
        <item x="45"/>
        <item x="46"/>
        <item x="47"/>
        <item x="48"/>
        <item x="49"/>
        <item x="50"/>
        <item x="51"/>
        <item x="276"/>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2"/>
        <item x="273"/>
        <item x="274"/>
        <item x="275"/>
        <item t="default"/>
      </items>
    </pivotField>
    <pivotField dataField="1" showAll="0"/>
    <pivotField showAll="0"/>
    <pivotField multipleItemSelectionAllowed="1" showAll="0">
      <items count="5">
        <item x="2"/>
        <item x="1"/>
        <item x="0"/>
        <item x="3"/>
        <item t="default"/>
      </items>
    </pivotField>
  </pivotFields>
  <rowFields count="1">
    <field x="1"/>
  </rowFields>
  <rowItems count="2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t="grand">
      <x/>
    </i>
  </rowItems>
  <colFields count="1">
    <field x="0"/>
  </colFields>
  <colItems count="5">
    <i>
      <x v="1"/>
    </i>
    <i>
      <x v="2"/>
    </i>
    <i>
      <x v="3"/>
    </i>
    <i>
      <x v="4"/>
    </i>
    <i>
      <x v="5"/>
    </i>
  </colItems>
  <dataFields count="1">
    <dataField name="Sum of Row Count" fld="2" baseField="1" baseItem="0" numFmtId="3"/>
  </dataFields>
  <formats count="13">
    <format dxfId="0">
      <pivotArea field="1" type="button" dataOnly="0" labelOnly="1" outline="0" axis="axisRow" fieldPosition="0"/>
    </format>
    <format dxfId="1">
      <pivotArea dataOnly="0" labelOnly="1" fieldPosition="0">
        <references count="1">
          <reference field="0" count="0"/>
        </references>
      </pivotArea>
    </format>
    <format dxfId="2">
      <pivotArea outline="0" collapsedLevelsAreSubtotals="1" fieldPosition="0"/>
    </format>
    <format dxfId="3">
      <pivotArea field="1" type="button" dataOnly="0" labelOnly="1" outline="0" axis="axisRow" fieldPosition="0"/>
    </format>
    <format dxfId="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
      <pivotArea dataOnly="0" labelOnly="1" fieldPosition="0">
        <references count="1">
          <reference field="1" count="50">
            <x v="50"/>
            <x v="51"/>
            <x v="52"/>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6">
      <pivotArea dataOnly="0" labelOnly="1" fieldPosition="0">
        <references count="1">
          <reference field="1"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7">
      <pivotArea dataOnly="0" labelOnly="1" fieldPosition="0">
        <references count="1">
          <reference field="1" count="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reference>
        </references>
      </pivotArea>
    </format>
    <format dxfId="8">
      <pivotArea dataOnly="0" labelOnly="1" fieldPosition="0">
        <references count="1">
          <reference field="1" count="5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reference>
        </references>
      </pivotArea>
    </format>
    <format dxfId="9">
      <pivotArea dataOnly="0" labelOnly="1" fieldPosition="0">
        <references count="1">
          <reference field="1" count="26">
            <x v="251"/>
            <x v="252"/>
            <x v="253"/>
            <x v="254"/>
            <x v="255"/>
            <x v="256"/>
            <x v="257"/>
            <x v="258"/>
            <x v="259"/>
            <x v="260"/>
            <x v="261"/>
            <x v="262"/>
            <x v="263"/>
            <x v="264"/>
            <x v="265"/>
            <x v="266"/>
            <x v="267"/>
            <x v="268"/>
            <x v="269"/>
            <x v="270"/>
            <x v="271"/>
            <x v="272"/>
            <x v="273"/>
            <x v="274"/>
            <x v="275"/>
            <x v="276"/>
          </reference>
        </references>
      </pivotArea>
    </format>
    <format dxfId="10">
      <pivotArea dataOnly="0" labelOnly="1" grandRow="1" outline="0" fieldPosition="0"/>
    </format>
    <format dxfId="11">
      <pivotArea dataOnly="0" labelOnly="1" fieldPosition="0">
        <references count="1">
          <reference field="0" count="0"/>
        </references>
      </pivotArea>
    </format>
    <format dxfId="12">
      <pivotArea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9" dT="2025-04-25T05:29:36.60" personId="{F70AAE99-347D-4E96-95C4-0B2D412E5F2A}" id="{8408004C-9CF4-44D8-B0E7-0AAD154DA0B7}">
    <text>Not in this version of c2m</text>
  </threadedComment>
  <threadedComment ref="B29" dT="2025-04-25T19:46:43.89" personId="{E2424C55-59D6-4B2C-B349-C2CA84CC2DF0}" id="{0CF02D11-0754-41A3-A102-CCB354AFC468}" parentId="{8408004C-9CF4-44D8-B0E7-0AAD154DA0B7}">
    <text>This is introduced in SP1.</text>
  </threadedComment>
  <threadedComment ref="B48" dT="2025-04-28T03:04:15.16" personId="{F70AAE99-347D-4E96-95C4-0B2D412E5F2A}" id="{D550D304-9CD5-4193-BCE9-3DCD82FFC222}">
    <text>How do I expose these data area elemetns?  I thought we would not create a BODA View for this.  Your comments indicate “no mapping” but should these data still need to be displayed at the very least?</text>
  </threadedComment>
  <threadedComment ref="B122" dT="2025-04-25T06:49:37.72" personId="{F70AAE99-347D-4E96-95C4-0B2D412E5F2A}" id="{3F47DAF3-D864-41BA-8B70-1FD24349472C}">
    <text>Not yet in this version of c2m</text>
  </threadedComment>
  <threadedComment ref="B122" dT="2025-04-25T20:03:51.12" personId="{E2424C55-59D6-4B2C-B349-C2CA84CC2DF0}" id="{8CEC49D0-D395-4D00-9B69-D48B445E4FF6}" parentId="{3F47DAF3-D864-41BA-8B70-1FD24349472C}">
    <text>This is introduced in SP1.</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90869C-75CF-4D18-A50F-6B3F20DBC45D}">
  <we:reference id="wa200000556" version="1.1.0.0" store="en-US" storeType="OMEX"/>
  <we:alternateReferences>
    <we:reference id="WA200000556" version="1.1.0.0" store="" storeType="OMEX"/>
  </we:alternateReferences>
  <we:properties>
    <we:property name="Office.AutoShowTaskpaneWithDocument" value="true"/>
    <we:property name="documentId" value="&quot;886810a7-a6d5-4f1d-beab-3a5d94822c9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C6B9-E4E7-43A0-A5C5-29A826BEA4C3}">
  <sheetPr>
    <pageSetUpPr fitToPage="1"/>
  </sheetPr>
  <dimension ref="A1:C278"/>
  <sheetViews>
    <sheetView workbookViewId="0">
      <pane ySplit="1" topLeftCell="A2" activePane="bottomLeft" state="frozen"/>
      <selection pane="bottomLeft" activeCell="C11" sqref="C11"/>
    </sheetView>
  </sheetViews>
  <sheetFormatPr defaultColWidth="9.140625" defaultRowHeight="15"/>
  <cols>
    <col min="1" max="1" width="15.28515625" style="4" customWidth="1"/>
    <col min="2" max="2" width="16.140625" style="4" customWidth="1"/>
    <col min="3" max="3" width="21.85546875" style="4" customWidth="1"/>
    <col min="4" max="16384" width="9.140625" style="4"/>
  </cols>
  <sheetData>
    <row r="1" spans="1:3">
      <c r="A1" s="4" t="s">
        <v>0</v>
      </c>
      <c r="B1" s="4" t="s">
        <v>1</v>
      </c>
      <c r="C1" s="4" t="s">
        <v>2</v>
      </c>
    </row>
    <row r="2" spans="1:3">
      <c r="A2" s="4" t="s">
        <v>3</v>
      </c>
      <c r="B2" s="4" t="s">
        <v>4</v>
      </c>
      <c r="C2" s="4" t="s">
        <v>5</v>
      </c>
    </row>
    <row r="3" spans="1:3">
      <c r="A3" s="4" t="s">
        <v>6</v>
      </c>
      <c r="B3" s="4" t="s">
        <v>7</v>
      </c>
      <c r="C3" s="4" t="s">
        <v>5</v>
      </c>
    </row>
    <row r="4" spans="1:3">
      <c r="A4" s="4" t="s">
        <v>8</v>
      </c>
      <c r="B4" s="4" t="s">
        <v>9</v>
      </c>
      <c r="C4" s="4" t="s">
        <v>5</v>
      </c>
    </row>
    <row r="5" spans="1:3">
      <c r="A5" s="4" t="s">
        <v>10</v>
      </c>
      <c r="B5" s="4" t="s">
        <v>11</v>
      </c>
      <c r="C5" s="4" t="s">
        <v>5</v>
      </c>
    </row>
    <row r="6" spans="1:3">
      <c r="A6" s="4" t="s">
        <v>12</v>
      </c>
      <c r="B6" s="4" t="s">
        <v>13</v>
      </c>
      <c r="C6" s="4" t="s">
        <v>5</v>
      </c>
    </row>
    <row r="7" spans="1:3">
      <c r="A7" s="4" t="s">
        <v>14</v>
      </c>
      <c r="B7" s="4" t="s">
        <v>15</v>
      </c>
      <c r="C7" s="4" t="s">
        <v>5</v>
      </c>
    </row>
    <row r="8" spans="1:3">
      <c r="A8" s="4" t="s">
        <v>16</v>
      </c>
      <c r="B8" s="4" t="s">
        <v>17</v>
      </c>
      <c r="C8" s="4" t="s">
        <v>5</v>
      </c>
    </row>
    <row r="9" spans="1:3">
      <c r="A9" s="4" t="s">
        <v>18</v>
      </c>
      <c r="B9" s="4" t="s">
        <v>19</v>
      </c>
      <c r="C9" s="4" t="s">
        <v>5</v>
      </c>
    </row>
    <row r="10" spans="1:3">
      <c r="A10" s="4" t="s">
        <v>20</v>
      </c>
      <c r="B10" s="4" t="s">
        <v>21</v>
      </c>
      <c r="C10" s="4" t="s">
        <v>5</v>
      </c>
    </row>
    <row r="11" spans="1:3">
      <c r="A11" s="4" t="s">
        <v>22</v>
      </c>
      <c r="B11" s="4" t="s">
        <v>23</v>
      </c>
      <c r="C11" s="4" t="s">
        <v>5</v>
      </c>
    </row>
    <row r="12" spans="1:3">
      <c r="A12" s="4" t="s">
        <v>24</v>
      </c>
      <c r="B12" s="4" t="s">
        <v>25</v>
      </c>
      <c r="C12" s="4" t="s">
        <v>5</v>
      </c>
    </row>
    <row r="13" spans="1:3">
      <c r="A13" s="4" t="s">
        <v>26</v>
      </c>
      <c r="B13" s="4" t="s">
        <v>27</v>
      </c>
      <c r="C13" s="4" t="s">
        <v>5</v>
      </c>
    </row>
    <row r="14" spans="1:3">
      <c r="A14" s="4" t="s">
        <v>28</v>
      </c>
      <c r="B14" s="4" t="s">
        <v>29</v>
      </c>
      <c r="C14" s="4" t="s">
        <v>5</v>
      </c>
    </row>
    <row r="15" spans="1:3">
      <c r="A15" s="4" t="s">
        <v>30</v>
      </c>
      <c r="B15" s="4" t="s">
        <v>31</v>
      </c>
      <c r="C15" s="4" t="s">
        <v>5</v>
      </c>
    </row>
    <row r="16" spans="1:3">
      <c r="A16" s="4" t="s">
        <v>32</v>
      </c>
      <c r="B16" s="4" t="s">
        <v>33</v>
      </c>
      <c r="C16" s="4" t="s">
        <v>5</v>
      </c>
    </row>
    <row r="17" spans="1:3">
      <c r="A17" s="4" t="s">
        <v>34</v>
      </c>
      <c r="B17" s="4" t="s">
        <v>35</v>
      </c>
      <c r="C17" s="4" t="s">
        <v>5</v>
      </c>
    </row>
    <row r="18" spans="1:3">
      <c r="A18" s="4" t="s">
        <v>36</v>
      </c>
      <c r="B18" s="4" t="s">
        <v>37</v>
      </c>
      <c r="C18" s="4" t="s">
        <v>5</v>
      </c>
    </row>
    <row r="19" spans="1:3">
      <c r="A19" s="4" t="s">
        <v>38</v>
      </c>
      <c r="B19" s="4" t="s">
        <v>39</v>
      </c>
      <c r="C19" s="4" t="s">
        <v>5</v>
      </c>
    </row>
    <row r="20" spans="1:3">
      <c r="A20" s="4" t="s">
        <v>40</v>
      </c>
      <c r="B20" s="4" t="s">
        <v>41</v>
      </c>
      <c r="C20" s="4" t="s">
        <v>5</v>
      </c>
    </row>
    <row r="21" spans="1:3">
      <c r="A21" s="4" t="s">
        <v>42</v>
      </c>
      <c r="B21" s="4" t="s">
        <v>43</v>
      </c>
      <c r="C21" s="4" t="s">
        <v>5</v>
      </c>
    </row>
    <row r="22" spans="1:3">
      <c r="A22" s="4" t="s">
        <v>44</v>
      </c>
      <c r="B22" s="4" t="s">
        <v>45</v>
      </c>
      <c r="C22" s="4" t="s">
        <v>5</v>
      </c>
    </row>
    <row r="23" spans="1:3">
      <c r="A23" s="4" t="s">
        <v>46</v>
      </c>
      <c r="B23" s="4" t="s">
        <v>47</v>
      </c>
      <c r="C23" s="4" t="s">
        <v>5</v>
      </c>
    </row>
    <row r="24" spans="1:3">
      <c r="A24" s="4" t="s">
        <v>48</v>
      </c>
      <c r="B24" s="4" t="s">
        <v>49</v>
      </c>
      <c r="C24" s="4" t="s">
        <v>5</v>
      </c>
    </row>
    <row r="25" spans="1:3">
      <c r="A25" s="4" t="s">
        <v>50</v>
      </c>
      <c r="B25" s="4" t="s">
        <v>51</v>
      </c>
      <c r="C25" s="4" t="s">
        <v>5</v>
      </c>
    </row>
    <row r="26" spans="1:3">
      <c r="A26" s="4" t="s">
        <v>52</v>
      </c>
      <c r="B26" s="4" t="s">
        <v>53</v>
      </c>
      <c r="C26" s="4" t="s">
        <v>5</v>
      </c>
    </row>
    <row r="27" spans="1:3">
      <c r="A27" s="4" t="s">
        <v>54</v>
      </c>
      <c r="B27" s="4" t="s">
        <v>55</v>
      </c>
      <c r="C27" s="4" t="s">
        <v>5</v>
      </c>
    </row>
    <row r="28" spans="1:3">
      <c r="A28" s="4" t="s">
        <v>56</v>
      </c>
      <c r="B28" s="4" t="s">
        <v>57</v>
      </c>
      <c r="C28" s="4" t="s">
        <v>5</v>
      </c>
    </row>
    <row r="29" spans="1:3">
      <c r="A29" s="4" t="s">
        <v>58</v>
      </c>
      <c r="B29" s="4" t="s">
        <v>59</v>
      </c>
      <c r="C29" s="4" t="s">
        <v>5</v>
      </c>
    </row>
    <row r="30" spans="1:3">
      <c r="A30" s="4" t="s">
        <v>60</v>
      </c>
      <c r="B30" s="4" t="s">
        <v>61</v>
      </c>
      <c r="C30" s="4" t="s">
        <v>5</v>
      </c>
    </row>
    <row r="31" spans="1:3">
      <c r="A31" s="4" t="s">
        <v>62</v>
      </c>
      <c r="B31" s="4" t="s">
        <v>63</v>
      </c>
      <c r="C31" s="4" t="s">
        <v>5</v>
      </c>
    </row>
    <row r="32" spans="1:3">
      <c r="A32" s="4" t="s">
        <v>64</v>
      </c>
      <c r="B32" s="4" t="s">
        <v>65</v>
      </c>
      <c r="C32" s="4" t="s">
        <v>5</v>
      </c>
    </row>
    <row r="33" spans="1:3">
      <c r="A33" s="4" t="s">
        <v>66</v>
      </c>
      <c r="B33" s="4" t="s">
        <v>67</v>
      </c>
      <c r="C33" s="4" t="s">
        <v>5</v>
      </c>
    </row>
    <row r="34" spans="1:3">
      <c r="A34" s="4" t="s">
        <v>68</v>
      </c>
      <c r="B34" s="4" t="s">
        <v>69</v>
      </c>
      <c r="C34" s="4" t="s">
        <v>5</v>
      </c>
    </row>
    <row r="35" spans="1:3">
      <c r="A35" s="4" t="s">
        <v>70</v>
      </c>
      <c r="B35" s="4" t="s">
        <v>71</v>
      </c>
      <c r="C35" s="4" t="s">
        <v>5</v>
      </c>
    </row>
    <row r="36" spans="1:3">
      <c r="A36" s="4" t="s">
        <v>72</v>
      </c>
      <c r="B36" s="4" t="s">
        <v>73</v>
      </c>
      <c r="C36" s="4" t="s">
        <v>5</v>
      </c>
    </row>
    <row r="37" spans="1:3">
      <c r="A37" s="4" t="s">
        <v>74</v>
      </c>
      <c r="B37" s="4" t="s">
        <v>75</v>
      </c>
      <c r="C37" s="4" t="s">
        <v>5</v>
      </c>
    </row>
    <row r="38" spans="1:3">
      <c r="A38" s="4" t="s">
        <v>76</v>
      </c>
      <c r="B38" s="4" t="s">
        <v>77</v>
      </c>
      <c r="C38" s="4" t="s">
        <v>5</v>
      </c>
    </row>
    <row r="39" spans="1:3">
      <c r="A39" s="4" t="s">
        <v>78</v>
      </c>
      <c r="B39" s="4" t="s">
        <v>79</v>
      </c>
      <c r="C39" s="4" t="s">
        <v>5</v>
      </c>
    </row>
    <row r="40" spans="1:3">
      <c r="A40" s="4" t="s">
        <v>80</v>
      </c>
      <c r="B40" s="4" t="s">
        <v>81</v>
      </c>
      <c r="C40" s="4" t="s">
        <v>5</v>
      </c>
    </row>
    <row r="41" spans="1:3">
      <c r="A41" s="4" t="s">
        <v>82</v>
      </c>
      <c r="B41" s="4" t="s">
        <v>83</v>
      </c>
      <c r="C41" s="4" t="s">
        <v>5</v>
      </c>
    </row>
    <row r="42" spans="1:3">
      <c r="A42" s="4" t="s">
        <v>84</v>
      </c>
      <c r="B42" s="4" t="s">
        <v>85</v>
      </c>
      <c r="C42" s="4" t="s">
        <v>5</v>
      </c>
    </row>
    <row r="43" spans="1:3">
      <c r="A43" s="4" t="s">
        <v>86</v>
      </c>
      <c r="B43" s="4" t="s">
        <v>87</v>
      </c>
      <c r="C43" s="4" t="s">
        <v>5</v>
      </c>
    </row>
    <row r="44" spans="1:3">
      <c r="A44" s="4" t="s">
        <v>88</v>
      </c>
      <c r="B44" s="4" t="s">
        <v>89</v>
      </c>
      <c r="C44" s="4" t="s">
        <v>5</v>
      </c>
    </row>
    <row r="45" spans="1:3">
      <c r="A45" s="4" t="s">
        <v>90</v>
      </c>
      <c r="B45" s="4" t="s">
        <v>91</v>
      </c>
      <c r="C45" s="4" t="s">
        <v>5</v>
      </c>
    </row>
    <row r="46" spans="1:3">
      <c r="A46" s="4" t="s">
        <v>92</v>
      </c>
      <c r="B46" s="4" t="s">
        <v>93</v>
      </c>
      <c r="C46" s="4" t="s">
        <v>5</v>
      </c>
    </row>
    <row r="47" spans="1:3">
      <c r="A47" s="4" t="s">
        <v>94</v>
      </c>
      <c r="B47" s="4" t="s">
        <v>95</v>
      </c>
      <c r="C47" s="4" t="s">
        <v>5</v>
      </c>
    </row>
    <row r="48" spans="1:3">
      <c r="A48" s="4" t="s">
        <v>96</v>
      </c>
      <c r="B48" s="4" t="s">
        <v>97</v>
      </c>
      <c r="C48" s="4" t="s">
        <v>5</v>
      </c>
    </row>
    <row r="49" spans="1:3">
      <c r="A49" s="4" t="s">
        <v>98</v>
      </c>
      <c r="B49" s="4" t="s">
        <v>99</v>
      </c>
      <c r="C49" s="4" t="s">
        <v>5</v>
      </c>
    </row>
    <row r="50" spans="1:3">
      <c r="A50" s="4" t="s">
        <v>100</v>
      </c>
      <c r="B50" s="4" t="s">
        <v>101</v>
      </c>
      <c r="C50" s="4" t="s">
        <v>5</v>
      </c>
    </row>
    <row r="51" spans="1:3">
      <c r="A51" s="4" t="s">
        <v>102</v>
      </c>
      <c r="B51" s="4" t="s">
        <v>103</v>
      </c>
      <c r="C51" s="4" t="s">
        <v>5</v>
      </c>
    </row>
    <row r="52" spans="1:3">
      <c r="A52" s="4" t="s">
        <v>104</v>
      </c>
      <c r="B52" s="4" t="s">
        <v>105</v>
      </c>
      <c r="C52" s="4" t="s">
        <v>5</v>
      </c>
    </row>
    <row r="53" spans="1:3">
      <c r="A53" s="4" t="s">
        <v>106</v>
      </c>
      <c r="B53" s="4" t="s">
        <v>107</v>
      </c>
      <c r="C53" s="4" t="s">
        <v>5</v>
      </c>
    </row>
    <row r="54" spans="1:3">
      <c r="A54" s="4" t="s">
        <v>108</v>
      </c>
      <c r="B54" s="4" t="s">
        <v>109</v>
      </c>
      <c r="C54" s="4" t="s">
        <v>5</v>
      </c>
    </row>
    <row r="55" spans="1:3">
      <c r="A55" s="4" t="s">
        <v>110</v>
      </c>
      <c r="B55" s="4" t="s">
        <v>111</v>
      </c>
      <c r="C55" s="4" t="s">
        <v>5</v>
      </c>
    </row>
    <row r="56" spans="1:3">
      <c r="A56" s="4" t="s">
        <v>112</v>
      </c>
      <c r="B56" s="4" t="s">
        <v>113</v>
      </c>
      <c r="C56" s="4" t="s">
        <v>5</v>
      </c>
    </row>
    <row r="57" spans="1:3">
      <c r="A57" s="4" t="s">
        <v>114</v>
      </c>
      <c r="B57" s="4" t="s">
        <v>115</v>
      </c>
      <c r="C57" s="4" t="s">
        <v>5</v>
      </c>
    </row>
    <row r="58" spans="1:3">
      <c r="A58" s="4" t="s">
        <v>116</v>
      </c>
      <c r="B58" s="4" t="s">
        <v>117</v>
      </c>
      <c r="C58" s="4" t="s">
        <v>5</v>
      </c>
    </row>
    <row r="59" spans="1:3">
      <c r="A59" s="4" t="s">
        <v>118</v>
      </c>
      <c r="B59" s="4" t="s">
        <v>119</v>
      </c>
      <c r="C59" s="4" t="s">
        <v>5</v>
      </c>
    </row>
    <row r="60" spans="1:3">
      <c r="A60" s="4" t="s">
        <v>120</v>
      </c>
      <c r="B60" s="4" t="s">
        <v>121</v>
      </c>
      <c r="C60" s="4" t="s">
        <v>5</v>
      </c>
    </row>
    <row r="61" spans="1:3">
      <c r="A61" s="4" t="s">
        <v>122</v>
      </c>
      <c r="B61" s="4" t="s">
        <v>123</v>
      </c>
      <c r="C61" s="4" t="s">
        <v>5</v>
      </c>
    </row>
    <row r="62" spans="1:3">
      <c r="A62" s="4" t="s">
        <v>124</v>
      </c>
      <c r="B62" s="4" t="s">
        <v>125</v>
      </c>
      <c r="C62" s="4" t="s">
        <v>5</v>
      </c>
    </row>
    <row r="63" spans="1:3">
      <c r="A63" s="4" t="s">
        <v>126</v>
      </c>
      <c r="B63" s="4" t="s">
        <v>127</v>
      </c>
      <c r="C63" s="4" t="s">
        <v>5</v>
      </c>
    </row>
    <row r="64" spans="1:3">
      <c r="A64" s="4" t="s">
        <v>128</v>
      </c>
      <c r="B64" s="4" t="s">
        <v>129</v>
      </c>
      <c r="C64" s="4" t="s">
        <v>5</v>
      </c>
    </row>
    <row r="65" spans="1:3">
      <c r="A65" s="4" t="s">
        <v>130</v>
      </c>
      <c r="B65" s="4" t="s">
        <v>131</v>
      </c>
      <c r="C65" s="4" t="s">
        <v>5</v>
      </c>
    </row>
    <row r="66" spans="1:3">
      <c r="A66" s="4" t="s">
        <v>132</v>
      </c>
      <c r="B66" s="4" t="s">
        <v>133</v>
      </c>
      <c r="C66" s="4" t="s">
        <v>5</v>
      </c>
    </row>
    <row r="67" spans="1:3">
      <c r="A67" s="4" t="s">
        <v>134</v>
      </c>
      <c r="B67" s="4" t="s">
        <v>135</v>
      </c>
      <c r="C67" s="4" t="s">
        <v>5</v>
      </c>
    </row>
    <row r="68" spans="1:3">
      <c r="A68" s="4" t="s">
        <v>136</v>
      </c>
      <c r="B68" s="4" t="s">
        <v>137</v>
      </c>
      <c r="C68" s="4" t="s">
        <v>5</v>
      </c>
    </row>
    <row r="69" spans="1:3">
      <c r="A69" s="4" t="s">
        <v>138</v>
      </c>
      <c r="B69" s="4" t="s">
        <v>139</v>
      </c>
      <c r="C69" s="4" t="s">
        <v>5</v>
      </c>
    </row>
    <row r="70" spans="1:3">
      <c r="A70" s="4" t="s">
        <v>140</v>
      </c>
      <c r="B70" s="4" t="s">
        <v>141</v>
      </c>
      <c r="C70" s="4" t="s">
        <v>5</v>
      </c>
    </row>
    <row r="71" spans="1:3">
      <c r="A71" s="4" t="s">
        <v>142</v>
      </c>
      <c r="B71" s="4" t="s">
        <v>143</v>
      </c>
      <c r="C71" s="4" t="s">
        <v>5</v>
      </c>
    </row>
    <row r="72" spans="1:3">
      <c r="A72" s="4" t="s">
        <v>144</v>
      </c>
      <c r="B72" s="4" t="s">
        <v>145</v>
      </c>
      <c r="C72" s="4" t="s">
        <v>5</v>
      </c>
    </row>
    <row r="73" spans="1:3">
      <c r="A73" s="4" t="s">
        <v>146</v>
      </c>
      <c r="B73" s="4" t="s">
        <v>147</v>
      </c>
      <c r="C73" s="4" t="s">
        <v>5</v>
      </c>
    </row>
    <row r="74" spans="1:3">
      <c r="A74" s="4" t="s">
        <v>148</v>
      </c>
      <c r="B74" s="4" t="s">
        <v>149</v>
      </c>
      <c r="C74" s="4" t="s">
        <v>5</v>
      </c>
    </row>
    <row r="75" spans="1:3">
      <c r="A75" s="4" t="s">
        <v>150</v>
      </c>
      <c r="B75" s="4" t="s">
        <v>151</v>
      </c>
      <c r="C75" s="4" t="s">
        <v>5</v>
      </c>
    </row>
    <row r="76" spans="1:3">
      <c r="A76" s="4" t="s">
        <v>152</v>
      </c>
      <c r="B76" s="4" t="s">
        <v>153</v>
      </c>
      <c r="C76" s="4" t="s">
        <v>5</v>
      </c>
    </row>
    <row r="77" spans="1:3">
      <c r="A77" s="4" t="s">
        <v>154</v>
      </c>
      <c r="B77" s="4" t="s">
        <v>155</v>
      </c>
      <c r="C77" s="4" t="s">
        <v>5</v>
      </c>
    </row>
    <row r="78" spans="1:3">
      <c r="A78" s="4" t="s">
        <v>156</v>
      </c>
      <c r="B78" s="4" t="s">
        <v>157</v>
      </c>
      <c r="C78" s="4" t="s">
        <v>5</v>
      </c>
    </row>
    <row r="79" spans="1:3">
      <c r="A79" s="4" t="s">
        <v>158</v>
      </c>
      <c r="B79" s="4" t="s">
        <v>159</v>
      </c>
      <c r="C79" s="4" t="s">
        <v>5</v>
      </c>
    </row>
    <row r="80" spans="1:3">
      <c r="A80" s="4" t="s">
        <v>160</v>
      </c>
      <c r="B80" s="4" t="s">
        <v>161</v>
      </c>
      <c r="C80" s="4" t="s">
        <v>5</v>
      </c>
    </row>
    <row r="81" spans="1:3">
      <c r="A81" s="4" t="s">
        <v>162</v>
      </c>
      <c r="B81" s="4" t="s">
        <v>163</v>
      </c>
      <c r="C81" s="4" t="s">
        <v>5</v>
      </c>
    </row>
    <row r="82" spans="1:3">
      <c r="A82" s="4" t="s">
        <v>164</v>
      </c>
      <c r="B82" s="4" t="s">
        <v>165</v>
      </c>
      <c r="C82" s="4" t="s">
        <v>5</v>
      </c>
    </row>
    <row r="83" spans="1:3">
      <c r="A83" s="4" t="s">
        <v>166</v>
      </c>
      <c r="B83" s="4" t="s">
        <v>167</v>
      </c>
      <c r="C83" s="4" t="s">
        <v>5</v>
      </c>
    </row>
    <row r="84" spans="1:3">
      <c r="A84" s="4" t="s">
        <v>168</v>
      </c>
      <c r="B84" s="4" t="s">
        <v>169</v>
      </c>
      <c r="C84" s="4" t="s">
        <v>5</v>
      </c>
    </row>
    <row r="85" spans="1:3">
      <c r="A85" s="4" t="s">
        <v>170</v>
      </c>
      <c r="B85" s="4" t="s">
        <v>171</v>
      </c>
      <c r="C85" s="4" t="s">
        <v>5</v>
      </c>
    </row>
    <row r="86" spans="1:3">
      <c r="A86" s="4" t="s">
        <v>172</v>
      </c>
      <c r="B86" s="4" t="s">
        <v>173</v>
      </c>
      <c r="C86" s="4" t="s">
        <v>5</v>
      </c>
    </row>
    <row r="87" spans="1:3">
      <c r="A87" s="4" t="s">
        <v>174</v>
      </c>
      <c r="B87" s="4" t="s">
        <v>175</v>
      </c>
      <c r="C87" s="4" t="s">
        <v>5</v>
      </c>
    </row>
    <row r="88" spans="1:3">
      <c r="A88" s="4" t="s">
        <v>176</v>
      </c>
      <c r="B88" s="4" t="s">
        <v>177</v>
      </c>
      <c r="C88" s="4" t="s">
        <v>5</v>
      </c>
    </row>
    <row r="89" spans="1:3">
      <c r="A89" s="4" t="s">
        <v>178</v>
      </c>
      <c r="B89" s="4" t="s">
        <v>179</v>
      </c>
      <c r="C89" s="4" t="s">
        <v>5</v>
      </c>
    </row>
    <row r="90" spans="1:3">
      <c r="A90" s="4" t="s">
        <v>180</v>
      </c>
      <c r="B90" s="4" t="s">
        <v>181</v>
      </c>
      <c r="C90" s="4" t="s">
        <v>5</v>
      </c>
    </row>
    <row r="91" spans="1:3">
      <c r="A91" s="4" t="s">
        <v>182</v>
      </c>
      <c r="B91" s="4" t="s">
        <v>183</v>
      </c>
      <c r="C91" s="4" t="s">
        <v>5</v>
      </c>
    </row>
    <row r="92" spans="1:3">
      <c r="A92" s="4" t="s">
        <v>184</v>
      </c>
      <c r="B92" s="4" t="s">
        <v>185</v>
      </c>
      <c r="C92" s="4" t="s">
        <v>5</v>
      </c>
    </row>
    <row r="93" spans="1:3">
      <c r="A93" s="4" t="s">
        <v>184</v>
      </c>
      <c r="B93" s="4" t="s">
        <v>185</v>
      </c>
      <c r="C93" s="4" t="s">
        <v>5</v>
      </c>
    </row>
    <row r="94" spans="1:3">
      <c r="A94" s="4" t="s">
        <v>186</v>
      </c>
      <c r="B94" s="4" t="s">
        <v>187</v>
      </c>
      <c r="C94" s="4" t="s">
        <v>5</v>
      </c>
    </row>
    <row r="95" spans="1:3">
      <c r="A95" s="4" t="s">
        <v>188</v>
      </c>
      <c r="B95" s="4" t="s">
        <v>189</v>
      </c>
      <c r="C95" s="4" t="s">
        <v>5</v>
      </c>
    </row>
    <row r="96" spans="1:3">
      <c r="A96" s="4" t="s">
        <v>190</v>
      </c>
      <c r="B96" s="4" t="s">
        <v>191</v>
      </c>
      <c r="C96" s="4" t="s">
        <v>5</v>
      </c>
    </row>
    <row r="97" spans="1:3">
      <c r="A97" s="4" t="s">
        <v>192</v>
      </c>
      <c r="B97" s="4" t="s">
        <v>193</v>
      </c>
      <c r="C97" s="4" t="s">
        <v>5</v>
      </c>
    </row>
    <row r="98" spans="1:3">
      <c r="A98" s="4" t="s">
        <v>194</v>
      </c>
      <c r="B98" s="4" t="s">
        <v>195</v>
      </c>
      <c r="C98" s="4" t="s">
        <v>5</v>
      </c>
    </row>
    <row r="99" spans="1:3">
      <c r="A99" s="4" t="s">
        <v>196</v>
      </c>
      <c r="B99" s="4" t="s">
        <v>197</v>
      </c>
      <c r="C99" s="4" t="s">
        <v>198</v>
      </c>
    </row>
    <row r="100" spans="1:3">
      <c r="A100" s="4" t="s">
        <v>199</v>
      </c>
      <c r="B100" s="4" t="s">
        <v>200</v>
      </c>
      <c r="C100" s="4" t="s">
        <v>5</v>
      </c>
    </row>
    <row r="101" spans="1:3">
      <c r="A101" s="4" t="s">
        <v>201</v>
      </c>
      <c r="B101" s="4" t="s">
        <v>202</v>
      </c>
      <c r="C101" s="4" t="s">
        <v>5</v>
      </c>
    </row>
    <row r="102" spans="1:3">
      <c r="A102" s="4" t="s">
        <v>203</v>
      </c>
      <c r="B102" s="4" t="s">
        <v>204</v>
      </c>
      <c r="C102" s="4" t="s">
        <v>5</v>
      </c>
    </row>
    <row r="103" spans="1:3">
      <c r="A103" s="4" t="s">
        <v>205</v>
      </c>
      <c r="B103" s="4" t="s">
        <v>206</v>
      </c>
      <c r="C103" s="4" t="s">
        <v>5</v>
      </c>
    </row>
    <row r="104" spans="1:3">
      <c r="A104" s="4" t="s">
        <v>207</v>
      </c>
      <c r="B104" s="4" t="s">
        <v>208</v>
      </c>
      <c r="C104" s="4" t="s">
        <v>5</v>
      </c>
    </row>
    <row r="105" spans="1:3">
      <c r="A105" s="4" t="s">
        <v>209</v>
      </c>
      <c r="B105" s="4" t="s">
        <v>210</v>
      </c>
      <c r="C105" s="4" t="s">
        <v>5</v>
      </c>
    </row>
    <row r="106" spans="1:3">
      <c r="A106" s="4" t="s">
        <v>211</v>
      </c>
      <c r="B106" s="4" t="s">
        <v>212</v>
      </c>
      <c r="C106" s="4" t="s">
        <v>5</v>
      </c>
    </row>
    <row r="107" spans="1:3">
      <c r="A107" s="4" t="s">
        <v>213</v>
      </c>
      <c r="B107" s="4" t="s">
        <v>214</v>
      </c>
      <c r="C107" s="4" t="s">
        <v>5</v>
      </c>
    </row>
    <row r="108" spans="1:3">
      <c r="A108" s="4" t="s">
        <v>215</v>
      </c>
      <c r="B108" s="4" t="s">
        <v>216</v>
      </c>
      <c r="C108" s="4" t="s">
        <v>5</v>
      </c>
    </row>
    <row r="109" spans="1:3">
      <c r="A109" s="4" t="s">
        <v>217</v>
      </c>
      <c r="B109" s="4" t="s">
        <v>218</v>
      </c>
      <c r="C109" s="4" t="s">
        <v>5</v>
      </c>
    </row>
    <row r="110" spans="1:3">
      <c r="A110" s="4" t="s">
        <v>219</v>
      </c>
      <c r="B110" s="4" t="s">
        <v>220</v>
      </c>
      <c r="C110" s="4" t="s">
        <v>5</v>
      </c>
    </row>
    <row r="111" spans="1:3">
      <c r="A111" s="4" t="s">
        <v>221</v>
      </c>
      <c r="B111" s="4" t="s">
        <v>222</v>
      </c>
      <c r="C111" s="4" t="s">
        <v>5</v>
      </c>
    </row>
    <row r="112" spans="1:3">
      <c r="A112" s="4" t="s">
        <v>223</v>
      </c>
      <c r="B112" s="4" t="s">
        <v>224</v>
      </c>
      <c r="C112" s="4" t="s">
        <v>5</v>
      </c>
    </row>
    <row r="113" spans="1:3">
      <c r="A113" s="4" t="s">
        <v>225</v>
      </c>
      <c r="B113" s="4" t="s">
        <v>226</v>
      </c>
      <c r="C113" s="4" t="s">
        <v>5</v>
      </c>
    </row>
    <row r="114" spans="1:3">
      <c r="A114" s="4" t="s">
        <v>227</v>
      </c>
      <c r="B114" s="4" t="s">
        <v>228</v>
      </c>
      <c r="C114" s="4" t="s">
        <v>5</v>
      </c>
    </row>
    <row r="115" spans="1:3">
      <c r="A115" s="4" t="s">
        <v>229</v>
      </c>
      <c r="B115" s="4" t="s">
        <v>230</v>
      </c>
      <c r="C115" s="4" t="s">
        <v>5</v>
      </c>
    </row>
    <row r="116" spans="1:3">
      <c r="A116" s="4" t="s">
        <v>231</v>
      </c>
      <c r="B116" s="4" t="s">
        <v>232</v>
      </c>
      <c r="C116" s="4" t="s">
        <v>5</v>
      </c>
    </row>
    <row r="117" spans="1:3">
      <c r="A117" s="4" t="s">
        <v>233</v>
      </c>
      <c r="B117" s="4" t="s">
        <v>234</v>
      </c>
      <c r="C117" s="4" t="s">
        <v>5</v>
      </c>
    </row>
    <row r="118" spans="1:3">
      <c r="A118" s="4" t="s">
        <v>235</v>
      </c>
      <c r="B118" s="4" t="s">
        <v>236</v>
      </c>
      <c r="C118" s="4" t="s">
        <v>5</v>
      </c>
    </row>
    <row r="119" spans="1:3">
      <c r="A119" s="4" t="s">
        <v>237</v>
      </c>
      <c r="B119" s="4" t="s">
        <v>238</v>
      </c>
      <c r="C119" s="4" t="s">
        <v>5</v>
      </c>
    </row>
    <row r="120" spans="1:3">
      <c r="A120" s="4" t="s">
        <v>239</v>
      </c>
      <c r="B120" s="4" t="s">
        <v>240</v>
      </c>
      <c r="C120" s="4" t="s">
        <v>5</v>
      </c>
    </row>
    <row r="121" spans="1:3">
      <c r="A121" s="4" t="s">
        <v>241</v>
      </c>
      <c r="B121" s="4" t="s">
        <v>242</v>
      </c>
      <c r="C121" s="4" t="s">
        <v>5</v>
      </c>
    </row>
    <row r="122" spans="1:3">
      <c r="A122" s="4" t="s">
        <v>243</v>
      </c>
      <c r="B122" s="4" t="s">
        <v>244</v>
      </c>
      <c r="C122" s="4" t="s">
        <v>5</v>
      </c>
    </row>
    <row r="123" spans="1:3">
      <c r="A123" s="4" t="s">
        <v>245</v>
      </c>
      <c r="B123" s="4" t="s">
        <v>246</v>
      </c>
      <c r="C123" s="4" t="s">
        <v>5</v>
      </c>
    </row>
    <row r="124" spans="1:3">
      <c r="A124" s="4" t="s">
        <v>247</v>
      </c>
      <c r="B124" s="4" t="s">
        <v>248</v>
      </c>
      <c r="C124" s="4" t="s">
        <v>5</v>
      </c>
    </row>
    <row r="125" spans="1:3">
      <c r="A125" s="4" t="s">
        <v>249</v>
      </c>
      <c r="B125" s="4" t="s">
        <v>250</v>
      </c>
      <c r="C125" s="4" t="s">
        <v>5</v>
      </c>
    </row>
    <row r="126" spans="1:3">
      <c r="A126" s="4" t="s">
        <v>251</v>
      </c>
      <c r="B126" s="4" t="s">
        <v>252</v>
      </c>
      <c r="C126" s="4" t="s">
        <v>5</v>
      </c>
    </row>
    <row r="127" spans="1:3">
      <c r="A127" s="4" t="s">
        <v>253</v>
      </c>
      <c r="B127" s="4" t="s">
        <v>254</v>
      </c>
      <c r="C127" s="4" t="s">
        <v>5</v>
      </c>
    </row>
    <row r="128" spans="1:3">
      <c r="A128" s="4" t="s">
        <v>255</v>
      </c>
      <c r="B128" s="4" t="s">
        <v>256</v>
      </c>
      <c r="C128" s="4" t="s">
        <v>198</v>
      </c>
    </row>
    <row r="129" spans="1:3">
      <c r="A129" s="4" t="s">
        <v>257</v>
      </c>
      <c r="B129" s="4" t="s">
        <v>258</v>
      </c>
      <c r="C129" s="4" t="s">
        <v>5</v>
      </c>
    </row>
    <row r="130" spans="1:3">
      <c r="A130" s="4" t="s">
        <v>259</v>
      </c>
      <c r="B130" s="4" t="s">
        <v>260</v>
      </c>
      <c r="C130" s="4" t="s">
        <v>5</v>
      </c>
    </row>
    <row r="131" spans="1:3">
      <c r="A131" s="4" t="s">
        <v>261</v>
      </c>
      <c r="B131" s="4" t="s">
        <v>262</v>
      </c>
      <c r="C131" s="4" t="s">
        <v>5</v>
      </c>
    </row>
    <row r="132" spans="1:3">
      <c r="A132" s="4" t="s">
        <v>263</v>
      </c>
      <c r="B132" s="4" t="s">
        <v>264</v>
      </c>
      <c r="C132" s="4" t="s">
        <v>5</v>
      </c>
    </row>
    <row r="133" spans="1:3">
      <c r="A133" s="4" t="s">
        <v>265</v>
      </c>
      <c r="B133" s="4" t="s">
        <v>266</v>
      </c>
      <c r="C133" s="4" t="s">
        <v>5</v>
      </c>
    </row>
    <row r="134" spans="1:3">
      <c r="A134" s="4" t="s">
        <v>267</v>
      </c>
      <c r="B134" s="4" t="s">
        <v>268</v>
      </c>
      <c r="C134" s="4" t="s">
        <v>5</v>
      </c>
    </row>
    <row r="135" spans="1:3">
      <c r="A135" s="4" t="s">
        <v>269</v>
      </c>
      <c r="B135" s="4" t="s">
        <v>270</v>
      </c>
      <c r="C135" s="4" t="s">
        <v>5</v>
      </c>
    </row>
    <row r="136" spans="1:3">
      <c r="A136" s="4" t="s">
        <v>271</v>
      </c>
      <c r="B136" s="4" t="s">
        <v>272</v>
      </c>
      <c r="C136" s="4" t="s">
        <v>5</v>
      </c>
    </row>
    <row r="137" spans="1:3">
      <c r="A137" s="4" t="s">
        <v>273</v>
      </c>
      <c r="B137" s="4" t="s">
        <v>274</v>
      </c>
      <c r="C137" s="4" t="s">
        <v>5</v>
      </c>
    </row>
    <row r="138" spans="1:3">
      <c r="A138" s="4" t="s">
        <v>275</v>
      </c>
      <c r="B138" s="4" t="s">
        <v>276</v>
      </c>
      <c r="C138" s="4" t="s">
        <v>5</v>
      </c>
    </row>
    <row r="139" spans="1:3">
      <c r="A139" s="4" t="s">
        <v>277</v>
      </c>
      <c r="B139" s="4" t="s">
        <v>278</v>
      </c>
      <c r="C139" s="4" t="s">
        <v>5</v>
      </c>
    </row>
    <row r="140" spans="1:3">
      <c r="A140" s="4" t="s">
        <v>279</v>
      </c>
      <c r="B140" s="4" t="s">
        <v>280</v>
      </c>
      <c r="C140" s="4" t="s">
        <v>5</v>
      </c>
    </row>
    <row r="141" spans="1:3">
      <c r="A141" s="4" t="s">
        <v>281</v>
      </c>
      <c r="B141" s="4" t="s">
        <v>282</v>
      </c>
      <c r="C141" s="4" t="s">
        <v>5</v>
      </c>
    </row>
    <row r="142" spans="1:3">
      <c r="A142" s="4" t="s">
        <v>283</v>
      </c>
      <c r="B142" s="4" t="s">
        <v>284</v>
      </c>
      <c r="C142" s="4" t="s">
        <v>5</v>
      </c>
    </row>
    <row r="143" spans="1:3">
      <c r="A143" s="4" t="s">
        <v>285</v>
      </c>
      <c r="B143" s="4" t="s">
        <v>286</v>
      </c>
      <c r="C143" s="4" t="s">
        <v>5</v>
      </c>
    </row>
    <row r="144" spans="1:3">
      <c r="A144" s="4" t="s">
        <v>287</v>
      </c>
      <c r="B144" s="4" t="s">
        <v>288</v>
      </c>
      <c r="C144" s="4" t="s">
        <v>5</v>
      </c>
    </row>
    <row r="145" spans="1:3">
      <c r="A145" s="4" t="s">
        <v>289</v>
      </c>
      <c r="B145" s="4" t="s">
        <v>290</v>
      </c>
      <c r="C145" s="4" t="s">
        <v>5</v>
      </c>
    </row>
    <row r="146" spans="1:3">
      <c r="A146" s="4" t="s">
        <v>291</v>
      </c>
      <c r="B146" s="4" t="s">
        <v>292</v>
      </c>
      <c r="C146" s="4" t="s">
        <v>5</v>
      </c>
    </row>
    <row r="147" spans="1:3">
      <c r="A147" s="4" t="s">
        <v>293</v>
      </c>
      <c r="B147" s="4" t="s">
        <v>41</v>
      </c>
      <c r="C147" s="4" t="s">
        <v>5</v>
      </c>
    </row>
    <row r="148" spans="1:3">
      <c r="A148" s="4" t="s">
        <v>294</v>
      </c>
      <c r="B148" s="4" t="s">
        <v>295</v>
      </c>
      <c r="C148" s="4" t="s">
        <v>5</v>
      </c>
    </row>
    <row r="149" spans="1:3">
      <c r="A149" s="4" t="s">
        <v>296</v>
      </c>
      <c r="B149" s="4" t="s">
        <v>297</v>
      </c>
      <c r="C149" s="4" t="s">
        <v>5</v>
      </c>
    </row>
    <row r="150" spans="1:3">
      <c r="A150" s="4" t="s">
        <v>298</v>
      </c>
      <c r="B150" s="4" t="s">
        <v>299</v>
      </c>
      <c r="C150" s="4" t="s">
        <v>5</v>
      </c>
    </row>
    <row r="151" spans="1:3">
      <c r="A151" s="4" t="s">
        <v>300</v>
      </c>
      <c r="B151" s="4" t="s">
        <v>301</v>
      </c>
      <c r="C151" s="4" t="s">
        <v>5</v>
      </c>
    </row>
    <row r="152" spans="1:3">
      <c r="A152" s="4" t="s">
        <v>302</v>
      </c>
      <c r="B152" s="4" t="s">
        <v>303</v>
      </c>
      <c r="C152" s="4" t="s">
        <v>5</v>
      </c>
    </row>
    <row r="153" spans="1:3">
      <c r="A153" s="4" t="s">
        <v>304</v>
      </c>
      <c r="B153" s="4" t="s">
        <v>305</v>
      </c>
      <c r="C153" s="4" t="s">
        <v>5</v>
      </c>
    </row>
    <row r="154" spans="1:3">
      <c r="A154" s="4" t="s">
        <v>306</v>
      </c>
      <c r="B154" s="4" t="s">
        <v>307</v>
      </c>
      <c r="C154" s="4" t="s">
        <v>5</v>
      </c>
    </row>
    <row r="155" spans="1:3">
      <c r="A155" s="4" t="s">
        <v>308</v>
      </c>
      <c r="B155" s="4" t="s">
        <v>309</v>
      </c>
      <c r="C155" s="4" t="s">
        <v>5</v>
      </c>
    </row>
    <row r="156" spans="1:3">
      <c r="A156" s="4" t="s">
        <v>310</v>
      </c>
      <c r="B156" s="4" t="s">
        <v>311</v>
      </c>
      <c r="C156" s="4" t="s">
        <v>5</v>
      </c>
    </row>
    <row r="157" spans="1:3">
      <c r="A157" s="4" t="s">
        <v>312</v>
      </c>
      <c r="B157" s="4" t="s">
        <v>313</v>
      </c>
      <c r="C157" s="4" t="s">
        <v>5</v>
      </c>
    </row>
    <row r="158" spans="1:3">
      <c r="A158" s="4" t="s">
        <v>314</v>
      </c>
      <c r="B158" s="4" t="s">
        <v>315</v>
      </c>
      <c r="C158" s="4" t="s">
        <v>5</v>
      </c>
    </row>
    <row r="159" spans="1:3">
      <c r="A159" s="4" t="s">
        <v>316</v>
      </c>
      <c r="B159" s="4" t="s">
        <v>51</v>
      </c>
      <c r="C159" s="4" t="s">
        <v>5</v>
      </c>
    </row>
    <row r="160" spans="1:3">
      <c r="A160" s="4" t="s">
        <v>317</v>
      </c>
      <c r="B160" s="4" t="s">
        <v>318</v>
      </c>
      <c r="C160" s="4" t="s">
        <v>5</v>
      </c>
    </row>
    <row r="161" spans="1:3">
      <c r="A161" s="4" t="s">
        <v>319</v>
      </c>
      <c r="B161" s="4" t="s">
        <v>320</v>
      </c>
      <c r="C161" s="4" t="s">
        <v>5</v>
      </c>
    </row>
    <row r="162" spans="1:3">
      <c r="A162" s="4" t="s">
        <v>321</v>
      </c>
      <c r="B162" s="4" t="s">
        <v>322</v>
      </c>
      <c r="C162" s="4" t="s">
        <v>5</v>
      </c>
    </row>
    <row r="163" spans="1:3">
      <c r="A163" s="4" t="s">
        <v>323</v>
      </c>
      <c r="B163" s="4" t="s">
        <v>324</v>
      </c>
      <c r="C163" s="4" t="s">
        <v>5</v>
      </c>
    </row>
    <row r="164" spans="1:3">
      <c r="A164" s="4" t="s">
        <v>325</v>
      </c>
      <c r="B164" s="4" t="s">
        <v>326</v>
      </c>
      <c r="C164" s="4" t="s">
        <v>5</v>
      </c>
    </row>
    <row r="165" spans="1:3">
      <c r="A165" s="4" t="s">
        <v>327</v>
      </c>
      <c r="B165" s="4" t="s">
        <v>328</v>
      </c>
      <c r="C165" s="4" t="s">
        <v>5</v>
      </c>
    </row>
    <row r="166" spans="1:3">
      <c r="A166" s="4" t="s">
        <v>329</v>
      </c>
      <c r="B166" s="4" t="s">
        <v>330</v>
      </c>
      <c r="C166" s="4" t="s">
        <v>331</v>
      </c>
    </row>
    <row r="167" spans="1:3">
      <c r="A167" s="4" t="s">
        <v>332</v>
      </c>
      <c r="B167" s="4" t="s">
        <v>333</v>
      </c>
      <c r="C167" s="4" t="s">
        <v>331</v>
      </c>
    </row>
    <row r="168" spans="1:3">
      <c r="A168" s="4" t="s">
        <v>334</v>
      </c>
      <c r="B168" s="4" t="s">
        <v>335</v>
      </c>
      <c r="C168" s="4" t="s">
        <v>5</v>
      </c>
    </row>
    <row r="169" spans="1:3">
      <c r="A169" s="4" t="s">
        <v>336</v>
      </c>
      <c r="B169" s="4" t="s">
        <v>337</v>
      </c>
      <c r="C169" s="4" t="s">
        <v>5</v>
      </c>
    </row>
    <row r="170" spans="1:3">
      <c r="A170" s="4" t="s">
        <v>338</v>
      </c>
      <c r="B170" s="4" t="s">
        <v>339</v>
      </c>
      <c r="C170" s="4" t="s">
        <v>5</v>
      </c>
    </row>
    <row r="171" spans="1:3">
      <c r="A171" s="4" t="s">
        <v>340</v>
      </c>
      <c r="B171" s="4" t="s">
        <v>341</v>
      </c>
      <c r="C171" s="4" t="s">
        <v>5</v>
      </c>
    </row>
    <row r="172" spans="1:3">
      <c r="A172" s="4" t="s">
        <v>342</v>
      </c>
      <c r="B172" s="4" t="s">
        <v>343</v>
      </c>
      <c r="C172" s="4" t="s">
        <v>5</v>
      </c>
    </row>
    <row r="173" spans="1:3">
      <c r="A173" s="4" t="s">
        <v>344</v>
      </c>
      <c r="B173" s="4" t="s">
        <v>345</v>
      </c>
      <c r="C173" s="4" t="s">
        <v>5</v>
      </c>
    </row>
    <row r="174" spans="1:3">
      <c r="A174" s="4" t="s">
        <v>346</v>
      </c>
      <c r="B174" s="4" t="s">
        <v>347</v>
      </c>
      <c r="C174" s="4" t="s">
        <v>5</v>
      </c>
    </row>
    <row r="175" spans="1:3">
      <c r="A175" s="4" t="s">
        <v>348</v>
      </c>
      <c r="B175" s="4" t="s">
        <v>349</v>
      </c>
      <c r="C175" s="4" t="s">
        <v>5</v>
      </c>
    </row>
    <row r="176" spans="1:3">
      <c r="A176" s="4" t="s">
        <v>350</v>
      </c>
      <c r="B176" s="4" t="s">
        <v>351</v>
      </c>
      <c r="C176" s="4" t="s">
        <v>5</v>
      </c>
    </row>
    <row r="177" spans="1:3">
      <c r="A177" s="4" t="s">
        <v>352</v>
      </c>
      <c r="B177" s="4" t="s">
        <v>353</v>
      </c>
      <c r="C177" s="4" t="s">
        <v>5</v>
      </c>
    </row>
    <row r="178" spans="1:3">
      <c r="A178" s="4" t="s">
        <v>354</v>
      </c>
      <c r="B178" s="4" t="s">
        <v>355</v>
      </c>
      <c r="C178" s="4" t="s">
        <v>5</v>
      </c>
    </row>
    <row r="179" spans="1:3">
      <c r="A179" s="4" t="s">
        <v>356</v>
      </c>
      <c r="B179" s="4" t="s">
        <v>357</v>
      </c>
      <c r="C179" s="4" t="s">
        <v>5</v>
      </c>
    </row>
    <row r="180" spans="1:3">
      <c r="A180" s="4" t="s">
        <v>358</v>
      </c>
      <c r="B180" s="4" t="s">
        <v>359</v>
      </c>
      <c r="C180" s="4" t="s">
        <v>5</v>
      </c>
    </row>
    <row r="181" spans="1:3">
      <c r="A181" s="4" t="s">
        <v>360</v>
      </c>
      <c r="B181" s="4" t="s">
        <v>361</v>
      </c>
      <c r="C181" s="4" t="s">
        <v>5</v>
      </c>
    </row>
    <row r="182" spans="1:3">
      <c r="A182" s="4" t="s">
        <v>362</v>
      </c>
      <c r="B182" s="4" t="s">
        <v>363</v>
      </c>
      <c r="C182" s="4" t="s">
        <v>5</v>
      </c>
    </row>
    <row r="183" spans="1:3">
      <c r="A183" s="4" t="s">
        <v>364</v>
      </c>
      <c r="B183" s="4" t="s">
        <v>365</v>
      </c>
      <c r="C183" s="4" t="s">
        <v>5</v>
      </c>
    </row>
    <row r="184" spans="1:3">
      <c r="A184" s="4" t="s">
        <v>366</v>
      </c>
      <c r="B184" s="4" t="s">
        <v>367</v>
      </c>
      <c r="C184" s="4" t="s">
        <v>5</v>
      </c>
    </row>
    <row r="185" spans="1:3">
      <c r="A185" s="4" t="s">
        <v>368</v>
      </c>
      <c r="B185" s="4" t="s">
        <v>369</v>
      </c>
      <c r="C185" s="4" t="s">
        <v>5</v>
      </c>
    </row>
    <row r="186" spans="1:3">
      <c r="A186" s="4" t="s">
        <v>370</v>
      </c>
      <c r="B186" s="4" t="s">
        <v>371</v>
      </c>
      <c r="C186" s="4" t="s">
        <v>5</v>
      </c>
    </row>
    <row r="187" spans="1:3">
      <c r="A187" s="4" t="s">
        <v>372</v>
      </c>
      <c r="B187" s="4" t="s">
        <v>373</v>
      </c>
      <c r="C187" s="4" t="s">
        <v>5</v>
      </c>
    </row>
    <row r="188" spans="1:3">
      <c r="A188" s="4" t="s">
        <v>374</v>
      </c>
      <c r="B188" s="4" t="s">
        <v>375</v>
      </c>
      <c r="C188" s="4" t="s">
        <v>5</v>
      </c>
    </row>
    <row r="189" spans="1:3">
      <c r="A189" s="4" t="s">
        <v>376</v>
      </c>
      <c r="B189" s="4" t="s">
        <v>377</v>
      </c>
      <c r="C189" s="4" t="s">
        <v>5</v>
      </c>
    </row>
    <row r="190" spans="1:3">
      <c r="A190" s="4" t="s">
        <v>378</v>
      </c>
      <c r="B190" s="4" t="s">
        <v>379</v>
      </c>
      <c r="C190" s="4" t="s">
        <v>5</v>
      </c>
    </row>
    <row r="191" spans="1:3">
      <c r="A191" s="4" t="s">
        <v>380</v>
      </c>
      <c r="B191" s="4" t="s">
        <v>381</v>
      </c>
      <c r="C191" s="4" t="s">
        <v>5</v>
      </c>
    </row>
    <row r="192" spans="1:3">
      <c r="A192" s="4" t="s">
        <v>382</v>
      </c>
      <c r="B192" s="4" t="s">
        <v>383</v>
      </c>
      <c r="C192" s="4" t="s">
        <v>198</v>
      </c>
    </row>
    <row r="193" spans="1:3">
      <c r="A193" s="4" t="s">
        <v>384</v>
      </c>
      <c r="B193" s="4" t="s">
        <v>385</v>
      </c>
      <c r="C193" s="4" t="s">
        <v>5</v>
      </c>
    </row>
    <row r="194" spans="1:3">
      <c r="A194" s="4" t="s">
        <v>386</v>
      </c>
      <c r="B194" s="4" t="s">
        <v>387</v>
      </c>
      <c r="C194" s="4" t="s">
        <v>5</v>
      </c>
    </row>
    <row r="195" spans="1:3">
      <c r="A195" s="4" t="s">
        <v>388</v>
      </c>
      <c r="B195" s="4" t="s">
        <v>389</v>
      </c>
      <c r="C195" s="4" t="s">
        <v>5</v>
      </c>
    </row>
    <row r="196" spans="1:3">
      <c r="A196" s="4" t="s">
        <v>390</v>
      </c>
      <c r="B196" s="4" t="s">
        <v>391</v>
      </c>
      <c r="C196" s="4" t="s">
        <v>5</v>
      </c>
    </row>
    <row r="197" spans="1:3">
      <c r="A197" s="4" t="s">
        <v>392</v>
      </c>
      <c r="B197" s="4" t="s">
        <v>393</v>
      </c>
      <c r="C197" s="4" t="s">
        <v>5</v>
      </c>
    </row>
    <row r="198" spans="1:3">
      <c r="A198" s="4" t="s">
        <v>394</v>
      </c>
      <c r="B198" s="4" t="s">
        <v>240</v>
      </c>
      <c r="C198" s="4" t="s">
        <v>5</v>
      </c>
    </row>
    <row r="199" spans="1:3">
      <c r="A199" s="4" t="s">
        <v>395</v>
      </c>
      <c r="B199" s="4" t="s">
        <v>396</v>
      </c>
      <c r="C199" s="4" t="s">
        <v>5</v>
      </c>
    </row>
    <row r="200" spans="1:3">
      <c r="A200" s="4" t="s">
        <v>397</v>
      </c>
      <c r="B200" s="4" t="s">
        <v>398</v>
      </c>
      <c r="C200" s="4" t="s">
        <v>5</v>
      </c>
    </row>
    <row r="201" spans="1:3">
      <c r="A201" s="4" t="s">
        <v>399</v>
      </c>
      <c r="B201" s="4" t="s">
        <v>400</v>
      </c>
      <c r="C201" s="4" t="s">
        <v>5</v>
      </c>
    </row>
    <row r="202" spans="1:3">
      <c r="A202" s="4" t="s">
        <v>401</v>
      </c>
      <c r="B202" s="4" t="s">
        <v>402</v>
      </c>
      <c r="C202" s="4" t="s">
        <v>5</v>
      </c>
    </row>
    <row r="203" spans="1:3">
      <c r="A203" s="4" t="s">
        <v>403</v>
      </c>
      <c r="B203" s="4" t="s">
        <v>67</v>
      </c>
      <c r="C203" s="4" t="s">
        <v>5</v>
      </c>
    </row>
    <row r="204" spans="1:3">
      <c r="A204" s="4" t="s">
        <v>404</v>
      </c>
      <c r="B204" s="4" t="s">
        <v>405</v>
      </c>
      <c r="C204" s="4" t="s">
        <v>5</v>
      </c>
    </row>
    <row r="205" spans="1:3">
      <c r="A205" s="4" t="s">
        <v>406</v>
      </c>
      <c r="B205" s="4" t="s">
        <v>407</v>
      </c>
      <c r="C205" s="4" t="s">
        <v>5</v>
      </c>
    </row>
    <row r="206" spans="1:3">
      <c r="A206" s="4" t="s">
        <v>408</v>
      </c>
      <c r="B206" s="4" t="s">
        <v>409</v>
      </c>
      <c r="C206" s="4" t="s">
        <v>5</v>
      </c>
    </row>
    <row r="207" spans="1:3">
      <c r="A207" s="4" t="s">
        <v>410</v>
      </c>
      <c r="B207" s="4" t="s">
        <v>411</v>
      </c>
      <c r="C207" s="4" t="s">
        <v>5</v>
      </c>
    </row>
    <row r="208" spans="1:3">
      <c r="A208" s="4" t="s">
        <v>412</v>
      </c>
      <c r="B208" s="4" t="s">
        <v>413</v>
      </c>
      <c r="C208" s="4" t="s">
        <v>5</v>
      </c>
    </row>
    <row r="209" spans="1:3">
      <c r="A209" s="4" t="s">
        <v>414</v>
      </c>
      <c r="B209" s="4" t="s">
        <v>415</v>
      </c>
      <c r="C209" s="4" t="s">
        <v>5</v>
      </c>
    </row>
    <row r="210" spans="1:3">
      <c r="A210" s="4" t="s">
        <v>416</v>
      </c>
      <c r="B210" s="4" t="s">
        <v>254</v>
      </c>
      <c r="C210" s="4" t="s">
        <v>5</v>
      </c>
    </row>
    <row r="211" spans="1:3">
      <c r="A211" s="4" t="s">
        <v>417</v>
      </c>
      <c r="B211" s="4" t="s">
        <v>418</v>
      </c>
      <c r="C211" s="4" t="s">
        <v>5</v>
      </c>
    </row>
    <row r="212" spans="1:3">
      <c r="A212" s="4" t="s">
        <v>419</v>
      </c>
      <c r="B212" s="4" t="s">
        <v>250</v>
      </c>
      <c r="C212" s="4" t="s">
        <v>5</v>
      </c>
    </row>
    <row r="213" spans="1:3">
      <c r="A213" s="4" t="s">
        <v>420</v>
      </c>
      <c r="B213" s="4" t="s">
        <v>421</v>
      </c>
      <c r="C213" s="4" t="s">
        <v>5</v>
      </c>
    </row>
    <row r="214" spans="1:3">
      <c r="A214" s="4" t="s">
        <v>422</v>
      </c>
      <c r="B214" s="4" t="s">
        <v>423</v>
      </c>
      <c r="C214" s="4" t="s">
        <v>5</v>
      </c>
    </row>
    <row r="215" spans="1:3">
      <c r="A215" s="4" t="s">
        <v>424</v>
      </c>
      <c r="B215" s="4" t="s">
        <v>256</v>
      </c>
      <c r="C215" s="4" t="s">
        <v>5</v>
      </c>
    </row>
    <row r="216" spans="1:3">
      <c r="A216" s="4" t="s">
        <v>425</v>
      </c>
      <c r="B216" s="4" t="s">
        <v>426</v>
      </c>
      <c r="C216" s="4" t="s">
        <v>5</v>
      </c>
    </row>
    <row r="217" spans="1:3">
      <c r="A217" s="4" t="s">
        <v>427</v>
      </c>
      <c r="B217" s="4" t="s">
        <v>428</v>
      </c>
      <c r="C217" s="4" t="s">
        <v>5</v>
      </c>
    </row>
    <row r="218" spans="1:3">
      <c r="A218" s="4" t="s">
        <v>429</v>
      </c>
      <c r="B218" s="4" t="s">
        <v>430</v>
      </c>
      <c r="C218" s="4" t="s">
        <v>5</v>
      </c>
    </row>
    <row r="219" spans="1:3">
      <c r="A219" s="4" t="s">
        <v>431</v>
      </c>
      <c r="B219" s="4" t="s">
        <v>432</v>
      </c>
      <c r="C219" s="4" t="s">
        <v>5</v>
      </c>
    </row>
    <row r="220" spans="1:3">
      <c r="A220" s="4" t="s">
        <v>433</v>
      </c>
      <c r="B220" s="4" t="s">
        <v>434</v>
      </c>
      <c r="C220" s="4" t="s">
        <v>5</v>
      </c>
    </row>
    <row r="221" spans="1:3">
      <c r="A221" s="4" t="s">
        <v>435</v>
      </c>
      <c r="B221" s="4" t="s">
        <v>436</v>
      </c>
      <c r="C221" s="4" t="s">
        <v>5</v>
      </c>
    </row>
    <row r="222" spans="1:3">
      <c r="A222" s="4" t="s">
        <v>437</v>
      </c>
      <c r="B222" s="4" t="s">
        <v>438</v>
      </c>
      <c r="C222" s="4" t="s">
        <v>5</v>
      </c>
    </row>
    <row r="223" spans="1:3">
      <c r="A223" s="4" t="s">
        <v>439</v>
      </c>
      <c r="B223" s="4" t="s">
        <v>440</v>
      </c>
      <c r="C223" s="4" t="s">
        <v>5</v>
      </c>
    </row>
    <row r="224" spans="1:3">
      <c r="A224" s="4" t="s">
        <v>441</v>
      </c>
      <c r="B224" s="4" t="s">
        <v>442</v>
      </c>
      <c r="C224" s="4" t="s">
        <v>331</v>
      </c>
    </row>
    <row r="225" spans="1:3">
      <c r="A225" s="4" t="s">
        <v>443</v>
      </c>
      <c r="B225" s="4" t="s">
        <v>127</v>
      </c>
      <c r="C225" s="4" t="s">
        <v>5</v>
      </c>
    </row>
    <row r="226" spans="1:3">
      <c r="A226" s="4" t="s">
        <v>444</v>
      </c>
      <c r="B226" s="4" t="s">
        <v>445</v>
      </c>
      <c r="C226" s="4" t="s">
        <v>5</v>
      </c>
    </row>
    <row r="227" spans="1:3">
      <c r="A227" s="4" t="s">
        <v>446</v>
      </c>
      <c r="B227" s="4" t="s">
        <v>447</v>
      </c>
      <c r="C227" s="4" t="s">
        <v>5</v>
      </c>
    </row>
    <row r="228" spans="1:3">
      <c r="A228" s="4" t="s">
        <v>448</v>
      </c>
      <c r="B228" s="4" t="s">
        <v>449</v>
      </c>
      <c r="C228" s="4" t="s">
        <v>5</v>
      </c>
    </row>
    <row r="229" spans="1:3">
      <c r="A229" s="4" t="s">
        <v>450</v>
      </c>
      <c r="B229" s="4" t="s">
        <v>451</v>
      </c>
      <c r="C229" s="4" t="s">
        <v>5</v>
      </c>
    </row>
    <row r="230" spans="1:3">
      <c r="A230" s="4" t="s">
        <v>452</v>
      </c>
      <c r="B230" s="4" t="s">
        <v>453</v>
      </c>
      <c r="C230" s="4" t="s">
        <v>5</v>
      </c>
    </row>
    <row r="231" spans="1:3">
      <c r="A231" s="4" t="s">
        <v>454</v>
      </c>
      <c r="B231" s="4" t="s">
        <v>455</v>
      </c>
      <c r="C231" s="4" t="s">
        <v>5</v>
      </c>
    </row>
    <row r="232" spans="1:3">
      <c r="A232" s="4" t="s">
        <v>456</v>
      </c>
      <c r="B232" s="4" t="s">
        <v>457</v>
      </c>
      <c r="C232" s="4" t="s">
        <v>5</v>
      </c>
    </row>
    <row r="233" spans="1:3">
      <c r="A233" s="4" t="s">
        <v>458</v>
      </c>
      <c r="B233" s="4" t="s">
        <v>459</v>
      </c>
      <c r="C233" s="4" t="s">
        <v>5</v>
      </c>
    </row>
    <row r="234" spans="1:3">
      <c r="A234" s="4" t="s">
        <v>460</v>
      </c>
      <c r="B234" s="4" t="s">
        <v>461</v>
      </c>
      <c r="C234" s="4" t="s">
        <v>5</v>
      </c>
    </row>
    <row r="235" spans="1:3">
      <c r="A235" s="4" t="s">
        <v>462</v>
      </c>
      <c r="B235" s="4" t="s">
        <v>463</v>
      </c>
      <c r="C235" s="4" t="s">
        <v>5</v>
      </c>
    </row>
    <row r="236" spans="1:3">
      <c r="A236" s="4" t="s">
        <v>464</v>
      </c>
      <c r="B236" s="4" t="s">
        <v>465</v>
      </c>
      <c r="C236" s="4" t="s">
        <v>5</v>
      </c>
    </row>
    <row r="237" spans="1:3">
      <c r="A237" s="4" t="s">
        <v>466</v>
      </c>
      <c r="B237" s="4" t="s">
        <v>467</v>
      </c>
      <c r="C237" s="4" t="s">
        <v>5</v>
      </c>
    </row>
    <row r="238" spans="1:3">
      <c r="A238" s="4" t="s">
        <v>468</v>
      </c>
      <c r="B238" s="4" t="s">
        <v>469</v>
      </c>
      <c r="C238" s="4" t="s">
        <v>5</v>
      </c>
    </row>
    <row r="239" spans="1:3">
      <c r="A239" s="4" t="s">
        <v>470</v>
      </c>
      <c r="B239" s="4" t="s">
        <v>471</v>
      </c>
      <c r="C239" s="4" t="s">
        <v>5</v>
      </c>
    </row>
    <row r="240" spans="1:3">
      <c r="A240" s="4" t="s">
        <v>472</v>
      </c>
      <c r="B240" s="4" t="s">
        <v>295</v>
      </c>
      <c r="C240" s="4" t="s">
        <v>5</v>
      </c>
    </row>
    <row r="241" spans="1:3">
      <c r="A241" s="4" t="s">
        <v>473</v>
      </c>
      <c r="B241" s="4" t="s">
        <v>474</v>
      </c>
      <c r="C241" s="4" t="s">
        <v>5</v>
      </c>
    </row>
    <row r="242" spans="1:3">
      <c r="A242" s="4" t="s">
        <v>475</v>
      </c>
      <c r="B242" s="4" t="s">
        <v>476</v>
      </c>
      <c r="C242" s="4" t="s">
        <v>5</v>
      </c>
    </row>
    <row r="243" spans="1:3">
      <c r="A243" s="4" t="s">
        <v>477</v>
      </c>
      <c r="B243" s="4" t="s">
        <v>478</v>
      </c>
      <c r="C243" s="4" t="s">
        <v>5</v>
      </c>
    </row>
    <row r="244" spans="1:3">
      <c r="A244" s="4" t="s">
        <v>479</v>
      </c>
      <c r="B244" s="4" t="s">
        <v>480</v>
      </c>
      <c r="C244" s="4" t="s">
        <v>5</v>
      </c>
    </row>
    <row r="245" spans="1:3">
      <c r="A245" s="4" t="s">
        <v>481</v>
      </c>
      <c r="B245" s="4" t="s">
        <v>482</v>
      </c>
      <c r="C245" s="4" t="s">
        <v>5</v>
      </c>
    </row>
    <row r="246" spans="1:3">
      <c r="A246" s="4" t="s">
        <v>483</v>
      </c>
      <c r="B246" s="4" t="s">
        <v>484</v>
      </c>
      <c r="C246" s="4" t="s">
        <v>5</v>
      </c>
    </row>
    <row r="247" spans="1:3">
      <c r="A247" s="4" t="s">
        <v>485</v>
      </c>
      <c r="B247" s="4" t="s">
        <v>486</v>
      </c>
      <c r="C247" s="4" t="s">
        <v>5</v>
      </c>
    </row>
    <row r="248" spans="1:3">
      <c r="A248" s="4" t="s">
        <v>487</v>
      </c>
      <c r="B248" s="4" t="s">
        <v>488</v>
      </c>
      <c r="C248" s="4" t="s">
        <v>5</v>
      </c>
    </row>
    <row r="249" spans="1:3">
      <c r="A249" s="4" t="s">
        <v>489</v>
      </c>
      <c r="B249" s="4" t="s">
        <v>490</v>
      </c>
      <c r="C249" s="4" t="s">
        <v>5</v>
      </c>
    </row>
    <row r="250" spans="1:3">
      <c r="A250" s="4" t="s">
        <v>491</v>
      </c>
      <c r="B250" s="4" t="s">
        <v>492</v>
      </c>
      <c r="C250" s="4" t="s">
        <v>5</v>
      </c>
    </row>
    <row r="251" spans="1:3">
      <c r="A251" s="4" t="s">
        <v>493</v>
      </c>
      <c r="B251" s="4" t="s">
        <v>494</v>
      </c>
      <c r="C251" s="4" t="s">
        <v>5</v>
      </c>
    </row>
    <row r="252" spans="1:3">
      <c r="A252" s="4" t="s">
        <v>495</v>
      </c>
      <c r="B252" s="4" t="s">
        <v>496</v>
      </c>
      <c r="C252" s="4" t="s">
        <v>5</v>
      </c>
    </row>
    <row r="253" spans="1:3">
      <c r="A253" s="4" t="s">
        <v>497</v>
      </c>
      <c r="B253" s="4" t="s">
        <v>498</v>
      </c>
      <c r="C253" s="4" t="s">
        <v>5</v>
      </c>
    </row>
    <row r="254" spans="1:3">
      <c r="A254" s="4" t="s">
        <v>499</v>
      </c>
      <c r="B254" s="4" t="s">
        <v>500</v>
      </c>
      <c r="C254" s="4" t="s">
        <v>5</v>
      </c>
    </row>
    <row r="255" spans="1:3">
      <c r="A255" s="4" t="s">
        <v>501</v>
      </c>
      <c r="B255" s="4" t="s">
        <v>502</v>
      </c>
      <c r="C255" s="4" t="s">
        <v>5</v>
      </c>
    </row>
    <row r="256" spans="1:3">
      <c r="A256" s="4" t="s">
        <v>503</v>
      </c>
      <c r="B256" s="4" t="s">
        <v>504</v>
      </c>
      <c r="C256" s="4" t="s">
        <v>5</v>
      </c>
    </row>
    <row r="257" spans="1:3">
      <c r="A257" s="4" t="s">
        <v>505</v>
      </c>
      <c r="B257" s="4" t="s">
        <v>506</v>
      </c>
      <c r="C257" s="4" t="s">
        <v>5</v>
      </c>
    </row>
    <row r="258" spans="1:3">
      <c r="A258" s="4" t="s">
        <v>507</v>
      </c>
      <c r="B258" s="4" t="s">
        <v>508</v>
      </c>
      <c r="C258" s="4" t="s">
        <v>5</v>
      </c>
    </row>
    <row r="259" spans="1:3">
      <c r="A259" s="4" t="s">
        <v>509</v>
      </c>
      <c r="B259" s="4" t="s">
        <v>510</v>
      </c>
      <c r="C259" s="4" t="s">
        <v>5</v>
      </c>
    </row>
    <row r="260" spans="1:3">
      <c r="A260" s="4" t="s">
        <v>511</v>
      </c>
      <c r="B260" s="4" t="s">
        <v>512</v>
      </c>
      <c r="C260" s="4" t="s">
        <v>5</v>
      </c>
    </row>
    <row r="261" spans="1:3">
      <c r="A261" s="4" t="s">
        <v>513</v>
      </c>
      <c r="B261" s="4" t="s">
        <v>514</v>
      </c>
      <c r="C261" s="4" t="s">
        <v>5</v>
      </c>
    </row>
    <row r="262" spans="1:3">
      <c r="A262" s="4" t="s">
        <v>515</v>
      </c>
      <c r="B262" s="4" t="s">
        <v>516</v>
      </c>
      <c r="C262" s="4" t="s">
        <v>5</v>
      </c>
    </row>
    <row r="263" spans="1:3">
      <c r="A263" s="4" t="s">
        <v>517</v>
      </c>
      <c r="B263" s="4" t="s">
        <v>518</v>
      </c>
      <c r="C263" s="4" t="s">
        <v>5</v>
      </c>
    </row>
    <row r="264" spans="1:3">
      <c r="A264" s="4" t="s">
        <v>519</v>
      </c>
      <c r="B264" s="4" t="s">
        <v>520</v>
      </c>
      <c r="C264" s="4" t="s">
        <v>5</v>
      </c>
    </row>
    <row r="265" spans="1:3">
      <c r="A265" s="4" t="s">
        <v>521</v>
      </c>
      <c r="B265" s="4" t="s">
        <v>522</v>
      </c>
      <c r="C265" s="4" t="s">
        <v>5</v>
      </c>
    </row>
    <row r="266" spans="1:3">
      <c r="A266" s="4" t="s">
        <v>523</v>
      </c>
      <c r="B266" s="4" t="s">
        <v>524</v>
      </c>
      <c r="C266" s="4" t="s">
        <v>5</v>
      </c>
    </row>
    <row r="267" spans="1:3">
      <c r="A267" s="4" t="s">
        <v>525</v>
      </c>
      <c r="B267" s="4" t="s">
        <v>526</v>
      </c>
      <c r="C267" s="4" t="s">
        <v>5</v>
      </c>
    </row>
    <row r="268" spans="1:3">
      <c r="A268" s="4" t="s">
        <v>527</v>
      </c>
      <c r="B268" s="4" t="s">
        <v>528</v>
      </c>
      <c r="C268" s="4" t="s">
        <v>5</v>
      </c>
    </row>
    <row r="269" spans="1:3">
      <c r="A269" s="4" t="s">
        <v>529</v>
      </c>
      <c r="B269" s="4" t="s">
        <v>530</v>
      </c>
      <c r="C269" s="4" t="s">
        <v>5</v>
      </c>
    </row>
    <row r="270" spans="1:3">
      <c r="A270" s="4" t="s">
        <v>531</v>
      </c>
      <c r="B270" s="4" t="s">
        <v>532</v>
      </c>
      <c r="C270" s="4" t="s">
        <v>5</v>
      </c>
    </row>
    <row r="271" spans="1:3">
      <c r="A271" s="4" t="s">
        <v>533</v>
      </c>
      <c r="B271" s="4" t="s">
        <v>534</v>
      </c>
      <c r="C271" s="4" t="s">
        <v>5</v>
      </c>
    </row>
    <row r="272" spans="1:3">
      <c r="A272" s="4" t="s">
        <v>535</v>
      </c>
      <c r="B272" s="4" t="s">
        <v>536</v>
      </c>
      <c r="C272" s="4" t="s">
        <v>5</v>
      </c>
    </row>
    <row r="273" spans="1:3">
      <c r="A273" s="4" t="s">
        <v>537</v>
      </c>
      <c r="B273" s="4" t="s">
        <v>538</v>
      </c>
      <c r="C273" s="4" t="s">
        <v>5</v>
      </c>
    </row>
    <row r="274" spans="1:3">
      <c r="A274" s="4" t="s">
        <v>539</v>
      </c>
      <c r="B274" s="4" t="s">
        <v>540</v>
      </c>
      <c r="C274" s="4" t="s">
        <v>5</v>
      </c>
    </row>
    <row r="275" spans="1:3">
      <c r="A275" s="4" t="s">
        <v>541</v>
      </c>
      <c r="B275" s="4" t="s">
        <v>542</v>
      </c>
      <c r="C275" s="4" t="s">
        <v>5</v>
      </c>
    </row>
    <row r="276" spans="1:3">
      <c r="A276" s="4" t="s">
        <v>543</v>
      </c>
      <c r="B276" s="4" t="s">
        <v>544</v>
      </c>
      <c r="C276" s="4" t="s">
        <v>5</v>
      </c>
    </row>
    <row r="277" spans="1:3">
      <c r="A277" s="4" t="s">
        <v>545</v>
      </c>
      <c r="B277" s="4" t="s">
        <v>546</v>
      </c>
      <c r="C277" s="4" t="s">
        <v>5</v>
      </c>
    </row>
    <row r="278" spans="1:3">
      <c r="A278" s="4" t="s">
        <v>547</v>
      </c>
      <c r="B278" s="4" t="s">
        <v>548</v>
      </c>
      <c r="C278" s="4"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EBB9-0CD6-4B5C-9A80-7CD299F81502}">
  <dimension ref="A1:E1361"/>
  <sheetViews>
    <sheetView workbookViewId="0">
      <pane xSplit="2" ySplit="1" topLeftCell="C1226" activePane="bottomRight" state="frozen"/>
      <selection pane="bottomRight" activeCell="D1346" sqref="D1346"/>
      <selection pane="bottomLeft" activeCell="A2" sqref="A2"/>
      <selection pane="topRight" activeCell="C1" sqref="C1"/>
    </sheetView>
  </sheetViews>
  <sheetFormatPr defaultRowHeight="15"/>
  <cols>
    <col min="1" max="1" width="29.140625" customWidth="1"/>
    <col min="2" max="2" width="17.85546875" customWidth="1"/>
    <col min="3" max="3" width="18.7109375" style="8" customWidth="1"/>
    <col min="4" max="4" width="38.85546875" customWidth="1"/>
    <col min="5" max="5" width="21.140625" customWidth="1"/>
  </cols>
  <sheetData>
    <row r="1" spans="1:5">
      <c r="A1" s="5" t="s">
        <v>549</v>
      </c>
      <c r="B1" s="5" t="s">
        <v>550</v>
      </c>
      <c r="C1" s="7" t="s">
        <v>551</v>
      </c>
      <c r="D1" s="5" t="s">
        <v>552</v>
      </c>
      <c r="E1" s="5" t="s">
        <v>553</v>
      </c>
    </row>
    <row r="2" spans="1:5">
      <c r="A2" t="s">
        <v>554</v>
      </c>
      <c r="B2" t="s">
        <v>3</v>
      </c>
      <c r="C2" s="8">
        <v>0</v>
      </c>
      <c r="D2" t="str">
        <f>VLOOKUP(Tabulation!$B2,Constants!$A:$C,2,FALSE)</f>
        <v>Financial Transaction GL Monthly Aggregate</v>
      </c>
      <c r="E2" t="str">
        <f>VLOOKUP(Tabulation!$B2,Constants!$A:$C,3,FALSE)</f>
        <v>Medium Volume</v>
      </c>
    </row>
    <row r="3" spans="1:5">
      <c r="A3" t="s">
        <v>554</v>
      </c>
      <c r="B3" t="s">
        <v>6</v>
      </c>
      <c r="C3" s="8">
        <v>0</v>
      </c>
      <c r="D3" t="str">
        <f>VLOOKUP(Tabulation!$B3,Constants!$A:$C,2,FALSE)</f>
        <v>Financial Transaction Monthly Aggregate</v>
      </c>
      <c r="E3" t="str">
        <f>VLOOKUP(Tabulation!$B3,Constants!$A:$C,3,FALSE)</f>
        <v>Medium Volume</v>
      </c>
    </row>
    <row r="4" spans="1:5">
      <c r="A4" t="s">
        <v>554</v>
      </c>
      <c r="B4" t="s">
        <v>8</v>
      </c>
      <c r="C4" s="8">
        <v>0</v>
      </c>
      <c r="D4" t="str">
        <f>VLOOKUP(Tabulation!$B4,Constants!$A:$C,2,FALSE)</f>
        <v>SA Arrears Snapshot</v>
      </c>
      <c r="E4" t="str">
        <f>VLOOKUP(Tabulation!$B4,Constants!$A:$C,3,FALSE)</f>
        <v>Medium Volume</v>
      </c>
    </row>
    <row r="5" spans="1:5">
      <c r="A5" t="s">
        <v>554</v>
      </c>
      <c r="B5" t="s">
        <v>10</v>
      </c>
      <c r="C5" s="8">
        <v>0</v>
      </c>
      <c r="D5" t="str">
        <f>VLOOKUP(Tabulation!$B5,Constants!$A:$C,2,FALSE)</f>
        <v>Consumer Contract</v>
      </c>
      <c r="E5" t="str">
        <f>VLOOKUP(Tabulation!$B5,Constants!$A:$C,3,FALSE)</f>
        <v>Medium Volume</v>
      </c>
    </row>
    <row r="6" spans="1:5">
      <c r="A6" t="s">
        <v>554</v>
      </c>
      <c r="B6" t="s">
        <v>12</v>
      </c>
      <c r="C6" s="8">
        <v>2031</v>
      </c>
      <c r="D6" t="str">
        <f>VLOOKUP(Tabulation!$B6,Constants!$A:$C,2,FALSE)</f>
        <v>Customer Service Request</v>
      </c>
      <c r="E6" t="str">
        <f>VLOOKUP(Tabulation!$B6,Constants!$A:$C,3,FALSE)</f>
        <v>Medium Volume</v>
      </c>
    </row>
    <row r="7" spans="1:5">
      <c r="A7" t="s">
        <v>554</v>
      </c>
      <c r="B7" t="s">
        <v>14</v>
      </c>
      <c r="C7" s="8">
        <v>1569</v>
      </c>
      <c r="D7" t="str">
        <f>VLOOKUP(Tabulation!$B7,Constants!$A:$C,2,FALSE)</f>
        <v>Customer Service Request Account</v>
      </c>
      <c r="E7" t="str">
        <f>VLOOKUP(Tabulation!$B7,Constants!$A:$C,3,FALSE)</f>
        <v>Medium Volume</v>
      </c>
    </row>
    <row r="8" spans="1:5">
      <c r="A8" t="s">
        <v>554</v>
      </c>
      <c r="B8" t="s">
        <v>16</v>
      </c>
      <c r="C8" s="8">
        <v>0</v>
      </c>
      <c r="D8" t="str">
        <f>VLOOKUP(Tabulation!$B8,Constants!$A:$C,2,FALSE)</f>
        <v>Customer Service Request Consumer Contract</v>
      </c>
      <c r="E8" t="str">
        <f>VLOOKUP(Tabulation!$B8,Constants!$A:$C,3,FALSE)</f>
        <v>Medium Volume</v>
      </c>
    </row>
    <row r="9" spans="1:5">
      <c r="A9" t="s">
        <v>554</v>
      </c>
      <c r="B9" t="s">
        <v>18</v>
      </c>
      <c r="C9" s="8">
        <v>0</v>
      </c>
      <c r="D9" t="str">
        <f>VLOOKUP(Tabulation!$B9,Constants!$A:$C,2,FALSE)</f>
        <v>Customer Service Request Contract Product</v>
      </c>
      <c r="E9" t="str">
        <f>VLOOKUP(Tabulation!$B9,Constants!$A:$C,3,FALSE)</f>
        <v>Medium Volume</v>
      </c>
    </row>
    <row r="10" spans="1:5">
      <c r="A10" t="s">
        <v>554</v>
      </c>
      <c r="B10" t="s">
        <v>20</v>
      </c>
      <c r="C10" s="8">
        <v>1558</v>
      </c>
      <c r="D10" t="str">
        <f>VLOOKUP(Tabulation!$B10,Constants!$A:$C,2,FALSE)</f>
        <v>Customer Service Request Person</v>
      </c>
      <c r="E10" t="str">
        <f>VLOOKUP(Tabulation!$B10,Constants!$A:$C,3,FALSE)</f>
        <v>Medium Volume</v>
      </c>
    </row>
    <row r="11" spans="1:5">
      <c r="A11" t="s">
        <v>554</v>
      </c>
      <c r="B11" t="s">
        <v>22</v>
      </c>
      <c r="C11" s="8">
        <v>1784</v>
      </c>
      <c r="D11" t="str">
        <f>VLOOKUP(Tabulation!$B11,Constants!$A:$C,2,FALSE)</f>
        <v>Customer Service Request Premise</v>
      </c>
      <c r="E11" t="str">
        <f>VLOOKUP(Tabulation!$B11,Constants!$A:$C,3,FALSE)</f>
        <v>Medium Volume</v>
      </c>
    </row>
    <row r="12" spans="1:5">
      <c r="A12" t="s">
        <v>554</v>
      </c>
      <c r="B12" t="s">
        <v>24</v>
      </c>
      <c r="C12" s="8">
        <v>4857</v>
      </c>
      <c r="D12" t="str">
        <f>VLOOKUP(Tabulation!$B12,Constants!$A:$C,2,FALSE)</f>
        <v>Customer Service Request SA</v>
      </c>
      <c r="E12" t="str">
        <f>VLOOKUP(Tabulation!$B12,Constants!$A:$C,3,FALSE)</f>
        <v>Medium Volume</v>
      </c>
    </row>
    <row r="13" spans="1:5">
      <c r="A13" t="s">
        <v>554</v>
      </c>
      <c r="B13" t="s">
        <v>26</v>
      </c>
      <c r="C13" s="8">
        <v>0</v>
      </c>
      <c r="D13" t="str">
        <f>VLOOKUP(Tabulation!$B13,Constants!$A:$C,2,FALSE)</f>
        <v>Customer Service Request Service Location</v>
      </c>
      <c r="E13" t="str">
        <f>VLOOKUP(Tabulation!$B13,Constants!$A:$C,3,FALSE)</f>
        <v>Medium Volume</v>
      </c>
    </row>
    <row r="14" spans="1:5">
      <c r="A14" t="s">
        <v>554</v>
      </c>
      <c r="B14" t="s">
        <v>28</v>
      </c>
      <c r="C14" s="8">
        <v>0</v>
      </c>
      <c r="D14" t="str">
        <f>VLOOKUP(Tabulation!$B14,Constants!$A:$C,2,FALSE)</f>
        <v>Customer Relationship Request</v>
      </c>
      <c r="E14" t="str">
        <f>VLOOKUP(Tabulation!$B14,Constants!$A:$C,3,FALSE)</f>
        <v>Medium Volume</v>
      </c>
    </row>
    <row r="15" spans="1:5">
      <c r="A15" t="s">
        <v>554</v>
      </c>
      <c r="B15" t="s">
        <v>30</v>
      </c>
      <c r="C15" s="8">
        <v>0</v>
      </c>
      <c r="D15" t="str">
        <f>VLOOKUP(Tabulation!$B15,Constants!$A:$C,2,FALSE)</f>
        <v>Lead</v>
      </c>
      <c r="E15" t="str">
        <f>VLOOKUP(Tabulation!$B15,Constants!$A:$C,3,FALSE)</f>
        <v>Medium Volume</v>
      </c>
    </row>
    <row r="16" spans="1:5">
      <c r="A16" t="s">
        <v>554</v>
      </c>
      <c r="B16" t="s">
        <v>32</v>
      </c>
      <c r="C16" s="8">
        <v>0</v>
      </c>
      <c r="D16" t="str">
        <f>VLOOKUP(Tabulation!$B16,Constants!$A:$C,2,FALSE)</f>
        <v>Lead Event</v>
      </c>
      <c r="E16" t="str">
        <f>VLOOKUP(Tabulation!$B16,Constants!$A:$C,3,FALSE)</f>
        <v>Medium Volume</v>
      </c>
    </row>
    <row r="17" spans="1:5">
      <c r="A17" t="s">
        <v>554</v>
      </c>
      <c r="B17" t="s">
        <v>34</v>
      </c>
      <c r="C17" s="8">
        <v>0</v>
      </c>
      <c r="D17" t="str">
        <f>VLOOKUP(Tabulation!$B17,Constants!$A:$C,2,FALSE)</f>
        <v>Market Charge</v>
      </c>
      <c r="E17" t="str">
        <f>VLOOKUP(Tabulation!$B17,Constants!$A:$C,3,FALSE)</f>
        <v>Medium Volume</v>
      </c>
    </row>
    <row r="18" spans="1:5">
      <c r="A18" t="s">
        <v>554</v>
      </c>
      <c r="B18" t="s">
        <v>36</v>
      </c>
      <c r="C18" s="8">
        <v>0</v>
      </c>
      <c r="D18" t="str">
        <f>VLOOKUP(Tabulation!$B18,Constants!$A:$C,2,FALSE)</f>
        <v>Market Payment</v>
      </c>
      <c r="E18" t="str">
        <f>VLOOKUP(Tabulation!$B18,Constants!$A:$C,3,FALSE)</f>
        <v>Medium Volume</v>
      </c>
    </row>
    <row r="19" spans="1:5">
      <c r="A19" t="s">
        <v>554</v>
      </c>
      <c r="B19" t="s">
        <v>38</v>
      </c>
      <c r="C19" s="8">
        <v>0</v>
      </c>
      <c r="D19" t="str">
        <f>VLOOKUP(Tabulation!$B19,Constants!$A:$C,2,FALSE)</f>
        <v>Market Usage</v>
      </c>
      <c r="E19" t="str">
        <f>VLOOKUP(Tabulation!$B19,Constants!$A:$C,3,FALSE)</f>
        <v>Medium Volume</v>
      </c>
    </row>
    <row r="20" spans="1:5">
      <c r="A20" t="s">
        <v>554</v>
      </c>
      <c r="B20" t="s">
        <v>40</v>
      </c>
      <c r="C20" s="8">
        <v>0</v>
      </c>
      <c r="D20" t="str">
        <f>VLOOKUP(Tabulation!$B20,Constants!$A:$C,2,FALSE)</f>
        <v>Registration Point</v>
      </c>
      <c r="E20" t="str">
        <f>VLOOKUP(Tabulation!$B20,Constants!$A:$C,3,FALSE)</f>
        <v>Medium Volume</v>
      </c>
    </row>
    <row r="21" spans="1:5">
      <c r="A21" t="s">
        <v>554</v>
      </c>
      <c r="B21" t="s">
        <v>42</v>
      </c>
      <c r="C21" s="8">
        <v>0</v>
      </c>
      <c r="D21" t="str">
        <f>VLOOKUP(Tabulation!$B21,Constants!$A:$C,2,FALSE)</f>
        <v>Communication Preference</v>
      </c>
      <c r="E21" t="str">
        <f>VLOOKUP(Tabulation!$B21,Constants!$A:$C,3,FALSE)</f>
        <v>Medium Volume</v>
      </c>
    </row>
    <row r="22" spans="1:5">
      <c r="A22" t="s">
        <v>554</v>
      </c>
      <c r="B22" t="s">
        <v>44</v>
      </c>
      <c r="C22" s="8">
        <v>9</v>
      </c>
      <c r="D22" t="str">
        <f>VLOOKUP(Tabulation!$B22,Constants!$A:$C,2,FALSE)</f>
        <v>Off Cycle Bill Generator</v>
      </c>
      <c r="E22" t="str">
        <f>VLOOKUP(Tabulation!$B22,Constants!$A:$C,3,FALSE)</f>
        <v>Medium Volume</v>
      </c>
    </row>
    <row r="23" spans="1:5">
      <c r="A23" t="s">
        <v>554</v>
      </c>
      <c r="B23" t="s">
        <v>46</v>
      </c>
      <c r="C23" s="8">
        <v>0</v>
      </c>
      <c r="D23" t="str">
        <f>VLOOKUP(Tabulation!$B23,Constants!$A:$C,2,FALSE)</f>
        <v>Payment Arrangement Request</v>
      </c>
      <c r="E23" t="str">
        <f>VLOOKUP(Tabulation!$B23,Constants!$A:$C,3,FALSE)</f>
        <v>Medium Volume</v>
      </c>
    </row>
    <row r="24" spans="1:5">
      <c r="A24" t="s">
        <v>554</v>
      </c>
      <c r="B24" t="s">
        <v>50</v>
      </c>
      <c r="C24" s="8">
        <v>251992</v>
      </c>
      <c r="D24" t="str">
        <f>VLOOKUP(Tabulation!$B24,Constants!$A:$C,2,FALSE)</f>
        <v>Usage</v>
      </c>
      <c r="E24" t="str">
        <f>VLOOKUP(Tabulation!$B24,Constants!$A:$C,3,FALSE)</f>
        <v>Medium Volume</v>
      </c>
    </row>
    <row r="25" spans="1:5">
      <c r="A25" t="s">
        <v>554</v>
      </c>
      <c r="B25" t="s">
        <v>52</v>
      </c>
      <c r="C25" s="8">
        <v>0</v>
      </c>
      <c r="D25" t="str">
        <f>VLOOKUP(Tabulation!$B25,Constants!$A:$C,2,FALSE)</f>
        <v>Web User</v>
      </c>
      <c r="E25" t="str">
        <f>VLOOKUP(Tabulation!$B25,Constants!$A:$C,3,FALSE)</f>
        <v>Medium Volume</v>
      </c>
    </row>
    <row r="26" spans="1:5">
      <c r="A26" t="s">
        <v>554</v>
      </c>
      <c r="B26" t="s">
        <v>54</v>
      </c>
      <c r="C26" s="8">
        <v>0</v>
      </c>
      <c r="D26" t="str">
        <f>VLOOKUP(Tabulation!$B26,Constants!$A:$C,2,FALSE)</f>
        <v>Web User Account</v>
      </c>
      <c r="E26" t="str">
        <f>VLOOKUP(Tabulation!$B26,Constants!$A:$C,3,FALSE)</f>
        <v>Medium Volume</v>
      </c>
    </row>
    <row r="27" spans="1:5">
      <c r="A27" t="s">
        <v>554</v>
      </c>
      <c r="B27" t="s">
        <v>56</v>
      </c>
      <c r="C27" s="8">
        <v>22560</v>
      </c>
      <c r="D27" t="str">
        <f>VLOOKUP(Tabulation!$B27,Constants!$A:$C,2,FALSE)</f>
        <v>Account</v>
      </c>
      <c r="E27" t="str">
        <f>VLOOKUP(Tabulation!$B27,Constants!$A:$C,3,FALSE)</f>
        <v>Medium Volume</v>
      </c>
    </row>
    <row r="28" spans="1:5">
      <c r="A28" t="s">
        <v>554</v>
      </c>
      <c r="B28" t="s">
        <v>58</v>
      </c>
      <c r="C28" s="8">
        <v>197579</v>
      </c>
      <c r="D28" t="str">
        <f>VLOOKUP(Tabulation!$B28,Constants!$A:$C,2,FALSE)</f>
        <v>Adjustment</v>
      </c>
      <c r="E28" t="str">
        <f>VLOOKUP(Tabulation!$B28,Constants!$A:$C,3,FALSE)</f>
        <v>Medium Volume</v>
      </c>
    </row>
    <row r="29" spans="1:5">
      <c r="A29" t="s">
        <v>554</v>
      </c>
      <c r="B29" t="s">
        <v>60</v>
      </c>
      <c r="C29" s="8">
        <v>1</v>
      </c>
      <c r="D29" t="str">
        <f>VLOOKUP(Tabulation!$B29,Constants!$A:$C,2,FALSE)</f>
        <v>Adjustment Staging Control</v>
      </c>
      <c r="E29" t="str">
        <f>VLOOKUP(Tabulation!$B29,Constants!$A:$C,3,FALSE)</f>
        <v>Medium Volume</v>
      </c>
    </row>
    <row r="30" spans="1:5">
      <c r="A30" t="s">
        <v>554</v>
      </c>
      <c r="B30" t="s">
        <v>62</v>
      </c>
      <c r="C30" s="8">
        <v>1468</v>
      </c>
      <c r="D30" t="str">
        <f>VLOOKUP(Tabulation!$B30,Constants!$A:$C,2,FALSE)</f>
        <v>Adjustment Upload</v>
      </c>
      <c r="E30" t="str">
        <f>VLOOKUP(Tabulation!$B30,Constants!$A:$C,3,FALSE)</f>
        <v>Medium Volume</v>
      </c>
    </row>
    <row r="31" spans="1:5">
      <c r="A31" t="s">
        <v>554</v>
      </c>
      <c r="B31" t="s">
        <v>64</v>
      </c>
      <c r="C31" s="8">
        <v>0</v>
      </c>
      <c r="D31" t="str">
        <f>VLOOKUP(Tabulation!$B31,Constants!$A:$C,2,FALSE)</f>
        <v>Activity Request</v>
      </c>
      <c r="E31" t="str">
        <f>VLOOKUP(Tabulation!$B31,Constants!$A:$C,3,FALSE)</f>
        <v>Medium Volume</v>
      </c>
    </row>
    <row r="32" spans="1:5">
      <c r="A32" t="s">
        <v>554</v>
      </c>
      <c r="B32" t="s">
        <v>66</v>
      </c>
      <c r="C32" s="8">
        <v>741</v>
      </c>
      <c r="D32" t="str">
        <f>VLOOKUP(Tabulation!$B32,Constants!$A:$C,2,FALSE)</f>
        <v>Approval Request</v>
      </c>
      <c r="E32" t="str">
        <f>VLOOKUP(Tabulation!$B32,Constants!$A:$C,3,FALSE)</f>
        <v>Medium Volume</v>
      </c>
    </row>
    <row r="33" spans="1:5">
      <c r="A33" t="s">
        <v>554</v>
      </c>
      <c r="B33" t="s">
        <v>68</v>
      </c>
      <c r="C33" s="8">
        <v>1348</v>
      </c>
      <c r="D33" t="str">
        <f>VLOOKUP(Tabulation!$B33,Constants!$A:$C,2,FALSE)</f>
        <v>Audit</v>
      </c>
      <c r="E33" t="str">
        <f>VLOOKUP(Tabulation!$B33,Constants!$A:$C,3,FALSE)</f>
        <v>Medium Volume</v>
      </c>
    </row>
    <row r="34" spans="1:5">
      <c r="A34" t="s">
        <v>554</v>
      </c>
      <c r="B34" t="s">
        <v>70</v>
      </c>
      <c r="C34" s="8">
        <v>10</v>
      </c>
      <c r="D34" t="str">
        <f>VLOOKUP(Tabulation!$B34,Constants!$A:$C,2,FALSE)</f>
        <v>Balance Control Group</v>
      </c>
      <c r="E34" t="str">
        <f>VLOOKUP(Tabulation!$B34,Constants!$A:$C,3,FALSE)</f>
        <v>Medium Volume</v>
      </c>
    </row>
    <row r="35" spans="1:5">
      <c r="A35" t="s">
        <v>554</v>
      </c>
      <c r="B35" t="s">
        <v>72</v>
      </c>
      <c r="C35" s="8">
        <v>829</v>
      </c>
      <c r="D35" t="str">
        <f>VLOOKUP(Tabulation!$B35,Constants!$A:$C,2,FALSE)</f>
        <v>Batch Job Ad-Hoc Queues</v>
      </c>
      <c r="E35" t="str">
        <f>VLOOKUP(Tabulation!$B35,Constants!$A:$C,3,FALSE)</f>
        <v>Medium Volume</v>
      </c>
    </row>
    <row r="36" spans="1:5">
      <c r="A36" t="s">
        <v>554</v>
      </c>
      <c r="B36" t="s">
        <v>74</v>
      </c>
      <c r="C36" s="8">
        <v>305236</v>
      </c>
      <c r="D36" t="str">
        <f>VLOOKUP(Tabulation!$B36,Constants!$A:$C,2,FALSE)</f>
        <v>Batch Run</v>
      </c>
      <c r="E36" t="str">
        <f>VLOOKUP(Tabulation!$B36,Constants!$A:$C,3,FALSE)</f>
        <v>Medium Volume</v>
      </c>
    </row>
    <row r="37" spans="1:5">
      <c r="A37" t="s">
        <v>554</v>
      </c>
      <c r="B37" t="s">
        <v>76</v>
      </c>
      <c r="C37" s="8">
        <v>0</v>
      </c>
      <c r="D37" t="str">
        <f>VLOOKUP(Tabulation!$B37,Constants!$A:$C,2,FALSE)</f>
        <v>Billable Charge Upload</v>
      </c>
      <c r="E37" t="str">
        <f>VLOOKUP(Tabulation!$B37,Constants!$A:$C,3,FALSE)</f>
        <v>Medium Volume</v>
      </c>
    </row>
    <row r="38" spans="1:5">
      <c r="A38" t="s">
        <v>554</v>
      </c>
      <c r="B38" t="s">
        <v>78</v>
      </c>
      <c r="C38" s="8">
        <v>740293</v>
      </c>
      <c r="D38" t="str">
        <f>VLOOKUP(Tabulation!$B38,Constants!$A:$C,2,FALSE)</f>
        <v>Bill Header</v>
      </c>
      <c r="E38" t="str">
        <f>VLOOKUP(Tabulation!$B38,Constants!$A:$C,3,FALSE)</f>
        <v>Medium Volume</v>
      </c>
    </row>
    <row r="39" spans="1:5">
      <c r="A39" t="s">
        <v>554</v>
      </c>
      <c r="B39" t="s">
        <v>80</v>
      </c>
      <c r="C39" s="8">
        <v>0</v>
      </c>
      <c r="D39" t="str">
        <f>VLOOKUP(Tabulation!$B39,Constants!$A:$C,2,FALSE)</f>
        <v>Billable Charge</v>
      </c>
      <c r="E39" t="str">
        <f>VLOOKUP(Tabulation!$B39,Constants!$A:$C,3,FALSE)</f>
        <v>Medium Volume</v>
      </c>
    </row>
    <row r="40" spans="1:5">
      <c r="A40" t="s">
        <v>554</v>
      </c>
      <c r="B40" t="s">
        <v>82</v>
      </c>
      <c r="C40" s="8">
        <v>0</v>
      </c>
      <c r="D40" t="str">
        <f>VLOOKUP(Tabulation!$B40,Constants!$A:$C,2,FALSE)</f>
        <v>Bill Review Schedule</v>
      </c>
      <c r="E40" t="str">
        <f>VLOOKUP(Tabulation!$B40,Constants!$A:$C,3,FALSE)</f>
        <v>Medium Volume</v>
      </c>
    </row>
    <row r="41" spans="1:5">
      <c r="A41" t="s">
        <v>554</v>
      </c>
      <c r="B41" t="s">
        <v>84</v>
      </c>
      <c r="C41" s="8">
        <v>0</v>
      </c>
      <c r="D41" t="str">
        <f>VLOOKUP(Tabulation!$B41,Constants!$A:$C,2,FALSE)</f>
        <v>Bill Print Group</v>
      </c>
      <c r="E41" t="str">
        <f>VLOOKUP(Tabulation!$B41,Constants!$A:$C,3,FALSE)</f>
        <v>Medium Volume</v>
      </c>
    </row>
    <row r="42" spans="1:5">
      <c r="A42" t="s">
        <v>554</v>
      </c>
      <c r="B42" t="s">
        <v>86</v>
      </c>
      <c r="C42" s="8">
        <v>2318982</v>
      </c>
      <c r="D42" t="str">
        <f>VLOOKUP(Tabulation!$B42,Constants!$A:$C,2,FALSE)</f>
        <v>Bill Segment</v>
      </c>
      <c r="E42" t="str">
        <f>VLOOKUP(Tabulation!$B42,Constants!$A:$C,3,FALSE)</f>
        <v>Medium Volume</v>
      </c>
    </row>
    <row r="43" spans="1:5">
      <c r="A43" t="s">
        <v>554</v>
      </c>
      <c r="B43" t="s">
        <v>88</v>
      </c>
      <c r="C43" s="8">
        <v>1</v>
      </c>
      <c r="D43" t="str">
        <f>VLOOKUP(Tabulation!$B43,Constants!$A:$C,2,FALSE)</f>
        <v>Budget Review</v>
      </c>
      <c r="E43" t="str">
        <f>VLOOKUP(Tabulation!$B43,Constants!$A:$C,3,FALSE)</f>
        <v>Medium Volume</v>
      </c>
    </row>
    <row r="44" spans="1:5">
      <c r="A44" t="s">
        <v>554</v>
      </c>
      <c r="B44" t="s">
        <v>90</v>
      </c>
      <c r="C44" s="8">
        <v>4</v>
      </c>
      <c r="D44" t="str">
        <f>VLOOKUP(Tabulation!$B44,Constants!$A:$C,2,FALSE)</f>
        <v>Case</v>
      </c>
      <c r="E44" t="str">
        <f>VLOOKUP(Tabulation!$B44,Constants!$A:$C,3,FALSE)</f>
        <v>Medium Volume</v>
      </c>
    </row>
    <row r="45" spans="1:5">
      <c r="A45" t="s">
        <v>554</v>
      </c>
      <c r="B45" t="s">
        <v>92</v>
      </c>
      <c r="C45" s="8">
        <v>176609</v>
      </c>
      <c r="D45" t="str">
        <f>VLOOKUP(Tabulation!$B45,Constants!$A:$C,2,FALSE)</f>
        <v>Customer Contact</v>
      </c>
      <c r="E45" t="str">
        <f>VLOOKUP(Tabulation!$B45,Constants!$A:$C,3,FALSE)</f>
        <v>Medium Volume</v>
      </c>
    </row>
    <row r="46" spans="1:5">
      <c r="A46" t="s">
        <v>554</v>
      </c>
      <c r="B46" t="s">
        <v>94</v>
      </c>
      <c r="C46" s="8">
        <v>0</v>
      </c>
      <c r="D46" t="str">
        <f>VLOOKUP(Tabulation!$B46,Constants!$A:$C,2,FALSE)</f>
        <v>Collection Agency Referral</v>
      </c>
      <c r="E46" t="str">
        <f>VLOOKUP(Tabulation!$B46,Constants!$A:$C,3,FALSE)</f>
        <v>Medium Volume</v>
      </c>
    </row>
    <row r="47" spans="1:5">
      <c r="A47" t="s">
        <v>554</v>
      </c>
      <c r="B47" t="s">
        <v>96</v>
      </c>
      <c r="C47" s="8">
        <v>299</v>
      </c>
      <c r="D47" t="str">
        <f>VLOOKUP(Tabulation!$B47,Constants!$A:$C,2,FALSE)</f>
        <v>Collection Process</v>
      </c>
      <c r="E47" t="str">
        <f>VLOOKUP(Tabulation!$B47,Constants!$A:$C,3,FALSE)</f>
        <v>Medium Volume</v>
      </c>
    </row>
    <row r="48" spans="1:5">
      <c r="A48" t="s">
        <v>554</v>
      </c>
      <c r="B48" t="s">
        <v>98</v>
      </c>
      <c r="C48" s="8">
        <v>0</v>
      </c>
      <c r="D48" t="str">
        <f>VLOOKUP(Tabulation!$B48,Constants!$A:$C,2,FALSE)</f>
        <v xml:space="preserve">Contract Option  </v>
      </c>
      <c r="E48" t="str">
        <f>VLOOKUP(Tabulation!$B48,Constants!$A:$C,3,FALSE)</f>
        <v>Medium Volume</v>
      </c>
    </row>
    <row r="49" spans="1:5">
      <c r="A49" t="s">
        <v>554</v>
      </c>
      <c r="B49" t="s">
        <v>100</v>
      </c>
      <c r="C49" s="8">
        <v>0</v>
      </c>
      <c r="D49" t="str">
        <f>VLOOKUP(Tabulation!$B49,Constants!$A:$C,2,FALSE)</f>
        <v>Contract Option Event</v>
      </c>
      <c r="E49" t="str">
        <f>VLOOKUP(Tabulation!$B49,Constants!$A:$C,3,FALSE)</f>
        <v>Medium Volume</v>
      </c>
    </row>
    <row r="50" spans="1:5">
      <c r="A50" t="s">
        <v>554</v>
      </c>
      <c r="B50" t="s">
        <v>102</v>
      </c>
      <c r="C50" s="8">
        <v>0</v>
      </c>
      <c r="D50" t="str">
        <f>VLOOKUP(Tabulation!$B50,Constants!$A:$C,2,FALSE)</f>
        <v>Cut Process</v>
      </c>
      <c r="E50" t="str">
        <f>VLOOKUP(Tabulation!$B50,Constants!$A:$C,3,FALSE)</f>
        <v>Medium Volume</v>
      </c>
    </row>
    <row r="51" spans="1:5">
      <c r="A51" t="s">
        <v>554</v>
      </c>
      <c r="B51" t="s">
        <v>104</v>
      </c>
      <c r="C51" s="8">
        <v>0</v>
      </c>
      <c r="D51" t="str">
        <f>VLOOKUP(Tabulation!$B51,Constants!$A:$C,2,FALSE)</f>
        <v>Declaration</v>
      </c>
      <c r="E51" t="str">
        <f>VLOOKUP(Tabulation!$B51,Constants!$A:$C,3,FALSE)</f>
        <v>Medium Volume</v>
      </c>
    </row>
    <row r="52" spans="1:5">
      <c r="A52" t="s">
        <v>554</v>
      </c>
      <c r="B52" t="s">
        <v>106</v>
      </c>
      <c r="C52" s="8">
        <v>754</v>
      </c>
      <c r="D52" t="str">
        <f>VLOOKUP(Tabulation!$B52,Constants!$A:$C,2,FALSE)</f>
        <v>Deposit Control</v>
      </c>
      <c r="E52" t="str">
        <f>VLOOKUP(Tabulation!$B52,Constants!$A:$C,3,FALSE)</f>
        <v>Medium Volume</v>
      </c>
    </row>
    <row r="53" spans="1:5">
      <c r="A53" t="s">
        <v>554</v>
      </c>
      <c r="B53" t="s">
        <v>108</v>
      </c>
      <c r="C53" s="8">
        <v>139</v>
      </c>
      <c r="D53" t="str">
        <f>VLOOKUP(Tabulation!$B53,Constants!$A:$C,2,FALSE)</f>
        <v>Deposit Control Staging</v>
      </c>
      <c r="E53" t="str">
        <f>VLOOKUP(Tabulation!$B53,Constants!$A:$C,3,FALSE)</f>
        <v>Medium Volume</v>
      </c>
    </row>
    <row r="54" spans="1:5">
      <c r="A54" t="s">
        <v>554</v>
      </c>
      <c r="B54" t="s">
        <v>110</v>
      </c>
      <c r="C54" s="8">
        <v>674</v>
      </c>
      <c r="D54" t="str">
        <f>VLOOKUP(Tabulation!$B54,Constants!$A:$C,2,FALSE)</f>
        <v>Deposit Review</v>
      </c>
      <c r="E54" t="str">
        <f>VLOOKUP(Tabulation!$B54,Constants!$A:$C,3,FALSE)</f>
        <v>Medium Volume</v>
      </c>
    </row>
    <row r="55" spans="1:5">
      <c r="A55" t="s">
        <v>554</v>
      </c>
      <c r="B55" t="s">
        <v>112</v>
      </c>
      <c r="C55" s="8">
        <v>0</v>
      </c>
      <c r="D55" t="str">
        <f>VLOOKUP(Tabulation!$B55,Constants!$A:$C,2,FALSE)</f>
        <v>Device Test</v>
      </c>
      <c r="E55" t="str">
        <f>VLOOKUP(Tabulation!$B55,Constants!$A:$C,3,FALSE)</f>
        <v>Medium Volume</v>
      </c>
    </row>
    <row r="56" spans="1:5">
      <c r="A56" t="s">
        <v>554</v>
      </c>
      <c r="B56" t="s">
        <v>114</v>
      </c>
      <c r="C56" s="8">
        <v>0</v>
      </c>
      <c r="D56" t="str">
        <f>VLOOKUP(Tabulation!$B56,Constants!$A:$C,2,FALSE)</f>
        <v>Device Test Selection</v>
      </c>
      <c r="E56" t="str">
        <f>VLOOKUP(Tabulation!$B56,Constants!$A:$C,3,FALSE)</f>
        <v>Medium Volume</v>
      </c>
    </row>
    <row r="57" spans="1:5">
      <c r="A57" t="s">
        <v>554</v>
      </c>
      <c r="B57" t="s">
        <v>116</v>
      </c>
      <c r="C57" s="8">
        <v>0</v>
      </c>
      <c r="D57" t="str">
        <f>VLOOKUP(Tabulation!$B57,Constants!$A:$C,2,FALSE)</f>
        <v>Order</v>
      </c>
      <c r="E57" t="str">
        <f>VLOOKUP(Tabulation!$B57,Constants!$A:$C,3,FALSE)</f>
        <v>Medium Volume</v>
      </c>
    </row>
    <row r="58" spans="1:5">
      <c r="A58" t="s">
        <v>554</v>
      </c>
      <c r="B58" t="s">
        <v>118</v>
      </c>
      <c r="C58" s="8">
        <v>10973</v>
      </c>
      <c r="D58" t="str">
        <f>VLOOKUP(Tabulation!$B58,Constants!$A:$C,2,FALSE)</f>
        <v>Field Activity</v>
      </c>
      <c r="E58" t="str">
        <f>VLOOKUP(Tabulation!$B58,Constants!$A:$C,3,FALSE)</f>
        <v>Medium Volume</v>
      </c>
    </row>
    <row r="59" spans="1:5">
      <c r="A59" t="s">
        <v>554</v>
      </c>
      <c r="B59" t="s">
        <v>120</v>
      </c>
      <c r="C59" s="8">
        <v>0</v>
      </c>
      <c r="D59" t="str">
        <f>VLOOKUP(Tabulation!$B59,Constants!$A:$C,2,FALSE)</f>
        <v>FA Upload Staging</v>
      </c>
      <c r="E59" t="str">
        <f>VLOOKUP(Tabulation!$B59,Constants!$A:$C,3,FALSE)</f>
        <v>Medium Volume</v>
      </c>
    </row>
    <row r="60" spans="1:5">
      <c r="A60" t="s">
        <v>554</v>
      </c>
      <c r="B60" t="s">
        <v>122</v>
      </c>
      <c r="C60" s="8">
        <v>0</v>
      </c>
      <c r="D60" t="str">
        <f>VLOOKUP(Tabulation!$B60,Constants!$A:$C,2,FALSE)</f>
        <v>Field Order</v>
      </c>
      <c r="E60" t="str">
        <f>VLOOKUP(Tabulation!$B60,Constants!$A:$C,3,FALSE)</f>
        <v>Medium Volume</v>
      </c>
    </row>
    <row r="61" spans="1:5">
      <c r="A61" t="s">
        <v>554</v>
      </c>
      <c r="B61" t="s">
        <v>124</v>
      </c>
      <c r="C61" s="8">
        <v>0</v>
      </c>
      <c r="D61" t="str">
        <f>VLOOKUP(Tabulation!$B61,Constants!$A:$C,2,FALSE)</f>
        <v>Field Order Download Staging</v>
      </c>
      <c r="E61" t="str">
        <f>VLOOKUP(Tabulation!$B61,Constants!$A:$C,3,FALSE)</f>
        <v>Medium Volume</v>
      </c>
    </row>
    <row r="62" spans="1:5">
      <c r="A62" t="s">
        <v>554</v>
      </c>
      <c r="B62" t="s">
        <v>126</v>
      </c>
      <c r="C62" s="8">
        <v>4732297</v>
      </c>
      <c r="D62" t="str">
        <f>VLOOKUP(Tabulation!$B62,Constants!$A:$C,2,FALSE)</f>
        <v>Financial Transaction</v>
      </c>
      <c r="E62" t="str">
        <f>VLOOKUP(Tabulation!$B62,Constants!$A:$C,3,FALSE)</f>
        <v>Medium Volume</v>
      </c>
    </row>
    <row r="63" spans="1:5">
      <c r="A63" t="s">
        <v>554</v>
      </c>
      <c r="B63" t="s">
        <v>128</v>
      </c>
      <c r="C63" s="8">
        <v>0</v>
      </c>
      <c r="D63" t="str">
        <f>VLOOKUP(Tabulation!$B63,Constants!$A:$C,2,FALSE)</f>
        <v>Interval Data Set</v>
      </c>
      <c r="E63" t="str">
        <f>VLOOKUP(Tabulation!$B63,Constants!$A:$C,3,FALSE)</f>
        <v>Medium Volume</v>
      </c>
    </row>
    <row r="64" spans="1:5">
      <c r="A64" t="s">
        <v>554</v>
      </c>
      <c r="B64" t="s">
        <v>130</v>
      </c>
      <c r="C64" s="8">
        <v>0</v>
      </c>
      <c r="D64" t="str">
        <f>VLOOKUP(Tabulation!$B64,Constants!$A:$C,2,FALSE)</f>
        <v>Interval Data Profile</v>
      </c>
      <c r="E64" t="str">
        <f>VLOOKUP(Tabulation!$B64,Constants!$A:$C,3,FALSE)</f>
        <v>Medium Volume</v>
      </c>
    </row>
    <row r="65" spans="1:5">
      <c r="A65" t="s">
        <v>554</v>
      </c>
      <c r="B65" t="s">
        <v>132</v>
      </c>
      <c r="C65" s="8">
        <v>0</v>
      </c>
      <c r="D65" t="str">
        <f>VLOOKUP(Tabulation!$B65,Constants!$A:$C,2,FALSE)</f>
        <v>Interval Value Set</v>
      </c>
      <c r="E65" t="str">
        <f>VLOOKUP(Tabulation!$B65,Constants!$A:$C,3,FALSE)</f>
        <v>Medium Volume</v>
      </c>
    </row>
    <row r="66" spans="1:5">
      <c r="A66" t="s">
        <v>554</v>
      </c>
      <c r="B66" t="s">
        <v>134</v>
      </c>
      <c r="C66" s="8">
        <v>0</v>
      </c>
      <c r="D66" t="str">
        <f>VLOOKUP(Tabulation!$B66,Constants!$A:$C,2,FALSE)</f>
        <v>Item</v>
      </c>
      <c r="E66" t="str">
        <f>VLOOKUP(Tabulation!$B66,Constants!$A:$C,3,FALSE)</f>
        <v>Medium Volume</v>
      </c>
    </row>
    <row r="67" spans="1:5">
      <c r="A67" t="s">
        <v>554</v>
      </c>
      <c r="B67" t="s">
        <v>136</v>
      </c>
      <c r="C67" s="8">
        <v>0</v>
      </c>
      <c r="D67" t="str">
        <f>VLOOKUP(Tabulation!$B67,Constants!$A:$C,2,FALSE)</f>
        <v>Item Type SQ Estimate</v>
      </c>
      <c r="E67" t="str">
        <f>VLOOKUP(Tabulation!$B67,Constants!$A:$C,3,FALSE)</f>
        <v>Medium Volume</v>
      </c>
    </row>
    <row r="68" spans="1:5">
      <c r="A68" t="s">
        <v>554</v>
      </c>
      <c r="B68" t="s">
        <v>138</v>
      </c>
      <c r="C68" s="8">
        <v>1707</v>
      </c>
      <c r="D68" t="str">
        <f>VLOOKUP(Tabulation!$B68,Constants!$A:$C,2,FALSE)</f>
        <v>Landlord Agreement</v>
      </c>
      <c r="E68" t="str">
        <f>VLOOKUP(Tabulation!$B68,Constants!$A:$C,3,FALSE)</f>
        <v>Medium Volume</v>
      </c>
    </row>
    <row r="69" spans="1:5">
      <c r="A69" t="s">
        <v>554</v>
      </c>
      <c r="B69" t="s">
        <v>140</v>
      </c>
      <c r="C69" s="8">
        <v>0</v>
      </c>
      <c r="D69" t="str">
        <f>VLOOKUP(Tabulation!$B69,Constants!$A:$C,2,FALSE)</f>
        <v>Match Event</v>
      </c>
      <c r="E69" t="str">
        <f>VLOOKUP(Tabulation!$B69,Constants!$A:$C,3,FALSE)</f>
        <v>Medium Volume</v>
      </c>
    </row>
    <row r="70" spans="1:5">
      <c r="A70" t="s">
        <v>554</v>
      </c>
      <c r="B70" t="s">
        <v>142</v>
      </c>
      <c r="C70" s="8">
        <v>0</v>
      </c>
      <c r="D70" t="str">
        <f>VLOOKUP(Tabulation!$B70,Constants!$A:$C,2,FALSE)</f>
        <v>Meter Read</v>
      </c>
      <c r="E70" t="str">
        <f>VLOOKUP(Tabulation!$B70,Constants!$A:$C,3,FALSE)</f>
        <v>Medium Volume</v>
      </c>
    </row>
    <row r="71" spans="1:5">
      <c r="A71" t="s">
        <v>554</v>
      </c>
      <c r="B71" t="s">
        <v>144</v>
      </c>
      <c r="C71" s="8">
        <v>0</v>
      </c>
      <c r="D71" t="str">
        <f>VLOOKUP(Tabulation!$B71,Constants!$A:$C,2,FALSE)</f>
        <v>Meter Read Download Staging</v>
      </c>
      <c r="E71" t="str">
        <f>VLOOKUP(Tabulation!$B71,Constants!$A:$C,3,FALSE)</f>
        <v>Medium Volume</v>
      </c>
    </row>
    <row r="72" spans="1:5">
      <c r="A72" t="s">
        <v>554</v>
      </c>
      <c r="B72" t="s">
        <v>146</v>
      </c>
      <c r="C72" s="8">
        <v>0</v>
      </c>
      <c r="D72" t="str">
        <f>VLOOKUP(Tabulation!$B72,Constants!$A:$C,2,FALSE)</f>
        <v>Meter Read Upload Staging</v>
      </c>
      <c r="E72" t="str">
        <f>VLOOKUP(Tabulation!$B72,Constants!$A:$C,3,FALSE)</f>
        <v>Medium Volume</v>
      </c>
    </row>
    <row r="73" spans="1:5">
      <c r="A73" t="s">
        <v>554</v>
      </c>
      <c r="B73" t="s">
        <v>148</v>
      </c>
      <c r="C73" s="8">
        <v>631739</v>
      </c>
      <c r="D73" t="str">
        <f>VLOOKUP(Tabulation!$B73,Constants!$A:$C,2,FALSE)</f>
        <v>Message Log</v>
      </c>
      <c r="E73" t="str">
        <f>VLOOKUP(Tabulation!$B73,Constants!$A:$C,3,FALSE)</f>
        <v>Medium Volume</v>
      </c>
    </row>
    <row r="74" spans="1:5">
      <c r="A74" t="s">
        <v>554</v>
      </c>
      <c r="B74" t="s">
        <v>150</v>
      </c>
      <c r="C74" s="8">
        <v>0</v>
      </c>
      <c r="D74" t="str">
        <f>VLOOKUP(Tabulation!$B74,Constants!$A:$C,2,FALSE)</f>
        <v>Meter</v>
      </c>
      <c r="E74" t="str">
        <f>VLOOKUP(Tabulation!$B74,Constants!$A:$C,3,FALSE)</f>
        <v>Medium Volume</v>
      </c>
    </row>
    <row r="75" spans="1:5">
      <c r="A75" t="s">
        <v>554</v>
      </c>
      <c r="B75" t="s">
        <v>152</v>
      </c>
      <c r="C75" s="8">
        <v>0</v>
      </c>
      <c r="D75" t="str">
        <f>VLOOKUP(Tabulation!$B75,Constants!$A:$C,2,FALSE)</f>
        <v>Meter Configuration</v>
      </c>
      <c r="E75" t="str">
        <f>VLOOKUP(Tabulation!$B75,Constants!$A:$C,3,FALSE)</f>
        <v>Medium Volume</v>
      </c>
    </row>
    <row r="76" spans="1:5">
      <c r="A76" t="s">
        <v>554</v>
      </c>
      <c r="B76" t="s">
        <v>154</v>
      </c>
      <c r="C76" s="8">
        <v>0</v>
      </c>
      <c r="D76" t="str">
        <f>VLOOKUP(Tabulation!$B76,Constants!$A:$C,2,FALSE)</f>
        <v>Notification Download Staging</v>
      </c>
      <c r="E76" t="str">
        <f>VLOOKUP(Tabulation!$B76,Constants!$A:$C,3,FALSE)</f>
        <v>Medium Volume</v>
      </c>
    </row>
    <row r="77" spans="1:5">
      <c r="A77" t="s">
        <v>554</v>
      </c>
      <c r="B77" t="s">
        <v>156</v>
      </c>
      <c r="C77" s="8">
        <v>0</v>
      </c>
      <c r="D77" t="str">
        <f>VLOOKUP(Tabulation!$B77,Constants!$A:$C,2,FALSE)</f>
        <v>Notification Upload Staging</v>
      </c>
      <c r="E77" t="str">
        <f>VLOOKUP(Tabulation!$B77,Constants!$A:$C,3,FALSE)</f>
        <v>Medium Volume</v>
      </c>
    </row>
    <row r="78" spans="1:5">
      <c r="A78" t="s">
        <v>554</v>
      </c>
      <c r="B78" t="s">
        <v>158</v>
      </c>
      <c r="C78" s="8">
        <v>0</v>
      </c>
      <c r="D78" t="str">
        <f>VLOOKUP(Tabulation!$B78,Constants!$A:$C,2,FALSE)</f>
        <v>NT Upload Staging Extension Sample</v>
      </c>
      <c r="E78" t="str">
        <f>VLOOKUP(Tabulation!$B78,Constants!$A:$C,3,FALSE)</f>
        <v>Medium Volume</v>
      </c>
    </row>
    <row r="79" spans="1:5">
      <c r="A79" t="s">
        <v>554</v>
      </c>
      <c r="B79" t="s">
        <v>160</v>
      </c>
      <c r="C79" s="8">
        <v>0</v>
      </c>
      <c r="D79" t="str">
        <f>VLOOKUP(Tabulation!$B79,Constants!$A:$C,2,FALSE)</f>
        <v>Overdue Process</v>
      </c>
      <c r="E79" t="str">
        <f>VLOOKUP(Tabulation!$B79,Constants!$A:$C,3,FALSE)</f>
        <v>Medium Volume</v>
      </c>
    </row>
    <row r="80" spans="1:5">
      <c r="A80" t="s">
        <v>554</v>
      </c>
      <c r="B80" t="s">
        <v>162</v>
      </c>
      <c r="C80" s="8">
        <v>708986</v>
      </c>
      <c r="D80" t="str">
        <f>VLOOKUP(Tabulation!$B80,Constants!$A:$C,2,FALSE)</f>
        <v>Payment Header</v>
      </c>
      <c r="E80" t="str">
        <f>VLOOKUP(Tabulation!$B80,Constants!$A:$C,3,FALSE)</f>
        <v>Medium Volume</v>
      </c>
    </row>
    <row r="81" spans="1:5">
      <c r="A81" t="s">
        <v>554</v>
      </c>
      <c r="B81" t="s">
        <v>164</v>
      </c>
      <c r="C81" s="8">
        <v>708700</v>
      </c>
      <c r="D81" t="str">
        <f>VLOOKUP(Tabulation!$B81,Constants!$A:$C,2,FALSE)</f>
        <v>Payment Event</v>
      </c>
      <c r="E81" t="str">
        <f>VLOOKUP(Tabulation!$B81,Constants!$A:$C,3,FALSE)</f>
        <v>Medium Volume</v>
      </c>
    </row>
    <row r="82" spans="1:5">
      <c r="A82" t="s">
        <v>554</v>
      </c>
      <c r="B82" t="s">
        <v>166</v>
      </c>
      <c r="C82" s="8">
        <v>4790</v>
      </c>
      <c r="D82" t="str">
        <f>VLOOKUP(Tabulation!$B82,Constants!$A:$C,2,FALSE)</f>
        <v>Payment Tender Staging</v>
      </c>
      <c r="E82" t="str">
        <f>VLOOKUP(Tabulation!$B82,Constants!$A:$C,3,FALSE)</f>
        <v>Medium Volume</v>
      </c>
    </row>
    <row r="83" spans="1:5">
      <c r="A83" t="s">
        <v>554</v>
      </c>
      <c r="B83" t="s">
        <v>168</v>
      </c>
      <c r="C83" s="8">
        <v>27939</v>
      </c>
      <c r="D83" t="str">
        <f>VLOOKUP(Tabulation!$B83,Constants!$A:$C,2,FALSE)</f>
        <v>Person</v>
      </c>
      <c r="E83" t="str">
        <f>VLOOKUP(Tabulation!$B83,Constants!$A:$C,3,FALSE)</f>
        <v>Medium Volume</v>
      </c>
    </row>
    <row r="84" spans="1:5">
      <c r="A84" t="s">
        <v>554</v>
      </c>
      <c r="B84" t="s">
        <v>170</v>
      </c>
      <c r="C84" s="8">
        <v>0</v>
      </c>
      <c r="D84" t="str">
        <f>VLOOKUP(Tabulation!$B84,Constants!$A:$C,2,FALSE)</f>
        <v>Payment Event Upload Staging</v>
      </c>
      <c r="E84" t="str">
        <f>VLOOKUP(Tabulation!$B84,Constants!$A:$C,3,FALSE)</f>
        <v>Medium Volume</v>
      </c>
    </row>
    <row r="85" spans="1:5">
      <c r="A85" t="s">
        <v>554</v>
      </c>
      <c r="B85" t="s">
        <v>172</v>
      </c>
      <c r="C85" s="8">
        <v>38</v>
      </c>
      <c r="D85" t="str">
        <f>VLOOKUP(Tabulation!$B85,Constants!$A:$C,2,FALSE)</f>
        <v>Pay Plan</v>
      </c>
      <c r="E85" t="str">
        <f>VLOOKUP(Tabulation!$B85,Constants!$A:$C,3,FALSE)</f>
        <v>Medium Volume</v>
      </c>
    </row>
    <row r="86" spans="1:5">
      <c r="A86" t="s">
        <v>554</v>
      </c>
      <c r="B86" t="s">
        <v>174</v>
      </c>
      <c r="C86" s="8">
        <v>15184</v>
      </c>
      <c r="D86" t="str">
        <f>VLOOKUP(Tabulation!$B86,Constants!$A:$C,2,FALSE)</f>
        <v>Premise</v>
      </c>
      <c r="E86" t="str">
        <f>VLOOKUP(Tabulation!$B86,Constants!$A:$C,3,FALSE)</f>
        <v>Medium Volume</v>
      </c>
    </row>
    <row r="87" spans="1:5">
      <c r="A87" t="s">
        <v>554</v>
      </c>
      <c r="B87" t="s">
        <v>176</v>
      </c>
      <c r="C87" s="8">
        <v>0</v>
      </c>
      <c r="D87" t="str">
        <f>VLOOKUP(Tabulation!$B87,Constants!$A:$C,2,FALSE)</f>
        <v>Quote</v>
      </c>
      <c r="E87" t="str">
        <f>VLOOKUP(Tabulation!$B87,Constants!$A:$C,3,FALSE)</f>
        <v>Medium Volume</v>
      </c>
    </row>
    <row r="88" spans="1:5">
      <c r="A88" t="s">
        <v>554</v>
      </c>
      <c r="B88" t="s">
        <v>178</v>
      </c>
      <c r="C88" s="8">
        <v>0</v>
      </c>
      <c r="D88" t="str">
        <f>VLOOKUP(Tabulation!$B88,Constants!$A:$C,2,FALSE)</f>
        <v>Rebate Claim</v>
      </c>
      <c r="E88" t="str">
        <f>VLOOKUP(Tabulation!$B88,Constants!$A:$C,3,FALSE)</f>
        <v>Medium Volume</v>
      </c>
    </row>
    <row r="89" spans="1:5">
      <c r="A89" t="s">
        <v>554</v>
      </c>
      <c r="B89" t="s">
        <v>180</v>
      </c>
      <c r="C89" s="8">
        <v>0</v>
      </c>
      <c r="D89" t="str">
        <f>VLOOKUP(Tabulation!$B89,Constants!$A:$C,2,FALSE)</f>
        <v>Rebate Claim Line</v>
      </c>
      <c r="E89" t="str">
        <f>VLOOKUP(Tabulation!$B89,Constants!$A:$C,3,FALSE)</f>
        <v>Medium Volume</v>
      </c>
    </row>
    <row r="90" spans="1:5">
      <c r="A90" t="s">
        <v>554</v>
      </c>
      <c r="B90" t="s">
        <v>182</v>
      </c>
      <c r="C90" s="8">
        <v>0</v>
      </c>
      <c r="D90" t="str">
        <f>VLOOKUP(Tabulation!$B90,Constants!$A:$C,2,FALSE)</f>
        <v>Interval Register Data Set</v>
      </c>
      <c r="E90" t="str">
        <f>VLOOKUP(Tabulation!$B90,Constants!$A:$C,3,FALSE)</f>
        <v>Medium Volume</v>
      </c>
    </row>
    <row r="91" spans="1:5">
      <c r="A91" t="s">
        <v>554</v>
      </c>
      <c r="B91" t="s">
        <v>184</v>
      </c>
      <c r="C91" s="8">
        <v>75469</v>
      </c>
      <c r="D91" t="str">
        <f>VLOOKUP(Tabulation!$B91,Constants!$A:$C,2,FALSE)</f>
        <v>SA (Service Agreement)</v>
      </c>
      <c r="E91" t="str">
        <f>VLOOKUP(Tabulation!$B91,Constants!$A:$C,3,FALSE)</f>
        <v>Medium Volume</v>
      </c>
    </row>
    <row r="92" spans="1:5">
      <c r="A92" t="s">
        <v>554</v>
      </c>
      <c r="B92" t="s">
        <v>186</v>
      </c>
      <c r="C92" s="8">
        <v>7948</v>
      </c>
      <c r="D92" t="str">
        <f>VLOOKUP(Tabulation!$B92,Constants!$A:$C,2,FALSE)</f>
        <v>SA Relationship</v>
      </c>
      <c r="E92" t="str">
        <f>VLOOKUP(Tabulation!$B92,Constants!$A:$C,3,FALSE)</f>
        <v>Medium Volume</v>
      </c>
    </row>
    <row r="93" spans="1:5">
      <c r="A93" t="s">
        <v>554</v>
      </c>
      <c r="B93" t="s">
        <v>188</v>
      </c>
      <c r="C93" s="8">
        <v>0</v>
      </c>
      <c r="D93" t="str">
        <f>VLOOKUP(Tabulation!$B93,Constants!$A:$C,2,FALSE)</f>
        <v>Service Credit Membership</v>
      </c>
      <c r="E93" t="str">
        <f>VLOOKUP(Tabulation!$B93,Constants!$A:$C,3,FALSE)</f>
        <v>Medium Volume</v>
      </c>
    </row>
    <row r="94" spans="1:5">
      <c r="A94" t="s">
        <v>554</v>
      </c>
      <c r="B94" t="s">
        <v>190</v>
      </c>
      <c r="C94" s="8">
        <v>0</v>
      </c>
      <c r="D94" t="str">
        <f>VLOOKUP(Tabulation!$B94,Constants!$A:$C,2,FALSE)</f>
        <v>Service Credit Event</v>
      </c>
      <c r="E94" t="str">
        <f>VLOOKUP(Tabulation!$B94,Constants!$A:$C,3,FALSE)</f>
        <v>Medium Volume</v>
      </c>
    </row>
    <row r="95" spans="1:5">
      <c r="A95" t="s">
        <v>554</v>
      </c>
      <c r="B95" t="s">
        <v>192</v>
      </c>
      <c r="C95" s="8">
        <v>0</v>
      </c>
      <c r="D95" t="str">
        <f>VLOOKUP(Tabulation!$B95,Constants!$A:$C,2,FALSE)</f>
        <v>Severance Process</v>
      </c>
      <c r="E95" t="str">
        <f>VLOOKUP(Tabulation!$B95,Constants!$A:$C,3,FALSE)</f>
        <v>Medium Volume</v>
      </c>
    </row>
    <row r="96" spans="1:5">
      <c r="A96" t="s">
        <v>554</v>
      </c>
      <c r="B96" t="s">
        <v>194</v>
      </c>
      <c r="C96" s="8">
        <v>29259</v>
      </c>
      <c r="D96" t="str">
        <f>VLOOKUP(Tabulation!$B96,Constants!$A:$C,2,FALSE)</f>
        <v>Service Point - CCB</v>
      </c>
      <c r="E96" t="str">
        <f>VLOOKUP(Tabulation!$B96,Constants!$A:$C,3,FALSE)</f>
        <v>Medium Volume</v>
      </c>
    </row>
    <row r="97" spans="1:5">
      <c r="A97" t="s">
        <v>554</v>
      </c>
      <c r="B97" t="s">
        <v>199</v>
      </c>
      <c r="C97" s="8">
        <v>0</v>
      </c>
      <c r="D97" t="str">
        <f>VLOOKUP(Tabulation!$B97,Constants!$A:$C,2,FALSE)</f>
        <v>SP Item History</v>
      </c>
      <c r="E97" t="str">
        <f>VLOOKUP(Tabulation!$B97,Constants!$A:$C,3,FALSE)</f>
        <v>Medium Volume</v>
      </c>
    </row>
    <row r="98" spans="1:5">
      <c r="A98" t="s">
        <v>554</v>
      </c>
      <c r="B98" t="s">
        <v>201</v>
      </c>
      <c r="C98" s="8">
        <v>0</v>
      </c>
      <c r="D98" t="str">
        <f>VLOOKUP(Tabulation!$B98,Constants!$A:$C,2,FALSE)</f>
        <v>SP/Meter History</v>
      </c>
      <c r="E98" t="str">
        <f>VLOOKUP(Tabulation!$B98,Constants!$A:$C,3,FALSE)</f>
        <v>Medium Volume</v>
      </c>
    </row>
    <row r="99" spans="1:5">
      <c r="A99" t="s">
        <v>554</v>
      </c>
      <c r="B99" t="s">
        <v>203</v>
      </c>
      <c r="C99" s="8">
        <v>0</v>
      </c>
      <c r="D99" t="str">
        <f>VLOOKUP(Tabulation!$B99,Constants!$A:$C,2,FALSE)</f>
        <v>Stock Location</v>
      </c>
      <c r="E99" t="str">
        <f>VLOOKUP(Tabulation!$B99,Constants!$A:$C,3,FALSE)</f>
        <v>Medium Volume</v>
      </c>
    </row>
    <row r="100" spans="1:5">
      <c r="A100" t="s">
        <v>554</v>
      </c>
      <c r="B100" t="s">
        <v>205</v>
      </c>
      <c r="C100" s="8">
        <v>0</v>
      </c>
      <c r="D100" t="str">
        <f>VLOOKUP(Tabulation!$B100,Constants!$A:$C,2,FALSE)</f>
        <v>Statement</v>
      </c>
      <c r="E100" t="str">
        <f>VLOOKUP(Tabulation!$B100,Constants!$A:$C,3,FALSE)</f>
        <v>Medium Volume</v>
      </c>
    </row>
    <row r="101" spans="1:5">
      <c r="A101" t="s">
        <v>554</v>
      </c>
      <c r="B101" t="s">
        <v>207</v>
      </c>
      <c r="C101" s="8">
        <v>0</v>
      </c>
      <c r="D101" t="str">
        <f>VLOOKUP(Tabulation!$B101,Constants!$A:$C,2,FALSE)</f>
        <v>Statement Construct</v>
      </c>
      <c r="E101" t="str">
        <f>VLOOKUP(Tabulation!$B101,Constants!$A:$C,3,FALSE)</f>
        <v>Medium Volume</v>
      </c>
    </row>
    <row r="102" spans="1:5">
      <c r="A102" t="s">
        <v>554</v>
      </c>
      <c r="B102" t="s">
        <v>209</v>
      </c>
      <c r="C102" s="8">
        <v>0</v>
      </c>
      <c r="D102" t="str">
        <f>VLOOKUP(Tabulation!$B102,Constants!$A:$C,2,FALSE)</f>
        <v>Service Route Download Staging</v>
      </c>
      <c r="E102" t="str">
        <f>VLOOKUP(Tabulation!$B102,Constants!$A:$C,3,FALSE)</f>
        <v>Medium Volume</v>
      </c>
    </row>
    <row r="103" spans="1:5">
      <c r="A103" t="s">
        <v>554</v>
      </c>
      <c r="B103" t="s">
        <v>211</v>
      </c>
      <c r="C103" s="8">
        <v>13023</v>
      </c>
      <c r="D103" t="str">
        <f>VLOOKUP(Tabulation!$B103,Constants!$A:$C,2,FALSE)</f>
        <v>To Do Entry</v>
      </c>
      <c r="E103" t="str">
        <f>VLOOKUP(Tabulation!$B103,Constants!$A:$C,3,FALSE)</f>
        <v>Medium Volume</v>
      </c>
    </row>
    <row r="104" spans="1:5">
      <c r="A104" t="s">
        <v>554</v>
      </c>
      <c r="B104" t="s">
        <v>213</v>
      </c>
      <c r="C104" s="8">
        <v>1628</v>
      </c>
      <c r="D104" t="str">
        <f>VLOOKUP(Tabulation!$B104,Constants!$A:$C,2,FALSE)</f>
        <v>Tender Control</v>
      </c>
      <c r="E104" t="str">
        <f>VLOOKUP(Tabulation!$B104,Constants!$A:$C,3,FALSE)</f>
        <v>Medium Volume</v>
      </c>
    </row>
    <row r="105" spans="1:5">
      <c r="A105" t="s">
        <v>554</v>
      </c>
      <c r="B105" t="s">
        <v>215</v>
      </c>
      <c r="C105" s="8">
        <v>0</v>
      </c>
      <c r="D105" t="str">
        <f>VLOOKUP(Tabulation!$B105,Constants!$A:$C,2,FALSE)</f>
        <v>Terms of Service</v>
      </c>
      <c r="E105" t="str">
        <f>VLOOKUP(Tabulation!$B105,Constants!$A:$C,3,FALSE)</f>
        <v>Medium Volume</v>
      </c>
    </row>
    <row r="106" spans="1:5">
      <c r="A106" t="s">
        <v>554</v>
      </c>
      <c r="B106" t="s">
        <v>217</v>
      </c>
      <c r="C106" s="8">
        <v>0</v>
      </c>
      <c r="D106" t="str">
        <f>VLOOKUP(Tabulation!$B106,Constants!$A:$C,2,FALSE)</f>
        <v>TOU Data Set</v>
      </c>
      <c r="E106" t="str">
        <f>VLOOKUP(Tabulation!$B106,Constants!$A:$C,3,FALSE)</f>
        <v>Medium Volume</v>
      </c>
    </row>
    <row r="107" spans="1:5">
      <c r="A107" t="s">
        <v>554</v>
      </c>
      <c r="B107" t="s">
        <v>219</v>
      </c>
      <c r="C107" s="8">
        <v>0</v>
      </c>
      <c r="D107" t="str">
        <f>VLOOKUP(Tabulation!$B107,Constants!$A:$C,2,FALSE)</f>
        <v>Time Of Use Map Classic</v>
      </c>
      <c r="E107" t="str">
        <f>VLOOKUP(Tabulation!$B107,Constants!$A:$C,3,FALSE)</f>
        <v>Medium Volume</v>
      </c>
    </row>
    <row r="108" spans="1:5">
      <c r="A108" t="s">
        <v>554</v>
      </c>
      <c r="B108" t="s">
        <v>221</v>
      </c>
      <c r="C108" s="8">
        <v>0</v>
      </c>
      <c r="D108" t="str">
        <f>VLOOKUP(Tabulation!$B108,Constants!$A:$C,2,FALSE)</f>
        <v>Trend</v>
      </c>
      <c r="E108" t="str">
        <f>VLOOKUP(Tabulation!$B108,Constants!$A:$C,3,FALSE)</f>
        <v>Medium Volume</v>
      </c>
    </row>
    <row r="109" spans="1:5">
      <c r="A109" t="s">
        <v>554</v>
      </c>
      <c r="B109" t="s">
        <v>223</v>
      </c>
      <c r="C109" s="8">
        <v>0</v>
      </c>
      <c r="D109" t="str">
        <f>VLOOKUP(Tabulation!$B109,Constants!$A:$C,2,FALSE)</f>
        <v>Umbrella Agreement</v>
      </c>
      <c r="E109" t="str">
        <f>VLOOKUP(Tabulation!$B109,Constants!$A:$C,3,FALSE)</f>
        <v>Medium Volume</v>
      </c>
    </row>
    <row r="110" spans="1:5">
      <c r="A110" t="s">
        <v>554</v>
      </c>
      <c r="B110" t="s">
        <v>225</v>
      </c>
      <c r="C110" s="8">
        <v>0</v>
      </c>
      <c r="D110" t="str">
        <f>VLOOKUP(Tabulation!$B110,Constants!$A:$C,2,FALSE)</f>
        <v>Validation Error</v>
      </c>
      <c r="E110" t="str">
        <f>VLOOKUP(Tabulation!$B110,Constants!$A:$C,3,FALSE)</f>
        <v>Medium Volume</v>
      </c>
    </row>
    <row r="111" spans="1:5">
      <c r="A111" t="s">
        <v>554</v>
      </c>
      <c r="B111" t="s">
        <v>227</v>
      </c>
      <c r="C111" s="8">
        <v>0</v>
      </c>
      <c r="D111" t="str">
        <f>VLOOKUP(Tabulation!$B111,Constants!$A:$C,2,FALSE)</f>
        <v>Validation Error Foreign Keys</v>
      </c>
      <c r="E111" t="str">
        <f>VLOOKUP(Tabulation!$B111,Constants!$A:$C,3,FALSE)</f>
        <v>Medium Volume</v>
      </c>
    </row>
    <row r="112" spans="1:5">
      <c r="A112" t="s">
        <v>554</v>
      </c>
      <c r="B112" t="s">
        <v>229</v>
      </c>
      <c r="C112" s="8">
        <v>0</v>
      </c>
      <c r="D112" t="str">
        <f>VLOOKUP(Tabulation!$B112,Constants!$A:$C,2,FALSE)</f>
        <v>WF Process</v>
      </c>
      <c r="E112" t="str">
        <f>VLOOKUP(Tabulation!$B112,Constants!$A:$C,3,FALSE)</f>
        <v>Medium Volume</v>
      </c>
    </row>
    <row r="113" spans="1:5">
      <c r="A113" t="s">
        <v>554</v>
      </c>
      <c r="B113" t="s">
        <v>231</v>
      </c>
      <c r="C113" s="8">
        <v>0</v>
      </c>
      <c r="D113" t="str">
        <f>VLOOKUP(Tabulation!$B113,Constants!$A:$C,2,FALSE)</f>
        <v>Write Off Process</v>
      </c>
      <c r="E113" t="str">
        <f>VLOOKUP(Tabulation!$B113,Constants!$A:$C,3,FALSE)</f>
        <v>Medium Volume</v>
      </c>
    </row>
    <row r="114" spans="1:5">
      <c r="A114" t="s">
        <v>554</v>
      </c>
      <c r="B114" t="s">
        <v>233</v>
      </c>
      <c r="C114" s="8">
        <v>0</v>
      </c>
      <c r="D114" t="str">
        <f>VLOOKUP(Tabulation!$B114,Constants!$A:$C,2,FALSE)</f>
        <v>XAI Download</v>
      </c>
      <c r="E114" t="str">
        <f>VLOOKUP(Tabulation!$B114,Constants!$A:$C,3,FALSE)</f>
        <v>Medium Volume</v>
      </c>
    </row>
    <row r="115" spans="1:5">
      <c r="A115" t="s">
        <v>554</v>
      </c>
      <c r="B115" t="s">
        <v>235</v>
      </c>
      <c r="C115" s="8">
        <v>0</v>
      </c>
      <c r="D115" t="str">
        <f>VLOOKUP(Tabulation!$B115,Constants!$A:$C,2,FALSE)</f>
        <v>XAI Upload Staging</v>
      </c>
      <c r="E115" t="str">
        <f>VLOOKUP(Tabulation!$B115,Constants!$A:$C,3,FALSE)</f>
        <v>Medium Volume</v>
      </c>
    </row>
    <row r="116" spans="1:5">
      <c r="A116" t="s">
        <v>554</v>
      </c>
      <c r="B116" t="s">
        <v>237</v>
      </c>
      <c r="C116" s="8">
        <v>0</v>
      </c>
      <c r="D116" t="str">
        <f>VLOOKUP(Tabulation!$B116,Constants!$A:$C,2,FALSE)</f>
        <v>XAI Staging Control</v>
      </c>
      <c r="E116" t="str">
        <f>VLOOKUP(Tabulation!$B116,Constants!$A:$C,3,FALSE)</f>
        <v>Medium Volume</v>
      </c>
    </row>
    <row r="117" spans="1:5">
      <c r="A117" t="s">
        <v>554</v>
      </c>
      <c r="B117" t="s">
        <v>239</v>
      </c>
      <c r="C117" s="8">
        <v>10987</v>
      </c>
      <c r="D117" t="str">
        <f>VLOOKUP(Tabulation!$B117,Constants!$A:$C,2,FALSE)</f>
        <v>Activity</v>
      </c>
      <c r="E117" t="str">
        <f>VLOOKUP(Tabulation!$B117,Constants!$A:$C,3,FALSE)</f>
        <v>Medium Volume</v>
      </c>
    </row>
    <row r="118" spans="1:5">
      <c r="A118" t="s">
        <v>554</v>
      </c>
      <c r="B118" t="s">
        <v>241</v>
      </c>
      <c r="C118" s="8">
        <v>0</v>
      </c>
      <c r="D118" t="str">
        <f>VLOOKUP(Tabulation!$B118,Constants!$A:$C,2,FALSE)</f>
        <v>Attribute Data Snapshot</v>
      </c>
      <c r="E118" t="str">
        <f>VLOOKUP(Tabulation!$B118,Constants!$A:$C,3,FALSE)</f>
        <v>Medium Volume</v>
      </c>
    </row>
    <row r="119" spans="1:5">
      <c r="A119" t="s">
        <v>554</v>
      </c>
      <c r="B119" t="s">
        <v>243</v>
      </c>
      <c r="C119" s="8">
        <v>0</v>
      </c>
      <c r="D119" t="str">
        <f>VLOOKUP(Tabulation!$B119,Constants!$A:$C,2,FALSE)</f>
        <v>Aggregation Group Run</v>
      </c>
      <c r="E119" t="str">
        <f>VLOOKUP(Tabulation!$B119,Constants!$A:$C,3,FALSE)</f>
        <v>Medium Volume</v>
      </c>
    </row>
    <row r="120" spans="1:5">
      <c r="A120" t="s">
        <v>554</v>
      </c>
      <c r="B120" t="s">
        <v>245</v>
      </c>
      <c r="C120" s="8">
        <v>0</v>
      </c>
      <c r="D120" t="str">
        <f>VLOOKUP(Tabulation!$B120,Constants!$A:$C,2,FALSE)</f>
        <v>Aggregation Measurement</v>
      </c>
      <c r="E120" t="str">
        <f>VLOOKUP(Tabulation!$B120,Constants!$A:$C,3,FALSE)</f>
        <v>Medium Volume</v>
      </c>
    </row>
    <row r="121" spans="1:5">
      <c r="A121" t="s">
        <v>554</v>
      </c>
      <c r="B121" t="s">
        <v>247</v>
      </c>
      <c r="C121" s="8">
        <v>0</v>
      </c>
      <c r="D121" t="str">
        <f>VLOOKUP(Tabulation!$B121,Constants!$A:$C,2,FALSE)</f>
        <v>Attribute Values</v>
      </c>
      <c r="E121" t="str">
        <f>VLOOKUP(Tabulation!$B121,Constants!$A:$C,3,FALSE)</f>
        <v>Medium Volume</v>
      </c>
    </row>
    <row r="122" spans="1:5">
      <c r="A122" t="s">
        <v>554</v>
      </c>
      <c r="B122" t="s">
        <v>249</v>
      </c>
      <c r="C122" s="8">
        <v>2756</v>
      </c>
      <c r="D122" t="str">
        <f>VLOOKUP(Tabulation!$B122,Constants!$A:$C,2,FALSE)</f>
        <v>Communication In</v>
      </c>
      <c r="E122" t="str">
        <f>VLOOKUP(Tabulation!$B122,Constants!$A:$C,3,FALSE)</f>
        <v>Medium Volume</v>
      </c>
    </row>
    <row r="123" spans="1:5">
      <c r="A123" t="s">
        <v>554</v>
      </c>
      <c r="B123" t="s">
        <v>251</v>
      </c>
      <c r="C123" s="8">
        <v>6395</v>
      </c>
      <c r="D123" t="str">
        <f>VLOOKUP(Tabulation!$B123,Constants!$A:$C,2,FALSE)</f>
        <v>Communication Out</v>
      </c>
      <c r="E123" t="str">
        <f>VLOOKUP(Tabulation!$B123,Constants!$A:$C,3,FALSE)</f>
        <v>Medium Volume</v>
      </c>
    </row>
    <row r="124" spans="1:5">
      <c r="A124" t="s">
        <v>554</v>
      </c>
      <c r="B124" t="s">
        <v>253</v>
      </c>
      <c r="C124" s="8">
        <v>6023</v>
      </c>
      <c r="D124" t="str">
        <f>VLOOKUP(Tabulation!$B124,Constants!$A:$C,2,FALSE)</f>
        <v>Completion Event</v>
      </c>
      <c r="E124" t="str">
        <f>VLOOKUP(Tabulation!$B124,Constants!$A:$C,3,FALSE)</f>
        <v>Medium Volume</v>
      </c>
    </row>
    <row r="125" spans="1:5">
      <c r="A125" t="s">
        <v>554</v>
      </c>
      <c r="B125" t="s">
        <v>255</v>
      </c>
      <c r="C125" s="8">
        <v>27938</v>
      </c>
      <c r="D125" t="str">
        <f>VLOOKUP(Tabulation!$B125,Constants!$A:$C,2,FALSE)</f>
        <v>Contact</v>
      </c>
      <c r="E125" t="str">
        <f>VLOOKUP(Tabulation!$B125,Constants!$A:$C,3,FALSE)</f>
        <v>Low Volume</v>
      </c>
    </row>
    <row r="126" spans="1:5">
      <c r="A126" t="s">
        <v>554</v>
      </c>
      <c r="B126" t="s">
        <v>257</v>
      </c>
      <c r="C126" s="8">
        <v>45740</v>
      </c>
      <c r="D126" t="str">
        <f>VLOOKUP(Tabulation!$B126,Constants!$A:$C,2,FALSE)</f>
        <v>Device</v>
      </c>
      <c r="E126" t="str">
        <f>VLOOKUP(Tabulation!$B126,Constants!$A:$C,3,FALSE)</f>
        <v>Medium Volume</v>
      </c>
    </row>
    <row r="127" spans="1:5">
      <c r="A127" t="s">
        <v>554</v>
      </c>
      <c r="B127" t="s">
        <v>259</v>
      </c>
      <c r="C127" s="8">
        <v>13893</v>
      </c>
      <c r="D127" t="str">
        <f>VLOOKUP(Tabulation!$B127,Constants!$A:$C,2,FALSE)</f>
        <v>Device Configuration</v>
      </c>
      <c r="E127" t="str">
        <f>VLOOKUP(Tabulation!$B127,Constants!$A:$C,3,FALSE)</f>
        <v>Medium Volume</v>
      </c>
    </row>
    <row r="128" spans="1:5">
      <c r="A128" t="s">
        <v>554</v>
      </c>
      <c r="B128" t="s">
        <v>261</v>
      </c>
      <c r="C128" s="8">
        <v>12620</v>
      </c>
      <c r="D128" t="str">
        <f>VLOOKUP(Tabulation!$B128,Constants!$A:$C,2,FALSE)</f>
        <v>Device Event</v>
      </c>
      <c r="E128" t="str">
        <f>VLOOKUP(Tabulation!$B128,Constants!$A:$C,3,FALSE)</f>
        <v>Medium Volume</v>
      </c>
    </row>
    <row r="129" spans="1:5">
      <c r="A129" t="s">
        <v>554</v>
      </c>
      <c r="B129" t="s">
        <v>263</v>
      </c>
      <c r="C129" s="8">
        <v>0</v>
      </c>
      <c r="D129" t="str">
        <f>VLOOKUP(Tabulation!$B129,Constants!$A:$C,2,FALSE)</f>
        <v>Dynamic Option</v>
      </c>
      <c r="E129" t="str">
        <f>VLOOKUP(Tabulation!$B129,Constants!$A:$C,3,FALSE)</f>
        <v>Medium Volume</v>
      </c>
    </row>
    <row r="130" spans="1:5">
      <c r="A130" t="s">
        <v>554</v>
      </c>
      <c r="B130" t="s">
        <v>265</v>
      </c>
      <c r="C130" s="8">
        <v>0</v>
      </c>
      <c r="D130" t="str">
        <f>VLOOKUP(Tabulation!$B130,Constants!$A:$C,2,FALSE)</f>
        <v>Dynamic Option Event</v>
      </c>
      <c r="E130" t="str">
        <f>VLOOKUP(Tabulation!$B130,Constants!$A:$C,3,FALSE)</f>
        <v>Medium Volume</v>
      </c>
    </row>
    <row r="131" spans="1:5">
      <c r="A131" t="s">
        <v>554</v>
      </c>
      <c r="B131" t="s">
        <v>269</v>
      </c>
      <c r="C131" s="8">
        <v>0</v>
      </c>
      <c r="D131" t="str">
        <f>VLOOKUP(Tabulation!$B131,Constants!$A:$C,2,FALSE)</f>
        <v>Facility</v>
      </c>
      <c r="E131" t="str">
        <f>VLOOKUP(Tabulation!$B131,Constants!$A:$C,3,FALSE)</f>
        <v>Medium Volume</v>
      </c>
    </row>
    <row r="132" spans="1:5">
      <c r="A132" t="s">
        <v>554</v>
      </c>
      <c r="B132" t="s">
        <v>271</v>
      </c>
      <c r="C132" s="8">
        <v>139252</v>
      </c>
      <c r="D132" t="str">
        <f>VLOOKUP(Tabulation!$B132,Constants!$A:$C,2,FALSE)</f>
        <v>Initial Measurement Data</v>
      </c>
      <c r="E132" t="str">
        <f>VLOOKUP(Tabulation!$B132,Constants!$A:$C,3,FALSE)</f>
        <v>Medium Volume</v>
      </c>
    </row>
    <row r="133" spans="1:5">
      <c r="A133" t="s">
        <v>554</v>
      </c>
      <c r="B133" t="s">
        <v>273</v>
      </c>
      <c r="C133" s="8">
        <v>0</v>
      </c>
      <c r="D133" t="str">
        <f>VLOOKUP(Tabulation!$B133,Constants!$A:$C,2,FALSE)</f>
        <v>Initial Measurement Snapshot</v>
      </c>
      <c r="E133" t="str">
        <f>VLOOKUP(Tabulation!$B133,Constants!$A:$C,3,FALSE)</f>
        <v>Medium Volume</v>
      </c>
    </row>
    <row r="134" spans="1:5">
      <c r="A134" t="s">
        <v>554</v>
      </c>
      <c r="B134" t="s">
        <v>275</v>
      </c>
      <c r="C134" s="8">
        <v>13482</v>
      </c>
      <c r="D134" t="str">
        <f>VLOOKUP(Tabulation!$B134,Constants!$A:$C,2,FALSE)</f>
        <v>Install Event</v>
      </c>
      <c r="E134" t="str">
        <f>VLOOKUP(Tabulation!$B134,Constants!$A:$C,3,FALSE)</f>
        <v>Medium Volume</v>
      </c>
    </row>
    <row r="135" spans="1:5">
      <c r="A135" t="s">
        <v>554</v>
      </c>
      <c r="B135" t="s">
        <v>277</v>
      </c>
      <c r="C135" s="8">
        <v>0</v>
      </c>
      <c r="D135" t="str">
        <f>VLOOKUP(Tabulation!$B135,Constants!$A:$C,2,FALSE)</f>
        <v>Interval Snapshot Mapping</v>
      </c>
      <c r="E135" t="str">
        <f>VLOOKUP(Tabulation!$B135,Constants!$A:$C,3,FALSE)</f>
        <v>Medium Volume</v>
      </c>
    </row>
    <row r="136" spans="1:5">
      <c r="A136" t="s">
        <v>554</v>
      </c>
      <c r="B136" t="s">
        <v>279</v>
      </c>
      <c r="C136" s="8">
        <v>0</v>
      </c>
      <c r="D136" t="str">
        <f>VLOOKUP(Tabulation!$B136,Constants!$A:$C,2,FALSE)</f>
        <v>MC Comparison Period</v>
      </c>
      <c r="E136" t="str">
        <f>VLOOKUP(Tabulation!$B136,Constants!$A:$C,3,FALSE)</f>
        <v>Medium Volume</v>
      </c>
    </row>
    <row r="137" spans="1:5">
      <c r="A137" t="s">
        <v>554</v>
      </c>
      <c r="B137" t="s">
        <v>281</v>
      </c>
      <c r="C137" s="8">
        <v>0</v>
      </c>
      <c r="D137" t="str">
        <f>VLOOKUP(Tabulation!$B137,Constants!$A:$C,2,FALSE)</f>
        <v>Measurement Data Snapshot Interval</v>
      </c>
      <c r="E137" t="str">
        <f>VLOOKUP(Tabulation!$B137,Constants!$A:$C,3,FALSE)</f>
        <v>Medium Volume</v>
      </c>
    </row>
    <row r="138" spans="1:5">
      <c r="A138" t="s">
        <v>554</v>
      </c>
      <c r="B138" t="s">
        <v>283</v>
      </c>
      <c r="C138" s="8">
        <v>0</v>
      </c>
      <c r="D138" t="str">
        <f>VLOOKUP(Tabulation!$B138,Constants!$A:$C,2,FALSE)</f>
        <v>Measurement Data Snapshot Scalar</v>
      </c>
      <c r="E138" t="str">
        <f>VLOOKUP(Tabulation!$B138,Constants!$A:$C,3,FALSE)</f>
        <v>Medium Volume</v>
      </c>
    </row>
    <row r="139" spans="1:5">
      <c r="A139" t="s">
        <v>554</v>
      </c>
      <c r="B139" t="s">
        <v>285</v>
      </c>
      <c r="C139" s="8">
        <v>13893</v>
      </c>
      <c r="D139" t="str">
        <f>VLOOKUP(Tabulation!$B139,Constants!$A:$C,2,FALSE)</f>
        <v>Measuring Component</v>
      </c>
      <c r="E139" t="str">
        <f>VLOOKUP(Tabulation!$B139,Constants!$A:$C,3,FALSE)</f>
        <v>Medium Volume</v>
      </c>
    </row>
    <row r="140" spans="1:5">
      <c r="A140" t="s">
        <v>554</v>
      </c>
      <c r="B140" t="s">
        <v>287</v>
      </c>
      <c r="C140" s="8">
        <v>0</v>
      </c>
      <c r="D140" t="str">
        <f>VLOOKUP(Tabulation!$B140,Constants!$A:$C,2,FALSE)</f>
        <v>Market Award</v>
      </c>
      <c r="E140" t="str">
        <f>VLOOKUP(Tabulation!$B140,Constants!$A:$C,3,FALSE)</f>
        <v>Medium Volume</v>
      </c>
    </row>
    <row r="141" spans="1:5">
      <c r="A141" t="s">
        <v>554</v>
      </c>
      <c r="B141" t="s">
        <v>289</v>
      </c>
      <c r="C141" s="8">
        <v>0</v>
      </c>
      <c r="D141" t="str">
        <f>VLOOKUP(Tabulation!$B141,Constants!$A:$C,2,FALSE)</f>
        <v>Market Contract</v>
      </c>
      <c r="E141" t="str">
        <f>VLOOKUP(Tabulation!$B141,Constants!$A:$C,3,FALSE)</f>
        <v>Medium Volume</v>
      </c>
    </row>
    <row r="142" spans="1:5">
      <c r="A142" t="s">
        <v>554</v>
      </c>
      <c r="B142" t="s">
        <v>291</v>
      </c>
      <c r="C142" s="8">
        <v>0</v>
      </c>
      <c r="D142" t="str">
        <f>VLOOKUP(Tabulation!$B142,Constants!$A:$C,2,FALSE)</f>
        <v>Market Product</v>
      </c>
      <c r="E142" t="str">
        <f>VLOOKUP(Tabulation!$B142,Constants!$A:$C,3,FALSE)</f>
        <v>Medium Volume</v>
      </c>
    </row>
    <row r="143" spans="1:5">
      <c r="A143" t="s">
        <v>554</v>
      </c>
      <c r="B143" t="s">
        <v>293</v>
      </c>
      <c r="C143" s="8">
        <v>0</v>
      </c>
      <c r="D143" t="str">
        <f>VLOOKUP(Tabulation!$B143,Constants!$A:$C,2,FALSE)</f>
        <v>Registration Point</v>
      </c>
      <c r="E143" t="str">
        <f>VLOOKUP(Tabulation!$B143,Constants!$A:$C,3,FALSE)</f>
        <v>Medium Volume</v>
      </c>
    </row>
    <row r="144" spans="1:5">
      <c r="A144" t="s">
        <v>554</v>
      </c>
      <c r="B144" t="s">
        <v>294</v>
      </c>
      <c r="C144" s="8">
        <v>996149</v>
      </c>
      <c r="D144" t="str">
        <f>VLOOKUP(Tabulation!$B144,Constants!$A:$C,2,FALSE)</f>
        <v>Measurement</v>
      </c>
      <c r="E144" t="str">
        <f>VLOOKUP(Tabulation!$B144,Constants!$A:$C,3,FALSE)</f>
        <v>Medium Volume</v>
      </c>
    </row>
    <row r="145" spans="1:5">
      <c r="A145" t="s">
        <v>554</v>
      </c>
      <c r="B145" t="s">
        <v>296</v>
      </c>
      <c r="C145" s="8">
        <v>2535</v>
      </c>
      <c r="D145" t="str">
        <f>VLOOKUP(Tabulation!$B145,Constants!$A:$C,2,FALSE)</f>
        <v>Measurement Log</v>
      </c>
      <c r="E145" t="str">
        <f>VLOOKUP(Tabulation!$B145,Constants!$A:$C,3,FALSE)</f>
        <v>Medium Volume</v>
      </c>
    </row>
    <row r="146" spans="1:5">
      <c r="A146" t="s">
        <v>554</v>
      </c>
      <c r="B146" t="s">
        <v>298</v>
      </c>
      <c r="C146" s="8">
        <v>0</v>
      </c>
      <c r="D146" t="str">
        <f>VLOOKUP(Tabulation!$B146,Constants!$A:$C,2,FALSE)</f>
        <v>Network Location</v>
      </c>
      <c r="E146" t="str">
        <f>VLOOKUP(Tabulation!$B146,Constants!$A:$C,3,FALSE)</f>
        <v>Medium Volume</v>
      </c>
    </row>
    <row r="147" spans="1:5">
      <c r="A147" t="s">
        <v>554</v>
      </c>
      <c r="B147" t="s">
        <v>300</v>
      </c>
      <c r="C147" s="8">
        <v>29259</v>
      </c>
      <c r="D147" t="str">
        <f>VLOOKUP(Tabulation!$B147,Constants!$A:$C,2,FALSE)</f>
        <v>Service Point - MDM</v>
      </c>
      <c r="E147" t="str">
        <f>VLOOKUP(Tabulation!$B147,Constants!$A:$C,3,FALSE)</f>
        <v>Medium Volume</v>
      </c>
    </row>
    <row r="148" spans="1:5">
      <c r="A148" t="s">
        <v>554</v>
      </c>
      <c r="B148" t="s">
        <v>302</v>
      </c>
      <c r="C148" s="8">
        <v>131207</v>
      </c>
      <c r="D148" t="str">
        <f>VLOOKUP(Tabulation!$B148,Constants!$A:$C,2,FALSE)</f>
        <v>SP/Measurement Cycle Schedule Route</v>
      </c>
      <c r="E148" t="str">
        <f>VLOOKUP(Tabulation!$B148,Constants!$A:$C,3,FALSE)</f>
        <v>Medium Volume</v>
      </c>
    </row>
    <row r="149" spans="1:5">
      <c r="A149" t="s">
        <v>554</v>
      </c>
      <c r="B149" t="s">
        <v>304</v>
      </c>
      <c r="C149" s="8">
        <v>0</v>
      </c>
      <c r="D149" t="str">
        <f>VLOOKUP(Tabulation!$B149,Constants!$A:$C,2,FALSE)</f>
        <v>Service Point Quantity</v>
      </c>
      <c r="E149" t="str">
        <f>VLOOKUP(Tabulation!$B149,Constants!$A:$C,3,FALSE)</f>
        <v>Medium Volume</v>
      </c>
    </row>
    <row r="150" spans="1:5">
      <c r="A150" t="s">
        <v>554</v>
      </c>
      <c r="B150" t="s">
        <v>306</v>
      </c>
      <c r="C150" s="8">
        <v>0</v>
      </c>
      <c r="D150" t="str">
        <f>VLOOKUP(Tabulation!$B150,Constants!$A:$C,2,FALSE)</f>
        <v>Service Pont Snapshot Download</v>
      </c>
      <c r="E150" t="str">
        <f>VLOOKUP(Tabulation!$B150,Constants!$A:$C,3,FALSE)</f>
        <v>Medium Volume</v>
      </c>
    </row>
    <row r="151" spans="1:5">
      <c r="A151" t="s">
        <v>554</v>
      </c>
      <c r="B151" t="s">
        <v>308</v>
      </c>
      <c r="C151" s="8">
        <v>0</v>
      </c>
      <c r="D151" t="str">
        <f>VLOOKUP(Tabulation!$B151,Constants!$A:$C,2,FALSE)</f>
        <v>SP Unreported Usage Snapshot Download</v>
      </c>
      <c r="E151" t="str">
        <f>VLOOKUP(Tabulation!$B151,Constants!$A:$C,3,FALSE)</f>
        <v>Medium Volume</v>
      </c>
    </row>
    <row r="152" spans="1:5">
      <c r="A152" t="s">
        <v>554</v>
      </c>
      <c r="B152" t="s">
        <v>310</v>
      </c>
      <c r="C152" s="8">
        <v>0</v>
      </c>
      <c r="D152" t="str">
        <f>VLOOKUP(Tabulation!$B152,Constants!$A:$C,2,FALSE)</f>
        <v>Service Point Usage Snapshot Download</v>
      </c>
      <c r="E152" t="str">
        <f>VLOOKUP(Tabulation!$B152,Constants!$A:$C,3,FALSE)</f>
        <v>Medium Volume</v>
      </c>
    </row>
    <row r="153" spans="1:5">
      <c r="A153" t="s">
        <v>554</v>
      </c>
      <c r="B153" t="s">
        <v>312</v>
      </c>
      <c r="C153" s="8">
        <v>0</v>
      </c>
      <c r="D153" t="str">
        <f>VLOOKUP(Tabulation!$B153,Constants!$A:$C,2,FALSE)</f>
        <v>SP VEE Exception Snapshot Download</v>
      </c>
      <c r="E153" t="str">
        <f>VLOOKUP(Tabulation!$B153,Constants!$A:$C,3,FALSE)</f>
        <v>Medium Volume</v>
      </c>
    </row>
    <row r="154" spans="1:5">
      <c r="A154" t="s">
        <v>554</v>
      </c>
      <c r="B154" t="s">
        <v>314</v>
      </c>
      <c r="C154" s="8">
        <v>53747</v>
      </c>
      <c r="D154" t="str">
        <f>VLOOKUP(Tabulation!$B154,Constants!$A:$C,2,FALSE)</f>
        <v>Usage Subscription</v>
      </c>
      <c r="E154" t="str">
        <f>VLOOKUP(Tabulation!$B154,Constants!$A:$C,3,FALSE)</f>
        <v>Medium Volume</v>
      </c>
    </row>
    <row r="155" spans="1:5">
      <c r="A155" t="s">
        <v>554</v>
      </c>
      <c r="B155" t="s">
        <v>316</v>
      </c>
      <c r="C155" s="8">
        <v>251992</v>
      </c>
      <c r="D155" t="str">
        <f>VLOOKUP(Tabulation!$B155,Constants!$A:$C,2,FALSE)</f>
        <v>Usage</v>
      </c>
      <c r="E155" t="str">
        <f>VLOOKUP(Tabulation!$B155,Constants!$A:$C,3,FALSE)</f>
        <v>Medium Volume</v>
      </c>
    </row>
    <row r="156" spans="1:5">
      <c r="A156" t="s">
        <v>554</v>
      </c>
      <c r="B156" t="s">
        <v>317</v>
      </c>
      <c r="C156" s="8">
        <v>12499</v>
      </c>
      <c r="D156" t="str">
        <f>VLOOKUP(Tabulation!$B156,Constants!$A:$C,2,FALSE)</f>
        <v>Usage Transaction Exception</v>
      </c>
      <c r="E156" t="str">
        <f>VLOOKUP(Tabulation!$B156,Constants!$A:$C,3,FALSE)</f>
        <v>Medium Volume</v>
      </c>
    </row>
    <row r="157" spans="1:5">
      <c r="A157" t="s">
        <v>554</v>
      </c>
      <c r="B157" t="s">
        <v>319</v>
      </c>
      <c r="C157" s="8">
        <v>0</v>
      </c>
      <c r="D157" t="str">
        <f>VLOOKUP(Tabulation!$B157,Constants!$A:$C,2,FALSE)</f>
        <v>Usage Subscription Market Participant</v>
      </c>
      <c r="E157" t="str">
        <f>VLOOKUP(Tabulation!$B157,Constants!$A:$C,3,FALSE)</f>
        <v>Medium Volume</v>
      </c>
    </row>
    <row r="158" spans="1:5">
      <c r="A158" t="s">
        <v>554</v>
      </c>
      <c r="B158" t="s">
        <v>321</v>
      </c>
      <c r="C158" s="8">
        <v>0</v>
      </c>
      <c r="D158" t="str">
        <f>VLOOKUP(Tabulation!$B158,Constants!$A:$C,2,FALSE)</f>
        <v>Usage Subscription Quantity</v>
      </c>
      <c r="E158" t="str">
        <f>VLOOKUP(Tabulation!$B158,Constants!$A:$C,3,FALSE)</f>
        <v>Medium Volume</v>
      </c>
    </row>
    <row r="159" spans="1:5">
      <c r="A159" t="s">
        <v>554</v>
      </c>
      <c r="B159" t="s">
        <v>323</v>
      </c>
      <c r="C159" s="8">
        <v>0</v>
      </c>
      <c r="D159" t="str">
        <f>VLOOKUP(Tabulation!$B159,Constants!$A:$C,2,FALSE)</f>
        <v>Usage Subscription Usage Group Download</v>
      </c>
      <c r="E159" t="str">
        <f>VLOOKUP(Tabulation!$B159,Constants!$A:$C,3,FALSE)</f>
        <v>Medium Volume</v>
      </c>
    </row>
    <row r="160" spans="1:5">
      <c r="A160" t="s">
        <v>554</v>
      </c>
      <c r="B160" t="s">
        <v>325</v>
      </c>
      <c r="C160" s="8">
        <v>230327</v>
      </c>
      <c r="D160" t="str">
        <f>VLOOKUP(Tabulation!$B160,Constants!$A:$C,2,FALSE)</f>
        <v>VEE Exception</v>
      </c>
      <c r="E160" t="str">
        <f>VLOOKUP(Tabulation!$B160,Constants!$A:$C,3,FALSE)</f>
        <v>Medium Volume</v>
      </c>
    </row>
    <row r="161" spans="1:5">
      <c r="A161" t="s">
        <v>554</v>
      </c>
      <c r="B161" t="s">
        <v>327</v>
      </c>
      <c r="C161" s="8">
        <v>2466</v>
      </c>
      <c r="D161" t="str">
        <f>VLOOKUP(Tabulation!$B161,Constants!$A:$C,2,FALSE)</f>
        <v>Attachment</v>
      </c>
      <c r="E161" t="str">
        <f>VLOOKUP(Tabulation!$B161,Constants!$A:$C,3,FALSE)</f>
        <v>Medium Volume</v>
      </c>
    </row>
    <row r="162" spans="1:5">
      <c r="A162" t="s">
        <v>554</v>
      </c>
      <c r="B162" t="s">
        <v>334</v>
      </c>
      <c r="C162" s="8">
        <v>9</v>
      </c>
      <c r="D162" t="str">
        <f>VLOOKUP(Tabulation!$B162,Constants!$A:$C,2,FALSE)</f>
        <v>Bundle</v>
      </c>
      <c r="E162" t="str">
        <f>VLOOKUP(Tabulation!$B162,Constants!$A:$C,3,FALSE)</f>
        <v>Medium Volume</v>
      </c>
    </row>
    <row r="163" spans="1:5">
      <c r="A163" t="s">
        <v>554</v>
      </c>
      <c r="B163" t="s">
        <v>336</v>
      </c>
      <c r="C163" s="8">
        <v>0</v>
      </c>
      <c r="D163" t="str">
        <f>VLOOKUP(Tabulation!$B163,Constants!$A:$C,2,FALSE)</f>
        <v>Business Event Log</v>
      </c>
      <c r="E163" t="str">
        <f>VLOOKUP(Tabulation!$B163,Constants!$A:$C,3,FALSE)</f>
        <v>Medium Volume</v>
      </c>
    </row>
    <row r="164" spans="1:5">
      <c r="A164" t="s">
        <v>554</v>
      </c>
      <c r="B164" t="s">
        <v>338</v>
      </c>
      <c r="C164" s="8">
        <v>0</v>
      </c>
      <c r="D164" t="str">
        <f>VLOOKUP(Tabulation!$B164,Constants!$A:$C,2,FALSE)</f>
        <v>Business Flag</v>
      </c>
      <c r="E164" t="str">
        <f>VLOOKUP(Tabulation!$B164,Constants!$A:$C,3,FALSE)</f>
        <v>Medium Volume</v>
      </c>
    </row>
    <row r="165" spans="1:5">
      <c r="A165" t="s">
        <v>554</v>
      </c>
      <c r="B165" t="s">
        <v>340</v>
      </c>
      <c r="C165" s="8">
        <v>0</v>
      </c>
      <c r="D165" t="str">
        <f>VLOOKUP(Tabulation!$B165,Constants!$A:$C,2,FALSE)</f>
        <v>Calendar Dimension</v>
      </c>
      <c r="E165" t="str">
        <f>VLOOKUP(Tabulation!$B165,Constants!$A:$C,3,FALSE)</f>
        <v>Medium Volume</v>
      </c>
    </row>
    <row r="166" spans="1:5">
      <c r="A166" t="s">
        <v>554</v>
      </c>
      <c r="B166" t="s">
        <v>342</v>
      </c>
      <c r="C166" s="8">
        <v>0</v>
      </c>
      <c r="D166" t="str">
        <f>VLOOKUP(Tabulation!$B166,Constants!$A:$C,2,FALSE)</f>
        <v>Cube View</v>
      </c>
      <c r="E166" t="str">
        <f>VLOOKUP(Tabulation!$B166,Constants!$A:$C,3,FALSE)</f>
        <v>Medium Volume</v>
      </c>
    </row>
    <row r="167" spans="1:5">
      <c r="A167" t="s">
        <v>554</v>
      </c>
      <c r="B167" t="s">
        <v>344</v>
      </c>
      <c r="C167" s="8">
        <v>0</v>
      </c>
      <c r="D167" t="str">
        <f>VLOOKUP(Tabulation!$B167,Constants!$A:$C,2,FALSE)</f>
        <v>Deployment</v>
      </c>
      <c r="E167" t="str">
        <f>VLOOKUP(Tabulation!$B167,Constants!$A:$C,3,FALSE)</f>
        <v>Medium Volume</v>
      </c>
    </row>
    <row r="168" spans="1:5">
      <c r="A168" t="s">
        <v>554</v>
      </c>
      <c r="B168" t="s">
        <v>346</v>
      </c>
      <c r="C168" s="8">
        <v>0</v>
      </c>
      <c r="D168" t="str">
        <f>VLOOKUP(Tabulation!$B168,Constants!$A:$C,2,FALSE)</f>
        <v>Object Erasure Schedule</v>
      </c>
      <c r="E168" t="str">
        <f>VLOOKUP(Tabulation!$B168,Constants!$A:$C,3,FALSE)</f>
        <v>Medium Volume</v>
      </c>
    </row>
    <row r="169" spans="1:5">
      <c r="A169" t="s">
        <v>554</v>
      </c>
      <c r="B169" t="s">
        <v>348</v>
      </c>
      <c r="C169" s="8">
        <v>29</v>
      </c>
      <c r="D169" t="str">
        <f>VLOOKUP(Tabulation!$B169,Constants!$A:$C,2,FALSE)</f>
        <v>Fact</v>
      </c>
      <c r="E169" t="str">
        <f>VLOOKUP(Tabulation!$B169,Constants!$A:$C,3,FALSE)</f>
        <v>Medium Volume</v>
      </c>
    </row>
    <row r="170" spans="1:5">
      <c r="A170" t="s">
        <v>554</v>
      </c>
      <c r="B170" t="s">
        <v>350</v>
      </c>
      <c r="C170" s="8">
        <v>6212</v>
      </c>
      <c r="D170" t="str">
        <f>VLOOKUP(Tabulation!$B170,Constants!$A:$C,2,FALSE)</f>
        <v>General Process</v>
      </c>
      <c r="E170" t="str">
        <f>VLOOKUP(Tabulation!$B170,Constants!$A:$C,3,FALSE)</f>
        <v>Medium Volume</v>
      </c>
    </row>
    <row r="171" spans="1:5">
      <c r="A171" t="s">
        <v>554</v>
      </c>
      <c r="B171" t="s">
        <v>352</v>
      </c>
      <c r="C171" s="8">
        <v>0</v>
      </c>
      <c r="D171" t="str">
        <f>VLOOKUP(Tabulation!$B171,Constants!$A:$C,2,FALSE)</f>
        <v>General Audit</v>
      </c>
      <c r="E171" t="str">
        <f>VLOOKUP(Tabulation!$B171,Constants!$A:$C,3,FALSE)</f>
        <v>Medium Volume</v>
      </c>
    </row>
    <row r="172" spans="1:5">
      <c r="A172" t="s">
        <v>554</v>
      </c>
      <c r="B172" t="s">
        <v>354</v>
      </c>
      <c r="C172" s="8">
        <v>0</v>
      </c>
      <c r="D172" t="str">
        <f>VLOOKUP(Tabulation!$B172,Constants!$A:$C,2,FALSE)</f>
        <v>Mobile Data Terminal</v>
      </c>
      <c r="E172" t="str">
        <f>VLOOKUP(Tabulation!$B172,Constants!$A:$C,3,FALSE)</f>
        <v>Medium Volume</v>
      </c>
    </row>
    <row r="173" spans="1:5">
      <c r="A173" t="s">
        <v>554</v>
      </c>
      <c r="B173" t="s">
        <v>356</v>
      </c>
      <c r="C173" s="8">
        <v>0</v>
      </c>
      <c r="D173" t="str">
        <f>VLOOKUP(Tabulation!$B173,Constants!$A:$C,2,FALSE)</f>
        <v>Mobile Data Terminal Type</v>
      </c>
      <c r="E173" t="str">
        <f>VLOOKUP(Tabulation!$B173,Constants!$A:$C,3,FALSE)</f>
        <v>Medium Volume</v>
      </c>
    </row>
    <row r="174" spans="1:5">
      <c r="A174" t="s">
        <v>554</v>
      </c>
      <c r="B174" t="s">
        <v>358</v>
      </c>
      <c r="C174" s="8">
        <v>647</v>
      </c>
      <c r="D174" t="str">
        <f>VLOOKUP(Tabulation!$B174,Constants!$A:$C,2,FALSE)</f>
        <v>Migration Data Set</v>
      </c>
      <c r="E174" t="str">
        <f>VLOOKUP(Tabulation!$B174,Constants!$A:$C,3,FALSE)</f>
        <v>Medium Volume</v>
      </c>
    </row>
    <row r="175" spans="1:5">
      <c r="A175" t="s">
        <v>554</v>
      </c>
      <c r="B175" t="s">
        <v>360</v>
      </c>
      <c r="C175" s="8">
        <v>90617</v>
      </c>
      <c r="D175" t="str">
        <f>VLOOKUP(Tabulation!$B175,Constants!$A:$C,2,FALSE)</f>
        <v>Migration Object</v>
      </c>
      <c r="E175" t="str">
        <f>VLOOKUP(Tabulation!$B175,Constants!$A:$C,3,FALSE)</f>
        <v>Medium Volume</v>
      </c>
    </row>
    <row r="176" spans="1:5">
      <c r="A176" t="s">
        <v>554</v>
      </c>
      <c r="B176" t="s">
        <v>362</v>
      </c>
      <c r="C176" s="8">
        <v>15033</v>
      </c>
      <c r="D176" t="str">
        <f>VLOOKUP(Tabulation!$B176,Constants!$A:$C,2,FALSE)</f>
        <v>Migration Transaction</v>
      </c>
      <c r="E176" t="str">
        <f>VLOOKUP(Tabulation!$B176,Constants!$A:$C,3,FALSE)</f>
        <v>Medium Volume</v>
      </c>
    </row>
    <row r="177" spans="1:5">
      <c r="A177" t="s">
        <v>554</v>
      </c>
      <c r="B177" t="s">
        <v>364</v>
      </c>
      <c r="C177" s="8">
        <v>0</v>
      </c>
      <c r="D177" t="str">
        <f>VLOOKUP(Tabulation!$B177,Constants!$A:$C,2,FALSE)</f>
        <v>Inbound Market Message</v>
      </c>
      <c r="E177" t="str">
        <f>VLOOKUP(Tabulation!$B177,Constants!$A:$C,3,FALSE)</f>
        <v>Medium Volume</v>
      </c>
    </row>
    <row r="178" spans="1:5">
      <c r="A178" t="s">
        <v>554</v>
      </c>
      <c r="B178" t="s">
        <v>366</v>
      </c>
      <c r="C178" s="8">
        <v>0</v>
      </c>
      <c r="D178" t="str">
        <f>VLOOKUP(Tabulation!$B178,Constants!$A:$C,2,FALSE)</f>
        <v>Outbound Market Message</v>
      </c>
      <c r="E178" t="str">
        <f>VLOOKUP(Tabulation!$B178,Constants!$A:$C,3,FALSE)</f>
        <v>Medium Volume</v>
      </c>
    </row>
    <row r="179" spans="1:5">
      <c r="A179" t="s">
        <v>554</v>
      </c>
      <c r="B179" t="s">
        <v>368</v>
      </c>
      <c r="C179" s="8">
        <v>0</v>
      </c>
      <c r="D179" t="str">
        <f>VLOOKUP(Tabulation!$B179,Constants!$A:$C,2,FALSE)</f>
        <v>Market Process</v>
      </c>
      <c r="E179" t="str">
        <f>VLOOKUP(Tabulation!$B179,Constants!$A:$C,3,FALSE)</f>
        <v>Medium Volume</v>
      </c>
    </row>
    <row r="180" spans="1:5">
      <c r="A180" t="s">
        <v>554</v>
      </c>
      <c r="B180" t="s">
        <v>370</v>
      </c>
      <c r="C180" s="8">
        <v>0</v>
      </c>
      <c r="D180" t="str">
        <f>VLOOKUP(Tabulation!$B180,Constants!$A:$C,2,FALSE)</f>
        <v>Market Process Event</v>
      </c>
      <c r="E180" t="str">
        <f>VLOOKUP(Tabulation!$B180,Constants!$A:$C,3,FALSE)</f>
        <v>Medium Volume</v>
      </c>
    </row>
    <row r="181" spans="1:5">
      <c r="A181" t="s">
        <v>554</v>
      </c>
      <c r="B181" t="s">
        <v>372</v>
      </c>
      <c r="C181" s="8">
        <v>0</v>
      </c>
      <c r="D181" t="str">
        <f>VLOOKUP(Tabulation!$B181,Constants!$A:$C,2,FALSE)</f>
        <v>Object Revision</v>
      </c>
      <c r="E181" t="str">
        <f>VLOOKUP(Tabulation!$B181,Constants!$A:$C,3,FALSE)</f>
        <v>Medium Volume</v>
      </c>
    </row>
    <row r="182" spans="1:5">
      <c r="A182" t="s">
        <v>554</v>
      </c>
      <c r="B182" t="s">
        <v>374</v>
      </c>
      <c r="C182" s="8">
        <v>154388</v>
      </c>
      <c r="D182" t="str">
        <f>VLOOKUP(Tabulation!$B182,Constants!$A:$C,2,FALSE)</f>
        <v>Outbound Message</v>
      </c>
      <c r="E182" t="str">
        <f>VLOOKUP(Tabulation!$B182,Constants!$A:$C,3,FALSE)</f>
        <v>Medium Volume</v>
      </c>
    </row>
    <row r="183" spans="1:5">
      <c r="A183" t="s">
        <v>554</v>
      </c>
      <c r="B183" t="s">
        <v>376</v>
      </c>
      <c r="C183" s="8">
        <v>1756</v>
      </c>
      <c r="D183" t="str">
        <f>VLOOKUP(Tabulation!$B183,Constants!$A:$C,2,FALSE)</f>
        <v>Process Flow</v>
      </c>
      <c r="E183" t="str">
        <f>VLOOKUP(Tabulation!$B183,Constants!$A:$C,3,FALSE)</f>
        <v>Medium Volume</v>
      </c>
    </row>
    <row r="184" spans="1:5">
      <c r="A184" t="s">
        <v>554</v>
      </c>
      <c r="B184" t="s">
        <v>378</v>
      </c>
      <c r="C184" s="8">
        <v>0</v>
      </c>
      <c r="D184" t="str">
        <f>VLOOKUP(Tabulation!$B184,Constants!$A:$C,2,FALSE)</f>
        <v>Mobile Remote Message</v>
      </c>
      <c r="E184" t="str">
        <f>VLOOKUP(Tabulation!$B184,Constants!$A:$C,3,FALSE)</f>
        <v>Medium Volume</v>
      </c>
    </row>
    <row r="185" spans="1:5">
      <c r="A185" t="s">
        <v>554</v>
      </c>
      <c r="B185" t="s">
        <v>380</v>
      </c>
      <c r="C185" s="8">
        <v>3</v>
      </c>
      <c r="D185" t="str">
        <f>VLOOKUP(Tabulation!$B185,Constants!$A:$C,2,FALSE)</f>
        <v>Request</v>
      </c>
      <c r="E185" t="str">
        <f>VLOOKUP(Tabulation!$B185,Constants!$A:$C,3,FALSE)</f>
        <v>Medium Volume</v>
      </c>
    </row>
    <row r="186" spans="1:5">
      <c r="A186" t="s">
        <v>554</v>
      </c>
      <c r="B186" t="s">
        <v>382</v>
      </c>
      <c r="C186" s="8">
        <v>0</v>
      </c>
      <c r="D186" t="str">
        <f>VLOOKUP(Tabulation!$B186,Constants!$A:$C,2,FALSE)</f>
        <v>Statistics Snapshot</v>
      </c>
      <c r="E186" t="str">
        <f>VLOOKUP(Tabulation!$B186,Constants!$A:$C,3,FALSE)</f>
        <v>Low Volume</v>
      </c>
    </row>
    <row r="187" spans="1:5">
      <c r="A187" t="s">
        <v>554</v>
      </c>
      <c r="B187" t="s">
        <v>384</v>
      </c>
      <c r="C187" s="8">
        <v>174538</v>
      </c>
      <c r="D187" t="str">
        <f>VLOOKUP(Tabulation!$B187,Constants!$A:$C,2,FALSE)</f>
        <v>Service Task</v>
      </c>
      <c r="E187" t="str">
        <f>VLOOKUP(Tabulation!$B187,Constants!$A:$C,3,FALSE)</f>
        <v>Medium Volume</v>
      </c>
    </row>
    <row r="188" spans="1:5">
      <c r="A188" t="s">
        <v>554</v>
      </c>
      <c r="B188" t="s">
        <v>386</v>
      </c>
      <c r="C188" s="8">
        <v>156882</v>
      </c>
      <c r="D188" t="str">
        <f>VLOOKUP(Tabulation!$B188,Constants!$A:$C,2,FALSE)</f>
        <v>Sync Request</v>
      </c>
      <c r="E188" t="str">
        <f>VLOOKUP(Tabulation!$B188,Constants!$A:$C,3,FALSE)</f>
        <v>Medium Volume</v>
      </c>
    </row>
    <row r="189" spans="1:5">
      <c r="A189" t="s">
        <v>554</v>
      </c>
      <c r="B189" t="s">
        <v>388</v>
      </c>
      <c r="C189" s="8">
        <v>69880</v>
      </c>
      <c r="D189" t="str">
        <f>VLOOKUP(Tabulation!$B189,Constants!$A:$C,2,FALSE)</f>
        <v>Inbound Sync Request</v>
      </c>
      <c r="E189" t="str">
        <f>VLOOKUP(Tabulation!$B189,Constants!$A:$C,3,FALSE)</f>
        <v>Medium Volume</v>
      </c>
    </row>
    <row r="190" spans="1:5">
      <c r="A190" t="s">
        <v>554</v>
      </c>
      <c r="B190" t="s">
        <v>390</v>
      </c>
      <c r="C190" s="8">
        <v>0</v>
      </c>
      <c r="D190" t="str">
        <f>VLOOKUP(Tabulation!$B190,Constants!$A:$C,2,FALSE)</f>
        <v>Time Dimension</v>
      </c>
      <c r="E190" t="str">
        <f>VLOOKUP(Tabulation!$B190,Constants!$A:$C,3,FALSE)</f>
        <v>Medium Volume</v>
      </c>
    </row>
    <row r="191" spans="1:5">
      <c r="A191" t="s">
        <v>554</v>
      </c>
      <c r="B191" t="s">
        <v>392</v>
      </c>
      <c r="C191" s="8">
        <v>0</v>
      </c>
      <c r="D191" t="str">
        <f>VLOOKUP(Tabulation!$B191,Constants!$A:$C,2,FALSE)</f>
        <v>Accept Line</v>
      </c>
      <c r="E191" t="str">
        <f>VLOOKUP(Tabulation!$B191,Constants!$A:$C,3,FALSE)</f>
        <v>Medium Volume</v>
      </c>
    </row>
    <row r="192" spans="1:5">
      <c r="A192" t="s">
        <v>554</v>
      </c>
      <c r="B192" t="s">
        <v>394</v>
      </c>
      <c r="C192" s="8">
        <v>14</v>
      </c>
      <c r="D192" t="str">
        <f>VLOOKUP(Tabulation!$B192,Constants!$A:$C,2,FALSE)</f>
        <v>Activity</v>
      </c>
      <c r="E192" t="str">
        <f>VLOOKUP(Tabulation!$B192,Constants!$A:$C,3,FALSE)</f>
        <v>Medium Volume</v>
      </c>
    </row>
    <row r="193" spans="1:5">
      <c r="A193" t="s">
        <v>554</v>
      </c>
      <c r="B193" t="s">
        <v>395</v>
      </c>
      <c r="C193" s="8">
        <v>0</v>
      </c>
      <c r="D193" t="str">
        <f>VLOOKUP(Tabulation!$B193,Constants!$A:$C,2,FALSE)</f>
        <v>Activity Construction Location</v>
      </c>
      <c r="E193" t="str">
        <f>VLOOKUP(Tabulation!$B193,Constants!$A:$C,3,FALSE)</f>
        <v>Medium Volume</v>
      </c>
    </row>
    <row r="194" spans="1:5">
      <c r="A194" t="s">
        <v>554</v>
      </c>
      <c r="B194" t="s">
        <v>397</v>
      </c>
      <c r="C194" s="8">
        <v>0</v>
      </c>
      <c r="D194" t="str">
        <f>VLOOKUP(Tabulation!$B194,Constants!$A:$C,2,FALSE)</f>
        <v>Activity Reconciliation</v>
      </c>
      <c r="E194" t="str">
        <f>VLOOKUP(Tabulation!$B194,Constants!$A:$C,3,FALSE)</f>
        <v>Medium Volume</v>
      </c>
    </row>
    <row r="195" spans="1:5">
      <c r="A195" t="s">
        <v>554</v>
      </c>
      <c r="B195" t="s">
        <v>399</v>
      </c>
      <c r="C195" s="8">
        <v>0</v>
      </c>
      <c r="D195" t="str">
        <f>VLOOKUP(Tabulation!$B195,Constants!$A:$C,2,FALSE)</f>
        <v>Activity Resource Requirement</v>
      </c>
      <c r="E195" t="str">
        <f>VLOOKUP(Tabulation!$B195,Constants!$A:$C,3,FALSE)</f>
        <v>Medium Volume</v>
      </c>
    </row>
    <row r="196" spans="1:5">
      <c r="A196" t="s">
        <v>554</v>
      </c>
      <c r="B196" t="s">
        <v>401</v>
      </c>
      <c r="C196" s="8">
        <v>0</v>
      </c>
      <c r="D196" t="str">
        <f>VLOOKUP(Tabulation!$B196,Constants!$A:$C,2,FALSE)</f>
        <v>Cost Adjustment</v>
      </c>
      <c r="E196" t="str">
        <f>VLOOKUP(Tabulation!$B196,Constants!$A:$C,3,FALSE)</f>
        <v>Medium Volume</v>
      </c>
    </row>
    <row r="197" spans="1:5">
      <c r="A197" t="s">
        <v>554</v>
      </c>
      <c r="B197" t="s">
        <v>403</v>
      </c>
      <c r="C197" s="8">
        <v>0</v>
      </c>
      <c r="D197" t="str">
        <f>VLOOKUP(Tabulation!$B197,Constants!$A:$C,2,FALSE)</f>
        <v>Approval Request</v>
      </c>
      <c r="E197" t="str">
        <f>VLOOKUP(Tabulation!$B197,Constants!$A:$C,3,FALSE)</f>
        <v>Medium Volume</v>
      </c>
    </row>
    <row r="198" spans="1:5">
      <c r="A198" t="s">
        <v>554</v>
      </c>
      <c r="B198" t="s">
        <v>404</v>
      </c>
      <c r="C198" s="8">
        <v>45720</v>
      </c>
      <c r="D198" t="str">
        <f>VLOOKUP(Tabulation!$B198,Constants!$A:$C,2,FALSE)</f>
        <v>Asset</v>
      </c>
      <c r="E198" t="str">
        <f>VLOOKUP(Tabulation!$B198,Constants!$A:$C,3,FALSE)</f>
        <v>Medium Volume</v>
      </c>
    </row>
    <row r="199" spans="1:5">
      <c r="A199" t="s">
        <v>554</v>
      </c>
      <c r="B199" t="s">
        <v>406</v>
      </c>
      <c r="C199" s="8">
        <v>0</v>
      </c>
      <c r="D199" t="str">
        <f>VLOOKUP(Tabulation!$B199,Constants!$A:$C,2,FALSE)</f>
        <v>Blanket Contract Header</v>
      </c>
      <c r="E199" t="str">
        <f>VLOOKUP(Tabulation!$B199,Constants!$A:$C,3,FALSE)</f>
        <v>Medium Volume</v>
      </c>
    </row>
    <row r="200" spans="1:5">
      <c r="A200" t="s">
        <v>554</v>
      </c>
      <c r="B200" t="s">
        <v>408</v>
      </c>
      <c r="C200" s="8">
        <v>0</v>
      </c>
      <c r="D200" t="str">
        <f>VLOOKUP(Tabulation!$B200,Constants!$A:$C,2,FALSE)</f>
        <v>Blanket Contract Line</v>
      </c>
      <c r="E200" t="str">
        <f>VLOOKUP(Tabulation!$B200,Constants!$A:$C,3,FALSE)</f>
        <v>Medium Volume</v>
      </c>
    </row>
    <row r="201" spans="1:5">
      <c r="A201" t="s">
        <v>554</v>
      </c>
      <c r="B201" t="s">
        <v>410</v>
      </c>
      <c r="C201" s="8">
        <v>0</v>
      </c>
      <c r="D201" t="str">
        <f>VLOOKUP(Tabulation!$B201,Constants!$A:$C,2,FALSE)</f>
        <v>Bill of Materials Part</v>
      </c>
      <c r="E201" t="str">
        <f>VLOOKUP(Tabulation!$B201,Constants!$A:$C,3,FALSE)</f>
        <v>Medium Volume</v>
      </c>
    </row>
    <row r="202" spans="1:5">
      <c r="A202" t="s">
        <v>554</v>
      </c>
      <c r="B202" t="s">
        <v>412</v>
      </c>
      <c r="C202" s="8">
        <v>0</v>
      </c>
      <c r="D202" t="str">
        <f>VLOOKUP(Tabulation!$B202,Constants!$A:$C,2,FALSE)</f>
        <v>Change Request</v>
      </c>
      <c r="E202" t="str">
        <f>VLOOKUP(Tabulation!$B202,Constants!$A:$C,3,FALSE)</f>
        <v>Medium Volume</v>
      </c>
    </row>
    <row r="203" spans="1:5">
      <c r="A203" t="s">
        <v>554</v>
      </c>
      <c r="B203" t="s">
        <v>414</v>
      </c>
      <c r="C203" s="8">
        <v>0</v>
      </c>
      <c r="D203" t="str">
        <f>VLOOKUP(Tabulation!$B203,Constants!$A:$C,2,FALSE)</f>
        <v>Checklist</v>
      </c>
      <c r="E203" t="str">
        <f>VLOOKUP(Tabulation!$B203,Constants!$A:$C,3,FALSE)</f>
        <v>Medium Volume</v>
      </c>
    </row>
    <row r="204" spans="1:5">
      <c r="A204" t="s">
        <v>554</v>
      </c>
      <c r="B204" t="s">
        <v>416</v>
      </c>
      <c r="C204" s="8">
        <v>14</v>
      </c>
      <c r="D204" t="str">
        <f>VLOOKUP(Tabulation!$B204,Constants!$A:$C,2,FALSE)</f>
        <v>Completion Event</v>
      </c>
      <c r="E204" t="str">
        <f>VLOOKUP(Tabulation!$B204,Constants!$A:$C,3,FALSE)</f>
        <v>Medium Volume</v>
      </c>
    </row>
    <row r="205" spans="1:5">
      <c r="A205" t="s">
        <v>554</v>
      </c>
      <c r="B205" t="s">
        <v>417</v>
      </c>
      <c r="C205" s="8">
        <v>0</v>
      </c>
      <c r="D205" t="str">
        <f>VLOOKUP(Tabulation!$B205,Constants!$A:$C,2,FALSE)</f>
        <v>Communication</v>
      </c>
      <c r="E205" t="str">
        <f>VLOOKUP(Tabulation!$B205,Constants!$A:$C,3,FALSE)</f>
        <v>Medium Volume</v>
      </c>
    </row>
    <row r="206" spans="1:5">
      <c r="A206" t="s">
        <v>554</v>
      </c>
      <c r="B206" t="s">
        <v>419</v>
      </c>
      <c r="C206" s="8">
        <v>0</v>
      </c>
      <c r="D206" t="str">
        <f>VLOOKUP(Tabulation!$B206,Constants!$A:$C,2,FALSE)</f>
        <v>Communication In</v>
      </c>
      <c r="E206" t="str">
        <f>VLOOKUP(Tabulation!$B206,Constants!$A:$C,3,FALSE)</f>
        <v>Medium Volume</v>
      </c>
    </row>
    <row r="207" spans="1:5">
      <c r="A207" t="s">
        <v>554</v>
      </c>
      <c r="B207" t="s">
        <v>420</v>
      </c>
      <c r="C207" s="8">
        <v>0</v>
      </c>
      <c r="D207" t="str">
        <f>VLOOKUP(Tabulation!$B207,Constants!$A:$C,2,FALSE)</f>
        <v>Configuration</v>
      </c>
      <c r="E207" t="str">
        <f>VLOOKUP(Tabulation!$B207,Constants!$A:$C,3,FALSE)</f>
        <v>Medium Volume</v>
      </c>
    </row>
    <row r="208" spans="1:5">
      <c r="A208" t="s">
        <v>554</v>
      </c>
      <c r="B208" t="s">
        <v>422</v>
      </c>
      <c r="C208" s="8">
        <v>0</v>
      </c>
      <c r="D208" t="str">
        <f>VLOOKUP(Tabulation!$B208,Constants!$A:$C,2,FALSE)</f>
        <v>Configuration Report</v>
      </c>
      <c r="E208" t="str">
        <f>VLOOKUP(Tabulation!$B208,Constants!$A:$C,3,FALSE)</f>
        <v>Medium Volume</v>
      </c>
    </row>
    <row r="209" spans="1:5">
      <c r="A209" t="s">
        <v>554</v>
      </c>
      <c r="B209" t="s">
        <v>424</v>
      </c>
      <c r="C209" s="8">
        <v>33884</v>
      </c>
      <c r="D209" t="str">
        <f>VLOOKUP(Tabulation!$B209,Constants!$A:$C,2,FALSE)</f>
        <v>Contact</v>
      </c>
      <c r="E209" t="str">
        <f>VLOOKUP(Tabulation!$B209,Constants!$A:$C,3,FALSE)</f>
        <v>Medium Volume</v>
      </c>
    </row>
    <row r="210" spans="1:5">
      <c r="A210" t="s">
        <v>554</v>
      </c>
      <c r="B210" t="s">
        <v>425</v>
      </c>
      <c r="C210" s="8">
        <v>0</v>
      </c>
      <c r="D210" t="str">
        <f>VLOOKUP(Tabulation!$B210,Constants!$A:$C,2,FALSE)</f>
        <v>Crew</v>
      </c>
      <c r="E210" t="str">
        <f>VLOOKUP(Tabulation!$B210,Constants!$A:$C,3,FALSE)</f>
        <v>Medium Volume</v>
      </c>
    </row>
    <row r="211" spans="1:5">
      <c r="A211" t="s">
        <v>554</v>
      </c>
      <c r="B211" t="s">
        <v>427</v>
      </c>
      <c r="C211" s="8">
        <v>0</v>
      </c>
      <c r="D211" t="str">
        <f>VLOOKUP(Tabulation!$B211,Constants!$A:$C,2,FALSE)</f>
        <v>Crew Shift</v>
      </c>
      <c r="E211" t="str">
        <f>VLOOKUP(Tabulation!$B211,Constants!$A:$C,3,FALSE)</f>
        <v>Medium Volume</v>
      </c>
    </row>
    <row r="212" spans="1:5">
      <c r="A212" t="s">
        <v>554</v>
      </c>
      <c r="B212" t="s">
        <v>429</v>
      </c>
      <c r="C212" s="8">
        <v>0</v>
      </c>
      <c r="D212" t="str">
        <f>VLOOKUP(Tabulation!$B212,Constants!$A:$C,2,FALSE)</f>
        <v>Compatible Unit</v>
      </c>
      <c r="E212" t="str">
        <f>VLOOKUP(Tabulation!$B212,Constants!$A:$C,3,FALSE)</f>
        <v>Medium Volume</v>
      </c>
    </row>
    <row r="213" spans="1:5">
      <c r="A213" t="s">
        <v>554</v>
      </c>
      <c r="B213" t="s">
        <v>431</v>
      </c>
      <c r="C213" s="8">
        <v>0</v>
      </c>
      <c r="D213" t="str">
        <f>VLOOKUP(Tabulation!$B213,Constants!$A:$C,2,FALSE)</f>
        <v>CU Contractor Bid</v>
      </c>
      <c r="E213" t="str">
        <f>VLOOKUP(Tabulation!$B213,Constants!$A:$C,3,FALSE)</f>
        <v>Medium Volume</v>
      </c>
    </row>
    <row r="214" spans="1:5">
      <c r="A214" t="s">
        <v>554</v>
      </c>
      <c r="B214" t="s">
        <v>433</v>
      </c>
      <c r="C214" s="8">
        <v>0</v>
      </c>
      <c r="D214" t="str">
        <f>VLOOKUP(Tabulation!$B214,Constants!$A:$C,2,FALSE)</f>
        <v>Design Element</v>
      </c>
      <c r="E214" t="str">
        <f>VLOOKUP(Tabulation!$B214,Constants!$A:$C,3,FALSE)</f>
        <v>Medium Volume</v>
      </c>
    </row>
    <row r="215" spans="1:5">
      <c r="A215" t="s">
        <v>554</v>
      </c>
      <c r="B215" t="s">
        <v>435</v>
      </c>
      <c r="C215" s="8">
        <v>0</v>
      </c>
      <c r="D215" t="str">
        <f>VLOOKUP(Tabulation!$B215,Constants!$A:$C,2,FALSE)</f>
        <v>Document</v>
      </c>
      <c r="E215" t="str">
        <f>VLOOKUP(Tabulation!$B215,Constants!$A:$C,3,FALSE)</f>
        <v>Medium Volume</v>
      </c>
    </row>
    <row r="216" spans="1:5">
      <c r="A216" t="s">
        <v>554</v>
      </c>
      <c r="B216" t="s">
        <v>437</v>
      </c>
      <c r="C216" s="8">
        <v>0</v>
      </c>
      <c r="D216" t="str">
        <f>VLOOKUP(Tabulation!$B216,Constants!$A:$C,2,FALSE)</f>
        <v>Employee</v>
      </c>
      <c r="E216" t="str">
        <f>VLOOKUP(Tabulation!$B216,Constants!$A:$C,3,FALSE)</f>
        <v>Medium Volume</v>
      </c>
    </row>
    <row r="217" spans="1:5">
      <c r="A217" t="s">
        <v>554</v>
      </c>
      <c r="B217" t="s">
        <v>439</v>
      </c>
      <c r="C217" s="8">
        <v>0</v>
      </c>
      <c r="D217" t="str">
        <f>VLOOKUP(Tabulation!$B217,Constants!$A:$C,2,FALSE)</f>
        <v>Employee Unavailability</v>
      </c>
      <c r="E217" t="str">
        <f>VLOOKUP(Tabulation!$B217,Constants!$A:$C,3,FALSE)</f>
        <v>Medium Volume</v>
      </c>
    </row>
    <row r="218" spans="1:5">
      <c r="A218" t="s">
        <v>554</v>
      </c>
      <c r="B218" t="s">
        <v>441</v>
      </c>
      <c r="C218" s="8">
        <v>0</v>
      </c>
      <c r="D218" t="str">
        <f>VLOOKUP(Tabulation!$B218,Constants!$A:$C,2,FALSE)</f>
        <v>Expedite Purchase Order</v>
      </c>
      <c r="E218" t="str">
        <f>VLOOKUP(Tabulation!$B218,Constants!$A:$C,3,FALSE)</f>
        <v>High Volume</v>
      </c>
    </row>
    <row r="219" spans="1:5">
      <c r="A219" t="s">
        <v>554</v>
      </c>
      <c r="B219" t="s">
        <v>443</v>
      </c>
      <c r="C219" s="8">
        <v>0</v>
      </c>
      <c r="D219" t="str">
        <f>VLOOKUP(Tabulation!$B219,Constants!$A:$C,2,FALSE)</f>
        <v>Financial Transaction</v>
      </c>
      <c r="E219" t="str">
        <f>VLOOKUP(Tabulation!$B219,Constants!$A:$C,3,FALSE)</f>
        <v>Medium Volume</v>
      </c>
    </row>
    <row r="220" spans="1:5">
      <c r="A220" t="s">
        <v>554</v>
      </c>
      <c r="B220" t="s">
        <v>444</v>
      </c>
      <c r="C220" s="8">
        <v>0</v>
      </c>
      <c r="D220" t="str">
        <f>VLOOKUP(Tabulation!$B220,Constants!$A:$C,2,FALSE)</f>
        <v>Invoice Group</v>
      </c>
      <c r="E220" t="str">
        <f>VLOOKUP(Tabulation!$B220,Constants!$A:$C,3,FALSE)</f>
        <v>Medium Volume</v>
      </c>
    </row>
    <row r="221" spans="1:5">
      <c r="A221" t="s">
        <v>554</v>
      </c>
      <c r="B221" t="s">
        <v>446</v>
      </c>
      <c r="C221" s="8">
        <v>0</v>
      </c>
      <c r="D221" t="str">
        <f>VLOOKUP(Tabulation!$B221,Constants!$A:$C,2,FALSE)</f>
        <v>Invoice Header</v>
      </c>
      <c r="E221" t="str">
        <f>VLOOKUP(Tabulation!$B221,Constants!$A:$C,3,FALSE)</f>
        <v>Medium Volume</v>
      </c>
    </row>
    <row r="222" spans="1:5">
      <c r="A222" t="s">
        <v>554</v>
      </c>
      <c r="B222" t="s">
        <v>448</v>
      </c>
      <c r="C222" s="8">
        <v>0</v>
      </c>
      <c r="D222" t="str">
        <f>VLOOKUP(Tabulation!$B222,Constants!$A:$C,2,FALSE)</f>
        <v>Invoice Line</v>
      </c>
      <c r="E222" t="str">
        <f>VLOOKUP(Tabulation!$B222,Constants!$A:$C,3,FALSE)</f>
        <v>Medium Volume</v>
      </c>
    </row>
    <row r="223" spans="1:5">
      <c r="A223" t="s">
        <v>554</v>
      </c>
      <c r="B223" t="s">
        <v>450</v>
      </c>
      <c r="C223" s="8">
        <v>0</v>
      </c>
      <c r="D223" t="str">
        <f>VLOOKUP(Tabulation!$B223,Constants!$A:$C,2,FALSE)</f>
        <v>Inventory Adjustment</v>
      </c>
      <c r="E223" t="str">
        <f>VLOOKUP(Tabulation!$B223,Constants!$A:$C,3,FALSE)</f>
        <v>Medium Volume</v>
      </c>
    </row>
    <row r="224" spans="1:5">
      <c r="A224" t="s">
        <v>554</v>
      </c>
      <c r="B224" t="s">
        <v>452</v>
      </c>
      <c r="C224" s="8">
        <v>0</v>
      </c>
      <c r="D224" t="str">
        <f>VLOOKUP(Tabulation!$B224,Constants!$A:$C,2,FALSE)</f>
        <v>Maintenance Event</v>
      </c>
      <c r="E224" t="str">
        <f>VLOOKUP(Tabulation!$B224,Constants!$A:$C,3,FALSE)</f>
        <v>Medium Volume</v>
      </c>
    </row>
    <row r="225" spans="1:5">
      <c r="A225" t="s">
        <v>554</v>
      </c>
      <c r="B225" t="s">
        <v>454</v>
      </c>
      <c r="C225" s="8">
        <v>0</v>
      </c>
      <c r="D225" t="str">
        <f>VLOOKUP(Tabulation!$B225,Constants!$A:$C,2,FALSE)</f>
        <v>Maintenance Schedule</v>
      </c>
      <c r="E225" t="str">
        <f>VLOOKUP(Tabulation!$B225,Constants!$A:$C,3,FALSE)</f>
        <v>Medium Volume</v>
      </c>
    </row>
    <row r="226" spans="1:5">
      <c r="A226" t="s">
        <v>554</v>
      </c>
      <c r="B226" t="s">
        <v>456</v>
      </c>
      <c r="C226" s="8">
        <v>0</v>
      </c>
      <c r="D226" t="str">
        <f>VLOOKUP(Tabulation!$B226,Constants!$A:$C,2,FALSE)</f>
        <v>Maintenance Trigger</v>
      </c>
      <c r="E226" t="str">
        <f>VLOOKUP(Tabulation!$B226,Constants!$A:$C,3,FALSE)</f>
        <v>Medium Volume</v>
      </c>
    </row>
    <row r="227" spans="1:5">
      <c r="A227" t="s">
        <v>554</v>
      </c>
      <c r="B227" t="s">
        <v>458</v>
      </c>
      <c r="C227" s="8">
        <v>0</v>
      </c>
      <c r="D227" t="str">
        <f>VLOOKUP(Tabulation!$B227,Constants!$A:$C,2,FALSE)</f>
        <v>Material Disposition</v>
      </c>
      <c r="E227" t="str">
        <f>VLOOKUP(Tabulation!$B227,Constants!$A:$C,3,FALSE)</f>
        <v>Medium Volume</v>
      </c>
    </row>
    <row r="228" spans="1:5">
      <c r="A228" t="s">
        <v>554</v>
      </c>
      <c r="B228" t="s">
        <v>460</v>
      </c>
      <c r="C228" s="8">
        <v>0</v>
      </c>
      <c r="D228" t="str">
        <f>VLOOKUP(Tabulation!$B228,Constants!$A:$C,2,FALSE)</f>
        <v>Material Issue Line</v>
      </c>
      <c r="E228" t="str">
        <f>VLOOKUP(Tabulation!$B228,Constants!$A:$C,3,FALSE)</f>
        <v>Medium Volume</v>
      </c>
    </row>
    <row r="229" spans="1:5">
      <c r="A229" t="s">
        <v>554</v>
      </c>
      <c r="B229" t="s">
        <v>462</v>
      </c>
      <c r="C229" s="8">
        <v>0</v>
      </c>
      <c r="D229" t="str">
        <f>VLOOKUP(Tabulation!$B229,Constants!$A:$C,2,FALSE)</f>
        <v>Material Request Header</v>
      </c>
      <c r="E229" t="str">
        <f>VLOOKUP(Tabulation!$B229,Constants!$A:$C,3,FALSE)</f>
        <v>Medium Volume</v>
      </c>
    </row>
    <row r="230" spans="1:5">
      <c r="A230" t="s">
        <v>554</v>
      </c>
      <c r="B230" t="s">
        <v>464</v>
      </c>
      <c r="C230" s="8">
        <v>0</v>
      </c>
      <c r="D230" t="str">
        <f>VLOOKUP(Tabulation!$B230,Constants!$A:$C,2,FALSE)</f>
        <v>Material Request Line</v>
      </c>
      <c r="E230" t="str">
        <f>VLOOKUP(Tabulation!$B230,Constants!$A:$C,3,FALSE)</f>
        <v>Medium Volume</v>
      </c>
    </row>
    <row r="231" spans="1:5">
      <c r="A231" t="s">
        <v>554</v>
      </c>
      <c r="B231" t="s">
        <v>466</v>
      </c>
      <c r="C231" s="8">
        <v>0</v>
      </c>
      <c r="D231" t="str">
        <f>VLOOKUP(Tabulation!$B231,Constants!$A:$C,2,FALSE)</f>
        <v>Material Request Template</v>
      </c>
      <c r="E231" t="str">
        <f>VLOOKUP(Tabulation!$B231,Constants!$A:$C,3,FALSE)</f>
        <v>Medium Volume</v>
      </c>
    </row>
    <row r="232" spans="1:5">
      <c r="A232" t="s">
        <v>554</v>
      </c>
      <c r="B232" t="s">
        <v>468</v>
      </c>
      <c r="C232" s="8">
        <v>0</v>
      </c>
      <c r="D232" t="str">
        <f>VLOOKUP(Tabulation!$B232,Constants!$A:$C,2,FALSE)</f>
        <v>Material Return Header</v>
      </c>
      <c r="E232" t="str">
        <f>VLOOKUP(Tabulation!$B232,Constants!$A:$C,3,FALSE)</f>
        <v>Medium Volume</v>
      </c>
    </row>
    <row r="233" spans="1:5">
      <c r="A233" t="s">
        <v>554</v>
      </c>
      <c r="B233" t="s">
        <v>470</v>
      </c>
      <c r="C233" s="8">
        <v>0</v>
      </c>
      <c r="D233" t="str">
        <f>VLOOKUP(Tabulation!$B233,Constants!$A:$C,2,FALSE)</f>
        <v>Material Return Line</v>
      </c>
      <c r="E233" t="str">
        <f>VLOOKUP(Tabulation!$B233,Constants!$A:$C,3,FALSE)</f>
        <v>Medium Volume</v>
      </c>
    </row>
    <row r="234" spans="1:5">
      <c r="A234" t="s">
        <v>554</v>
      </c>
      <c r="B234" t="s">
        <v>472</v>
      </c>
      <c r="C234" s="8">
        <v>0</v>
      </c>
      <c r="D234" t="str">
        <f>VLOOKUP(Tabulation!$B234,Constants!$A:$C,2,FALSE)</f>
        <v>Measurement</v>
      </c>
      <c r="E234" t="str">
        <f>VLOOKUP(Tabulation!$B234,Constants!$A:$C,3,FALSE)</f>
        <v>Medium Volume</v>
      </c>
    </row>
    <row r="235" spans="1:5">
      <c r="A235" t="s">
        <v>554</v>
      </c>
      <c r="B235" t="s">
        <v>473</v>
      </c>
      <c r="C235" s="8">
        <v>0</v>
      </c>
      <c r="D235" t="str">
        <f>VLOOKUP(Tabulation!$B235,Constants!$A:$C,2,FALSE)</f>
        <v>Mobile Subscription</v>
      </c>
      <c r="E235" t="str">
        <f>VLOOKUP(Tabulation!$B235,Constants!$A:$C,3,FALSE)</f>
        <v>Medium Volume</v>
      </c>
    </row>
    <row r="236" spans="1:5">
      <c r="A236" t="s">
        <v>554</v>
      </c>
      <c r="B236" t="s">
        <v>475</v>
      </c>
      <c r="C236" s="8">
        <v>29262</v>
      </c>
      <c r="D236" t="str">
        <f>VLOOKUP(Tabulation!$B236,Constants!$A:$C,2,FALSE)</f>
        <v>Location/Organization</v>
      </c>
      <c r="E236" t="str">
        <f>VLOOKUP(Tabulation!$B236,Constants!$A:$C,3,FALSE)</f>
        <v>Medium Volume</v>
      </c>
    </row>
    <row r="237" spans="1:5">
      <c r="A237" t="s">
        <v>554</v>
      </c>
      <c r="B237" t="s">
        <v>477</v>
      </c>
      <c r="C237" s="8">
        <v>0</v>
      </c>
      <c r="D237" t="str">
        <f>VLOOKUP(Tabulation!$B237,Constants!$A:$C,2,FALSE)</f>
        <v>Other Direct Charges</v>
      </c>
      <c r="E237" t="str">
        <f>VLOOKUP(Tabulation!$B237,Constants!$A:$C,3,FALSE)</f>
        <v>Medium Volume</v>
      </c>
    </row>
    <row r="238" spans="1:5">
      <c r="A238" t="s">
        <v>554</v>
      </c>
      <c r="B238" t="s">
        <v>479</v>
      </c>
      <c r="C238" s="8">
        <v>0</v>
      </c>
      <c r="D238" t="str">
        <f>VLOOKUP(Tabulation!$B238,Constants!$A:$C,2,FALSE)</f>
        <v>Other Direct Charges Detail</v>
      </c>
      <c r="E238" t="str">
        <f>VLOOKUP(Tabulation!$B238,Constants!$A:$C,3,FALSE)</f>
        <v>Medium Volume</v>
      </c>
    </row>
    <row r="239" spans="1:5">
      <c r="A239" t="s">
        <v>554</v>
      </c>
      <c r="B239" t="s">
        <v>481</v>
      </c>
      <c r="C239" s="8">
        <v>0</v>
      </c>
      <c r="D239" t="str">
        <f>VLOOKUP(Tabulation!$B239,Constants!$A:$C,2,FALSE)</f>
        <v>Permit</v>
      </c>
      <c r="E239" t="str">
        <f>VLOOKUP(Tabulation!$B239,Constants!$A:$C,3,FALSE)</f>
        <v>Medium Volume</v>
      </c>
    </row>
    <row r="240" spans="1:5">
      <c r="A240" t="s">
        <v>554</v>
      </c>
      <c r="B240" t="s">
        <v>483</v>
      </c>
      <c r="C240" s="8">
        <v>0</v>
      </c>
      <c r="D240" t="str">
        <f>VLOOKUP(Tabulation!$B240,Constants!$A:$C,2,FALSE)</f>
        <v>Physical Inventory Count Line</v>
      </c>
      <c r="E240" t="str">
        <f>VLOOKUP(Tabulation!$B240,Constants!$A:$C,3,FALSE)</f>
        <v>Medium Volume</v>
      </c>
    </row>
    <row r="241" spans="1:5">
      <c r="A241" t="s">
        <v>554</v>
      </c>
      <c r="B241" t="s">
        <v>485</v>
      </c>
      <c r="C241" s="8">
        <v>0</v>
      </c>
      <c r="D241" t="str">
        <f>VLOOKUP(Tabulation!$B241,Constants!$A:$C,2,FALSE)</f>
        <v>Physical Inventory Count Master</v>
      </c>
      <c r="E241" t="str">
        <f>VLOOKUP(Tabulation!$B241,Constants!$A:$C,3,FALSE)</f>
        <v>Medium Volume</v>
      </c>
    </row>
    <row r="242" spans="1:5">
      <c r="A242" t="s">
        <v>554</v>
      </c>
      <c r="B242" t="s">
        <v>487</v>
      </c>
      <c r="C242" s="8">
        <v>0</v>
      </c>
      <c r="D242" t="str">
        <f>VLOOKUP(Tabulation!$B242,Constants!$A:$C,2,FALSE)</f>
        <v>Physical Inventory Header</v>
      </c>
      <c r="E242" t="str">
        <f>VLOOKUP(Tabulation!$B242,Constants!$A:$C,3,FALSE)</f>
        <v>Medium Volume</v>
      </c>
    </row>
    <row r="243" spans="1:5">
      <c r="A243" t="s">
        <v>554</v>
      </c>
      <c r="B243" t="s">
        <v>489</v>
      </c>
      <c r="C243" s="8">
        <v>0</v>
      </c>
      <c r="D243" t="str">
        <f>VLOOKUP(Tabulation!$B243,Constants!$A:$C,2,FALSE)</f>
        <v>Purchase Order Header</v>
      </c>
      <c r="E243" t="str">
        <f>VLOOKUP(Tabulation!$B243,Constants!$A:$C,3,FALSE)</f>
        <v>Medium Volume</v>
      </c>
    </row>
    <row r="244" spans="1:5">
      <c r="A244" t="s">
        <v>554</v>
      </c>
      <c r="B244" t="s">
        <v>491</v>
      </c>
      <c r="C244" s="8">
        <v>0</v>
      </c>
      <c r="D244" t="str">
        <f>VLOOKUP(Tabulation!$B244,Constants!$A:$C,2,FALSE)</f>
        <v>Purchase Order Line</v>
      </c>
      <c r="E244" t="str">
        <f>VLOOKUP(Tabulation!$B244,Constants!$A:$C,3,FALSE)</f>
        <v>Medium Volume</v>
      </c>
    </row>
    <row r="245" spans="1:5">
      <c r="A245" t="s">
        <v>554</v>
      </c>
      <c r="B245" t="s">
        <v>493</v>
      </c>
      <c r="C245" s="8">
        <v>0</v>
      </c>
      <c r="D245" t="str">
        <f>VLOOKUP(Tabulation!$B245,Constants!$A:$C,2,FALSE)</f>
        <v>Functional Process</v>
      </c>
      <c r="E245" t="str">
        <f>VLOOKUP(Tabulation!$B245,Constants!$A:$C,3,FALSE)</f>
        <v>Medium Volume</v>
      </c>
    </row>
    <row r="246" spans="1:5">
      <c r="A246" t="s">
        <v>554</v>
      </c>
      <c r="B246" t="s">
        <v>495</v>
      </c>
      <c r="C246" s="8">
        <v>0</v>
      </c>
      <c r="D246" t="str">
        <f>VLOOKUP(Tabulation!$B246,Constants!$A:$C,2,FALSE)</f>
        <v>Project</v>
      </c>
      <c r="E246" t="str">
        <f>VLOOKUP(Tabulation!$B246,Constants!$A:$C,3,FALSE)</f>
        <v>Medium Volume</v>
      </c>
    </row>
    <row r="247" spans="1:5">
      <c r="A247" t="s">
        <v>554</v>
      </c>
      <c r="B247" t="s">
        <v>497</v>
      </c>
      <c r="C247" s="8">
        <v>0</v>
      </c>
      <c r="D247" t="str">
        <f>VLOOKUP(Tabulation!$B247,Constants!$A:$C,2,FALSE)</f>
        <v>Purchase Requisition Header</v>
      </c>
      <c r="E247" t="str">
        <f>VLOOKUP(Tabulation!$B247,Constants!$A:$C,3,FALSE)</f>
        <v>Medium Volume</v>
      </c>
    </row>
    <row r="248" spans="1:5">
      <c r="A248" t="s">
        <v>554</v>
      </c>
      <c r="B248" t="s">
        <v>499</v>
      </c>
      <c r="C248" s="8">
        <v>0</v>
      </c>
      <c r="D248" t="str">
        <f>VLOOKUP(Tabulation!$B248,Constants!$A:$C,2,FALSE)</f>
        <v>Purchase Requisition Line</v>
      </c>
      <c r="E248" t="str">
        <f>VLOOKUP(Tabulation!$B248,Constants!$A:$C,3,FALSE)</f>
        <v>Medium Volume</v>
      </c>
    </row>
    <row r="249" spans="1:5">
      <c r="A249" t="s">
        <v>554</v>
      </c>
      <c r="B249" t="s">
        <v>501</v>
      </c>
      <c r="C249" s="8">
        <v>0</v>
      </c>
      <c r="D249" t="str">
        <f>VLOOKUP(Tabulation!$B249,Constants!$A:$C,2,FALSE)</f>
        <v>Receipt Header</v>
      </c>
      <c r="E249" t="str">
        <f>VLOOKUP(Tabulation!$B249,Constants!$A:$C,3,FALSE)</f>
        <v>Medium Volume</v>
      </c>
    </row>
    <row r="250" spans="1:5">
      <c r="A250" t="s">
        <v>554</v>
      </c>
      <c r="B250" t="s">
        <v>503</v>
      </c>
      <c r="C250" s="8">
        <v>0</v>
      </c>
      <c r="D250" t="str">
        <f>VLOOKUP(Tabulation!$B250,Constants!$A:$C,2,FALSE)</f>
        <v>Receipt Line</v>
      </c>
      <c r="E250" t="str">
        <f>VLOOKUP(Tabulation!$B250,Constants!$A:$C,3,FALSE)</f>
        <v>Medium Volume</v>
      </c>
    </row>
    <row r="251" spans="1:5">
      <c r="A251" t="s">
        <v>554</v>
      </c>
      <c r="B251" t="s">
        <v>505</v>
      </c>
      <c r="C251" s="8">
        <v>0</v>
      </c>
      <c r="D251" t="str">
        <f>VLOOKUP(Tabulation!$B251,Constants!$A:$C,2,FALSE)</f>
        <v>Report Queue</v>
      </c>
      <c r="E251" t="str">
        <f>VLOOKUP(Tabulation!$B251,Constants!$A:$C,3,FALSE)</f>
        <v>Medium Volume</v>
      </c>
    </row>
    <row r="252" spans="1:5">
      <c r="A252" t="s">
        <v>554</v>
      </c>
      <c r="B252" t="s">
        <v>507</v>
      </c>
      <c r="C252" s="8">
        <v>0</v>
      </c>
      <c r="D252" t="str">
        <f>VLOOKUP(Tabulation!$B252,Constants!$A:$C,2,FALSE)</f>
        <v>Resource Type</v>
      </c>
      <c r="E252" t="str">
        <f>VLOOKUP(Tabulation!$B252,Constants!$A:$C,3,FALSE)</f>
        <v>Medium Volume</v>
      </c>
    </row>
    <row r="253" spans="1:5">
      <c r="A253" t="s">
        <v>554</v>
      </c>
      <c r="B253" t="s">
        <v>509</v>
      </c>
      <c r="C253" s="8">
        <v>0</v>
      </c>
      <c r="D253" t="str">
        <f>VLOOKUP(Tabulation!$B253,Constants!$A:$C,2,FALSE)</f>
        <v>Reorder Review</v>
      </c>
      <c r="E253" t="str">
        <f>VLOOKUP(Tabulation!$B253,Constants!$A:$C,3,FALSE)</f>
        <v>Medium Volume</v>
      </c>
    </row>
    <row r="254" spans="1:5">
      <c r="A254" t="s">
        <v>554</v>
      </c>
      <c r="B254" t="s">
        <v>511</v>
      </c>
      <c r="C254" s="8">
        <v>0</v>
      </c>
      <c r="D254" t="str">
        <f>VLOOKUP(Tabulation!$B254,Constants!$A:$C,2,FALSE)</f>
        <v>Return Line</v>
      </c>
      <c r="E254" t="str">
        <f>VLOOKUP(Tabulation!$B254,Constants!$A:$C,3,FALSE)</f>
        <v>Medium Volume</v>
      </c>
    </row>
    <row r="255" spans="1:5">
      <c r="A255" t="s">
        <v>554</v>
      </c>
      <c r="B255" t="s">
        <v>513</v>
      </c>
      <c r="C255" s="8">
        <v>0</v>
      </c>
      <c r="D255" t="str">
        <f>VLOOKUP(Tabulation!$B255,Constants!$A:$C,2,FALSE)</f>
        <v>Shift Weekly Template</v>
      </c>
      <c r="E255" t="str">
        <f>VLOOKUP(Tabulation!$B255,Constants!$A:$C,3,FALSE)</f>
        <v>Medium Volume</v>
      </c>
    </row>
    <row r="256" spans="1:5">
      <c r="A256" t="s">
        <v>554</v>
      </c>
      <c r="B256" t="s">
        <v>515</v>
      </c>
      <c r="C256" s="8">
        <v>0</v>
      </c>
      <c r="D256" t="str">
        <f>VLOOKUP(Tabulation!$B256,Constants!$A:$C,2,FALSE)</f>
        <v>Shipping Line</v>
      </c>
      <c r="E256" t="str">
        <f>VLOOKUP(Tabulation!$B256,Constants!$A:$C,3,FALSE)</f>
        <v>Medium Volume</v>
      </c>
    </row>
    <row r="257" spans="1:5">
      <c r="A257" t="s">
        <v>554</v>
      </c>
      <c r="B257" t="s">
        <v>517</v>
      </c>
      <c r="C257" s="8">
        <v>0</v>
      </c>
      <c r="D257" t="str">
        <f>VLOOKUP(Tabulation!$B257,Constants!$A:$C,2,FALSE)</f>
        <v>Shipping Memo</v>
      </c>
      <c r="E257" t="str">
        <f>VLOOKUP(Tabulation!$B257,Constants!$A:$C,3,FALSE)</f>
        <v>Medium Volume</v>
      </c>
    </row>
    <row r="258" spans="1:5">
      <c r="A258" t="s">
        <v>554</v>
      </c>
      <c r="B258" t="s">
        <v>519</v>
      </c>
      <c r="C258" s="8">
        <v>0</v>
      </c>
      <c r="D258" t="str">
        <f>VLOOKUP(Tabulation!$B258,Constants!$A:$C,2,FALSE)</f>
        <v>Stock Item Detail</v>
      </c>
      <c r="E258" t="str">
        <f>VLOOKUP(Tabulation!$B258,Constants!$A:$C,3,FALSE)</f>
        <v>Medium Volume</v>
      </c>
    </row>
    <row r="259" spans="1:5">
      <c r="A259" t="s">
        <v>554</v>
      </c>
      <c r="B259" t="s">
        <v>521</v>
      </c>
      <c r="C259" s="8">
        <v>0</v>
      </c>
      <c r="D259" t="str">
        <f>VLOOKUP(Tabulation!$B259,Constants!$A:$C,2,FALSE)</f>
        <v>Stock Transaction</v>
      </c>
      <c r="E259" t="str">
        <f>VLOOKUP(Tabulation!$B259,Constants!$A:$C,3,FALSE)</f>
        <v>Medium Volume</v>
      </c>
    </row>
    <row r="260" spans="1:5">
      <c r="A260" t="s">
        <v>554</v>
      </c>
      <c r="B260" t="s">
        <v>523</v>
      </c>
      <c r="C260" s="8">
        <v>0</v>
      </c>
      <c r="D260" t="str">
        <f>VLOOKUP(Tabulation!$B260,Constants!$A:$C,2,FALSE)</f>
        <v>Service History</v>
      </c>
      <c r="E260" t="str">
        <f>VLOOKUP(Tabulation!$B260,Constants!$A:$C,3,FALSE)</f>
        <v>Medium Volume</v>
      </c>
    </row>
    <row r="261" spans="1:5">
      <c r="A261" t="s">
        <v>554</v>
      </c>
      <c r="B261" t="s">
        <v>525</v>
      </c>
      <c r="C261" s="8">
        <v>0</v>
      </c>
      <c r="D261" t="str">
        <f>VLOOKUP(Tabulation!$B261,Constants!$A:$C,2,FALSE)</f>
        <v>Timesheet</v>
      </c>
      <c r="E261" t="str">
        <f>VLOOKUP(Tabulation!$B261,Constants!$A:$C,3,FALSE)</f>
        <v>Medium Volume</v>
      </c>
    </row>
    <row r="262" spans="1:5">
      <c r="A262" t="s">
        <v>554</v>
      </c>
      <c r="B262" t="s">
        <v>527</v>
      </c>
      <c r="C262" s="8">
        <v>0</v>
      </c>
      <c r="D262" t="str">
        <f>VLOOKUP(Tabulation!$B262,Constants!$A:$C,2,FALSE)</f>
        <v>Timesheet Detail</v>
      </c>
      <c r="E262" t="str">
        <f>VLOOKUP(Tabulation!$B262,Constants!$A:$C,3,FALSE)</f>
        <v>Medium Volume</v>
      </c>
    </row>
    <row r="263" spans="1:5">
      <c r="A263" t="s">
        <v>554</v>
      </c>
      <c r="B263" t="s">
        <v>529</v>
      </c>
      <c r="C263" s="8">
        <v>0</v>
      </c>
      <c r="D263" t="str">
        <f>VLOOKUP(Tabulation!$B263,Constants!$A:$C,2,FALSE)</f>
        <v>Template Activity</v>
      </c>
      <c r="E263" t="str">
        <f>VLOOKUP(Tabulation!$B263,Constants!$A:$C,3,FALSE)</f>
        <v>Medium Volume</v>
      </c>
    </row>
    <row r="264" spans="1:5">
      <c r="A264" t="s">
        <v>554</v>
      </c>
      <c r="B264" t="s">
        <v>531</v>
      </c>
      <c r="C264" s="8">
        <v>0</v>
      </c>
      <c r="D264" t="str">
        <f>VLOOKUP(Tabulation!$B264,Constants!$A:$C,2,FALSE)</f>
        <v>Template Activity Resource</v>
      </c>
      <c r="E264" t="str">
        <f>VLOOKUP(Tabulation!$B264,Constants!$A:$C,3,FALSE)</f>
        <v>Medium Volume</v>
      </c>
    </row>
    <row r="265" spans="1:5">
      <c r="A265" t="s">
        <v>554</v>
      </c>
      <c r="B265" t="s">
        <v>533</v>
      </c>
      <c r="C265" s="8">
        <v>0</v>
      </c>
      <c r="D265" t="str">
        <f>VLOOKUP(Tabulation!$B265,Constants!$A:$C,2,FALSE)</f>
        <v>Template Work Order</v>
      </c>
      <c r="E265" t="str">
        <f>VLOOKUP(Tabulation!$B265,Constants!$A:$C,3,FALSE)</f>
        <v>Medium Volume</v>
      </c>
    </row>
    <row r="266" spans="1:5">
      <c r="A266" t="s">
        <v>554</v>
      </c>
      <c r="B266" t="s">
        <v>535</v>
      </c>
      <c r="C266" s="8">
        <v>0</v>
      </c>
      <c r="D266" t="str">
        <f>VLOOKUP(Tabulation!$B266,Constants!$A:$C,2,FALSE)</f>
        <v>Vendor</v>
      </c>
      <c r="E266" t="str">
        <f>VLOOKUP(Tabulation!$B266,Constants!$A:$C,3,FALSE)</f>
        <v>Medium Volume</v>
      </c>
    </row>
    <row r="267" spans="1:5">
      <c r="A267" t="s">
        <v>554</v>
      </c>
      <c r="B267" t="s">
        <v>537</v>
      </c>
      <c r="C267" s="8">
        <v>0</v>
      </c>
      <c r="D267" t="str">
        <f>VLOOKUP(Tabulation!$B267,Constants!$A:$C,2,FALSE)</f>
        <v>Vendor Location</v>
      </c>
      <c r="E267" t="str">
        <f>VLOOKUP(Tabulation!$B267,Constants!$A:$C,3,FALSE)</f>
        <v>Medium Volume</v>
      </c>
    </row>
    <row r="268" spans="1:5">
      <c r="A268" t="s">
        <v>554</v>
      </c>
      <c r="B268" t="s">
        <v>539</v>
      </c>
      <c r="C268" s="8">
        <v>0</v>
      </c>
      <c r="D268" t="str">
        <f>VLOOKUP(Tabulation!$B268,Constants!$A:$C,2,FALSE)</f>
        <v>Warranty</v>
      </c>
      <c r="E268" t="str">
        <f>VLOOKUP(Tabulation!$B268,Constants!$A:$C,3,FALSE)</f>
        <v>Medium Volume</v>
      </c>
    </row>
    <row r="269" spans="1:5">
      <c r="A269" t="s">
        <v>554</v>
      </c>
      <c r="B269" t="s">
        <v>541</v>
      </c>
      <c r="C269" s="8">
        <v>0</v>
      </c>
      <c r="D269" t="str">
        <f>VLOOKUP(Tabulation!$B269,Constants!$A:$C,2,FALSE)</f>
        <v>Work Order</v>
      </c>
      <c r="E269" t="str">
        <f>VLOOKUP(Tabulation!$B269,Constants!$A:$C,3,FALSE)</f>
        <v>Medium Volume</v>
      </c>
    </row>
    <row r="270" spans="1:5">
      <c r="A270" t="s">
        <v>554</v>
      </c>
      <c r="B270" t="s">
        <v>543</v>
      </c>
      <c r="C270" s="8">
        <v>0</v>
      </c>
      <c r="D270" t="str">
        <f>VLOOKUP(Tabulation!$B270,Constants!$A:$C,2,FALSE)</f>
        <v>Work Design</v>
      </c>
      <c r="E270" t="str">
        <f>VLOOKUP(Tabulation!$B270,Constants!$A:$C,3,FALSE)</f>
        <v>Medium Volume</v>
      </c>
    </row>
    <row r="271" spans="1:5">
      <c r="A271" t="s">
        <v>554</v>
      </c>
      <c r="B271" t="s">
        <v>545</v>
      </c>
      <c r="C271" s="8">
        <v>0</v>
      </c>
      <c r="D271" t="str">
        <f>VLOOKUP(Tabulation!$B271,Constants!$A:$C,2,FALSE)</f>
        <v>Work Location</v>
      </c>
      <c r="E271" t="str">
        <f>VLOOKUP(Tabulation!$B271,Constants!$A:$C,3,FALSE)</f>
        <v>Medium Volume</v>
      </c>
    </row>
    <row r="272" spans="1:5">
      <c r="A272" t="s">
        <v>554</v>
      </c>
      <c r="B272" t="s">
        <v>547</v>
      </c>
      <c r="C272" s="8">
        <v>0</v>
      </c>
      <c r="D272" t="str">
        <f>VLOOKUP(Tabulation!$B272,Constants!$A:$C,2,FALSE)</f>
        <v>Work Request</v>
      </c>
      <c r="E272" t="str">
        <f>VLOOKUP(Tabulation!$B272,Constants!$A:$C,3,FALSE)</f>
        <v>Medium Volume</v>
      </c>
    </row>
    <row r="273" spans="1:5">
      <c r="A273" t="s">
        <v>555</v>
      </c>
      <c r="B273" t="s">
        <v>3</v>
      </c>
      <c r="C273" s="8">
        <v>0</v>
      </c>
      <c r="D273" t="str">
        <f>VLOOKUP(Tabulation!$B273,Constants!$A:$C,2,FALSE)</f>
        <v>Financial Transaction GL Monthly Aggregate</v>
      </c>
      <c r="E273" t="str">
        <f>VLOOKUP(Tabulation!$B273,Constants!$A:$C,3,FALSE)</f>
        <v>Medium Volume</v>
      </c>
    </row>
    <row r="274" spans="1:5">
      <c r="A274" t="s">
        <v>555</v>
      </c>
      <c r="B274" t="s">
        <v>6</v>
      </c>
      <c r="C274" s="8">
        <v>0</v>
      </c>
      <c r="D274" t="str">
        <f>VLOOKUP(Tabulation!$B274,Constants!$A:$C,2,FALSE)</f>
        <v>Financial Transaction Monthly Aggregate</v>
      </c>
      <c r="E274" t="str">
        <f>VLOOKUP(Tabulation!$B274,Constants!$A:$C,3,FALSE)</f>
        <v>Medium Volume</v>
      </c>
    </row>
    <row r="275" spans="1:5">
      <c r="A275" t="s">
        <v>555</v>
      </c>
      <c r="B275" t="s">
        <v>8</v>
      </c>
      <c r="C275" s="8">
        <v>0</v>
      </c>
      <c r="D275" t="str">
        <f>VLOOKUP(Tabulation!$B275,Constants!$A:$C,2,FALSE)</f>
        <v>SA Arrears Snapshot</v>
      </c>
      <c r="E275" t="str">
        <f>VLOOKUP(Tabulation!$B275,Constants!$A:$C,3,FALSE)</f>
        <v>Medium Volume</v>
      </c>
    </row>
    <row r="276" spans="1:5">
      <c r="A276" t="s">
        <v>555</v>
      </c>
      <c r="B276" t="s">
        <v>10</v>
      </c>
      <c r="C276" s="8">
        <v>0</v>
      </c>
      <c r="D276" t="str">
        <f>VLOOKUP(Tabulation!$B276,Constants!$A:$C,2,FALSE)</f>
        <v>Consumer Contract</v>
      </c>
      <c r="E276" t="str">
        <f>VLOOKUP(Tabulation!$B276,Constants!$A:$C,3,FALSE)</f>
        <v>Medium Volume</v>
      </c>
    </row>
    <row r="277" spans="1:5">
      <c r="A277" t="s">
        <v>555</v>
      </c>
      <c r="B277" t="s">
        <v>12</v>
      </c>
      <c r="C277" s="8">
        <v>31</v>
      </c>
      <c r="D277" t="str">
        <f>VLOOKUP(Tabulation!$B277,Constants!$A:$C,2,FALSE)</f>
        <v>Customer Service Request</v>
      </c>
      <c r="E277" t="str">
        <f>VLOOKUP(Tabulation!$B277,Constants!$A:$C,3,FALSE)</f>
        <v>Medium Volume</v>
      </c>
    </row>
    <row r="278" spans="1:5">
      <c r="A278" t="s">
        <v>555</v>
      </c>
      <c r="B278" t="s">
        <v>14</v>
      </c>
      <c r="C278" s="8">
        <v>0</v>
      </c>
      <c r="D278" t="str">
        <f>VLOOKUP(Tabulation!$B278,Constants!$A:$C,2,FALSE)</f>
        <v>Customer Service Request Account</v>
      </c>
      <c r="E278" t="str">
        <f>VLOOKUP(Tabulation!$B278,Constants!$A:$C,3,FALSE)</f>
        <v>Medium Volume</v>
      </c>
    </row>
    <row r="279" spans="1:5">
      <c r="A279" t="s">
        <v>555</v>
      </c>
      <c r="B279" t="s">
        <v>16</v>
      </c>
      <c r="C279" s="8">
        <v>0</v>
      </c>
      <c r="D279" t="str">
        <f>VLOOKUP(Tabulation!$B279,Constants!$A:$C,2,FALSE)</f>
        <v>Customer Service Request Consumer Contract</v>
      </c>
      <c r="E279" t="str">
        <f>VLOOKUP(Tabulation!$B279,Constants!$A:$C,3,FALSE)</f>
        <v>Medium Volume</v>
      </c>
    </row>
    <row r="280" spans="1:5">
      <c r="A280" t="s">
        <v>555</v>
      </c>
      <c r="B280" t="s">
        <v>18</v>
      </c>
      <c r="C280" s="8">
        <v>0</v>
      </c>
      <c r="D280" t="str">
        <f>VLOOKUP(Tabulation!$B280,Constants!$A:$C,2,FALSE)</f>
        <v>Customer Service Request Contract Product</v>
      </c>
      <c r="E280" t="str">
        <f>VLOOKUP(Tabulation!$B280,Constants!$A:$C,3,FALSE)</f>
        <v>Medium Volume</v>
      </c>
    </row>
    <row r="281" spans="1:5">
      <c r="A281" t="s">
        <v>555</v>
      </c>
      <c r="B281" t="s">
        <v>20</v>
      </c>
      <c r="C281" s="8">
        <v>0</v>
      </c>
      <c r="D281" t="str">
        <f>VLOOKUP(Tabulation!$B281,Constants!$A:$C,2,FALSE)</f>
        <v>Customer Service Request Person</v>
      </c>
      <c r="E281" t="str">
        <f>VLOOKUP(Tabulation!$B281,Constants!$A:$C,3,FALSE)</f>
        <v>Medium Volume</v>
      </c>
    </row>
    <row r="282" spans="1:5">
      <c r="A282" t="s">
        <v>555</v>
      </c>
      <c r="B282" t="s">
        <v>22</v>
      </c>
      <c r="C282" s="8">
        <v>0</v>
      </c>
      <c r="D282" t="str">
        <f>VLOOKUP(Tabulation!$B282,Constants!$A:$C,2,FALSE)</f>
        <v>Customer Service Request Premise</v>
      </c>
      <c r="E282" t="str">
        <f>VLOOKUP(Tabulation!$B282,Constants!$A:$C,3,FALSE)</f>
        <v>Medium Volume</v>
      </c>
    </row>
    <row r="283" spans="1:5">
      <c r="A283" t="s">
        <v>555</v>
      </c>
      <c r="B283" t="s">
        <v>24</v>
      </c>
      <c r="C283" s="8">
        <v>0</v>
      </c>
      <c r="D283" t="str">
        <f>VLOOKUP(Tabulation!$B283,Constants!$A:$C,2,FALSE)</f>
        <v>Customer Service Request SA</v>
      </c>
      <c r="E283" t="str">
        <f>VLOOKUP(Tabulation!$B283,Constants!$A:$C,3,FALSE)</f>
        <v>Medium Volume</v>
      </c>
    </row>
    <row r="284" spans="1:5">
      <c r="A284" t="s">
        <v>555</v>
      </c>
      <c r="B284" t="s">
        <v>26</v>
      </c>
      <c r="C284" s="8">
        <v>0</v>
      </c>
      <c r="D284" t="str">
        <f>VLOOKUP(Tabulation!$B284,Constants!$A:$C,2,FALSE)</f>
        <v>Customer Service Request Service Location</v>
      </c>
      <c r="E284" t="str">
        <f>VLOOKUP(Tabulation!$B284,Constants!$A:$C,3,FALSE)</f>
        <v>Medium Volume</v>
      </c>
    </row>
    <row r="285" spans="1:5">
      <c r="A285" t="s">
        <v>555</v>
      </c>
      <c r="B285" t="s">
        <v>28</v>
      </c>
      <c r="C285" s="8">
        <v>0</v>
      </c>
      <c r="D285" t="str">
        <f>VLOOKUP(Tabulation!$B285,Constants!$A:$C,2,FALSE)</f>
        <v>Customer Relationship Request</v>
      </c>
      <c r="E285" t="str">
        <f>VLOOKUP(Tabulation!$B285,Constants!$A:$C,3,FALSE)</f>
        <v>Medium Volume</v>
      </c>
    </row>
    <row r="286" spans="1:5">
      <c r="A286" t="s">
        <v>555</v>
      </c>
      <c r="B286" t="s">
        <v>30</v>
      </c>
      <c r="C286" s="8">
        <v>0</v>
      </c>
      <c r="D286" t="str">
        <f>VLOOKUP(Tabulation!$B286,Constants!$A:$C,2,FALSE)</f>
        <v>Lead</v>
      </c>
      <c r="E286" t="str">
        <f>VLOOKUP(Tabulation!$B286,Constants!$A:$C,3,FALSE)</f>
        <v>Medium Volume</v>
      </c>
    </row>
    <row r="287" spans="1:5">
      <c r="A287" t="s">
        <v>555</v>
      </c>
      <c r="B287" t="s">
        <v>32</v>
      </c>
      <c r="C287" s="8">
        <v>0</v>
      </c>
      <c r="D287" t="str">
        <f>VLOOKUP(Tabulation!$B287,Constants!$A:$C,2,FALSE)</f>
        <v>Lead Event</v>
      </c>
      <c r="E287" t="str">
        <f>VLOOKUP(Tabulation!$B287,Constants!$A:$C,3,FALSE)</f>
        <v>Medium Volume</v>
      </c>
    </row>
    <row r="288" spans="1:5">
      <c r="A288" t="s">
        <v>555</v>
      </c>
      <c r="B288" t="s">
        <v>34</v>
      </c>
      <c r="C288" s="8">
        <v>0</v>
      </c>
      <c r="D288" t="str">
        <f>VLOOKUP(Tabulation!$B288,Constants!$A:$C,2,FALSE)</f>
        <v>Market Charge</v>
      </c>
      <c r="E288" t="str">
        <f>VLOOKUP(Tabulation!$B288,Constants!$A:$C,3,FALSE)</f>
        <v>Medium Volume</v>
      </c>
    </row>
    <row r="289" spans="1:5">
      <c r="A289" t="s">
        <v>555</v>
      </c>
      <c r="B289" t="s">
        <v>36</v>
      </c>
      <c r="C289" s="8">
        <v>0</v>
      </c>
      <c r="D289" t="str">
        <f>VLOOKUP(Tabulation!$B289,Constants!$A:$C,2,FALSE)</f>
        <v>Market Payment</v>
      </c>
      <c r="E289" t="str">
        <f>VLOOKUP(Tabulation!$B289,Constants!$A:$C,3,FALSE)</f>
        <v>Medium Volume</v>
      </c>
    </row>
    <row r="290" spans="1:5">
      <c r="A290" t="s">
        <v>555</v>
      </c>
      <c r="B290" t="s">
        <v>38</v>
      </c>
      <c r="C290" s="8">
        <v>0</v>
      </c>
      <c r="D290" t="str">
        <f>VLOOKUP(Tabulation!$B290,Constants!$A:$C,2,FALSE)</f>
        <v>Market Usage</v>
      </c>
      <c r="E290" t="str">
        <f>VLOOKUP(Tabulation!$B290,Constants!$A:$C,3,FALSE)</f>
        <v>Medium Volume</v>
      </c>
    </row>
    <row r="291" spans="1:5">
      <c r="A291" t="s">
        <v>555</v>
      </c>
      <c r="B291" t="s">
        <v>40</v>
      </c>
      <c r="C291" s="8">
        <v>0</v>
      </c>
      <c r="D291" t="str">
        <f>VLOOKUP(Tabulation!$B291,Constants!$A:$C,2,FALSE)</f>
        <v>Registration Point</v>
      </c>
      <c r="E291" t="str">
        <f>VLOOKUP(Tabulation!$B291,Constants!$A:$C,3,FALSE)</f>
        <v>Medium Volume</v>
      </c>
    </row>
    <row r="292" spans="1:5">
      <c r="A292" t="s">
        <v>555</v>
      </c>
      <c r="B292" t="s">
        <v>42</v>
      </c>
      <c r="C292" s="8">
        <v>0</v>
      </c>
      <c r="D292" t="str">
        <f>VLOOKUP(Tabulation!$B292,Constants!$A:$C,2,FALSE)</f>
        <v>Communication Preference</v>
      </c>
      <c r="E292" t="str">
        <f>VLOOKUP(Tabulation!$B292,Constants!$A:$C,3,FALSE)</f>
        <v>Medium Volume</v>
      </c>
    </row>
    <row r="293" spans="1:5">
      <c r="A293" t="s">
        <v>555</v>
      </c>
      <c r="B293" t="s">
        <v>44</v>
      </c>
      <c r="C293" s="8">
        <v>6073</v>
      </c>
      <c r="D293" t="str">
        <f>VLOOKUP(Tabulation!$B293,Constants!$A:$C,2,FALSE)</f>
        <v>Off Cycle Bill Generator</v>
      </c>
      <c r="E293" t="str">
        <f>VLOOKUP(Tabulation!$B293,Constants!$A:$C,3,FALSE)</f>
        <v>Medium Volume</v>
      </c>
    </row>
    <row r="294" spans="1:5">
      <c r="A294" t="s">
        <v>555</v>
      </c>
      <c r="B294" t="s">
        <v>46</v>
      </c>
      <c r="C294" s="8">
        <v>1</v>
      </c>
      <c r="D294" t="str">
        <f>VLOOKUP(Tabulation!$B294,Constants!$A:$C,2,FALSE)</f>
        <v>Payment Arrangement Request</v>
      </c>
      <c r="E294" t="str">
        <f>VLOOKUP(Tabulation!$B294,Constants!$A:$C,3,FALSE)</f>
        <v>Medium Volume</v>
      </c>
    </row>
    <row r="295" spans="1:5">
      <c r="A295" t="s">
        <v>555</v>
      </c>
      <c r="B295" t="s">
        <v>48</v>
      </c>
      <c r="C295" s="8">
        <v>0</v>
      </c>
      <c r="D295" t="str">
        <f>VLOOKUP(Tabulation!$B295,Constants!$A:$C,2,FALSE)</f>
        <v>Response</v>
      </c>
      <c r="E295" t="str">
        <f>VLOOKUP(Tabulation!$B295,Constants!$A:$C,3,FALSE)</f>
        <v>Medium Volume</v>
      </c>
    </row>
    <row r="296" spans="1:5">
      <c r="A296" t="s">
        <v>555</v>
      </c>
      <c r="B296" t="s">
        <v>50</v>
      </c>
      <c r="C296" s="8">
        <v>1500648</v>
      </c>
      <c r="D296" t="str">
        <f>VLOOKUP(Tabulation!$B296,Constants!$A:$C,2,FALSE)</f>
        <v>Usage</v>
      </c>
      <c r="E296" t="str">
        <f>VLOOKUP(Tabulation!$B296,Constants!$A:$C,3,FALSE)</f>
        <v>Medium Volume</v>
      </c>
    </row>
    <row r="297" spans="1:5">
      <c r="A297" t="s">
        <v>555</v>
      </c>
      <c r="B297" t="s">
        <v>52</v>
      </c>
      <c r="C297" s="8">
        <v>0</v>
      </c>
      <c r="D297" t="str">
        <f>VLOOKUP(Tabulation!$B297,Constants!$A:$C,2,FALSE)</f>
        <v>Web User</v>
      </c>
      <c r="E297" t="str">
        <f>VLOOKUP(Tabulation!$B297,Constants!$A:$C,3,FALSE)</f>
        <v>Medium Volume</v>
      </c>
    </row>
    <row r="298" spans="1:5">
      <c r="A298" t="s">
        <v>555</v>
      </c>
      <c r="B298" t="s">
        <v>54</v>
      </c>
      <c r="C298" s="8">
        <v>0</v>
      </c>
      <c r="D298" t="str">
        <f>VLOOKUP(Tabulation!$B298,Constants!$A:$C,2,FALSE)</f>
        <v>Web User Account</v>
      </c>
      <c r="E298" t="str">
        <f>VLOOKUP(Tabulation!$B298,Constants!$A:$C,3,FALSE)</f>
        <v>Medium Volume</v>
      </c>
    </row>
    <row r="299" spans="1:5">
      <c r="A299" t="s">
        <v>555</v>
      </c>
      <c r="B299" t="s">
        <v>56</v>
      </c>
      <c r="C299" s="8">
        <v>155128</v>
      </c>
      <c r="D299" t="str">
        <f>VLOOKUP(Tabulation!$B299,Constants!$A:$C,2,FALSE)</f>
        <v>Account</v>
      </c>
      <c r="E299" t="str">
        <f>VLOOKUP(Tabulation!$B299,Constants!$A:$C,3,FALSE)</f>
        <v>Medium Volume</v>
      </c>
    </row>
    <row r="300" spans="1:5">
      <c r="A300" t="s">
        <v>555</v>
      </c>
      <c r="B300" t="s">
        <v>58</v>
      </c>
      <c r="C300" s="8">
        <v>2312799</v>
      </c>
      <c r="D300" t="str">
        <f>VLOOKUP(Tabulation!$B300,Constants!$A:$C,2,FALSE)</f>
        <v>Adjustment</v>
      </c>
      <c r="E300" t="str">
        <f>VLOOKUP(Tabulation!$B300,Constants!$A:$C,3,FALSE)</f>
        <v>Medium Volume</v>
      </c>
    </row>
    <row r="301" spans="1:5">
      <c r="A301" t="s">
        <v>555</v>
      </c>
      <c r="B301" t="s">
        <v>60</v>
      </c>
      <c r="C301" s="8">
        <v>0</v>
      </c>
      <c r="D301" t="str">
        <f>VLOOKUP(Tabulation!$B301,Constants!$A:$C,2,FALSE)</f>
        <v>Adjustment Staging Control</v>
      </c>
      <c r="E301" t="str">
        <f>VLOOKUP(Tabulation!$B301,Constants!$A:$C,3,FALSE)</f>
        <v>Medium Volume</v>
      </c>
    </row>
    <row r="302" spans="1:5">
      <c r="A302" t="s">
        <v>555</v>
      </c>
      <c r="B302" t="s">
        <v>62</v>
      </c>
      <c r="C302" s="8">
        <v>0</v>
      </c>
      <c r="D302" t="str">
        <f>VLOOKUP(Tabulation!$B302,Constants!$A:$C,2,FALSE)</f>
        <v>Adjustment Upload</v>
      </c>
      <c r="E302" t="str">
        <f>VLOOKUP(Tabulation!$B302,Constants!$A:$C,3,FALSE)</f>
        <v>Medium Volume</v>
      </c>
    </row>
    <row r="303" spans="1:5">
      <c r="A303" t="s">
        <v>555</v>
      </c>
      <c r="B303" t="s">
        <v>64</v>
      </c>
      <c r="C303" s="8">
        <v>0</v>
      </c>
      <c r="D303" t="str">
        <f>VLOOKUP(Tabulation!$B303,Constants!$A:$C,2,FALSE)</f>
        <v>Activity Request</v>
      </c>
      <c r="E303" t="str">
        <f>VLOOKUP(Tabulation!$B303,Constants!$A:$C,3,FALSE)</f>
        <v>Medium Volume</v>
      </c>
    </row>
    <row r="304" spans="1:5">
      <c r="A304" t="s">
        <v>555</v>
      </c>
      <c r="B304" t="s">
        <v>66</v>
      </c>
      <c r="C304" s="8">
        <v>3127</v>
      </c>
      <c r="D304" t="str">
        <f>VLOOKUP(Tabulation!$B304,Constants!$A:$C,2,FALSE)</f>
        <v>Approval Request</v>
      </c>
      <c r="E304" t="str">
        <f>VLOOKUP(Tabulation!$B304,Constants!$A:$C,3,FALSE)</f>
        <v>Medium Volume</v>
      </c>
    </row>
    <row r="305" spans="1:5">
      <c r="A305" t="s">
        <v>555</v>
      </c>
      <c r="B305" t="s">
        <v>68</v>
      </c>
      <c r="C305" s="8">
        <v>0</v>
      </c>
      <c r="D305" t="str">
        <f>VLOOKUP(Tabulation!$B305,Constants!$A:$C,2,FALSE)</f>
        <v>Audit</v>
      </c>
      <c r="E305" t="str">
        <f>VLOOKUP(Tabulation!$B305,Constants!$A:$C,3,FALSE)</f>
        <v>Medium Volume</v>
      </c>
    </row>
    <row r="306" spans="1:5">
      <c r="A306" t="s">
        <v>555</v>
      </c>
      <c r="B306" t="s">
        <v>70</v>
      </c>
      <c r="C306" s="8">
        <v>14</v>
      </c>
      <c r="D306" t="str">
        <f>VLOOKUP(Tabulation!$B306,Constants!$A:$C,2,FALSE)</f>
        <v>Balance Control Group</v>
      </c>
      <c r="E306" t="str">
        <f>VLOOKUP(Tabulation!$B306,Constants!$A:$C,3,FALSE)</f>
        <v>Medium Volume</v>
      </c>
    </row>
    <row r="307" spans="1:5">
      <c r="A307" t="s">
        <v>555</v>
      </c>
      <c r="B307" t="s">
        <v>72</v>
      </c>
      <c r="C307" s="8">
        <v>4256</v>
      </c>
      <c r="D307" t="str">
        <f>VLOOKUP(Tabulation!$B307,Constants!$A:$C,2,FALSE)</f>
        <v>Batch Job Ad-Hoc Queues</v>
      </c>
      <c r="E307" t="str">
        <f>VLOOKUP(Tabulation!$B307,Constants!$A:$C,3,FALSE)</f>
        <v>Medium Volume</v>
      </c>
    </row>
    <row r="308" spans="1:5">
      <c r="A308" t="s">
        <v>555</v>
      </c>
      <c r="B308" t="s">
        <v>74</v>
      </c>
      <c r="C308" s="8">
        <v>443985</v>
      </c>
      <c r="D308" t="str">
        <f>VLOOKUP(Tabulation!$B308,Constants!$A:$C,2,FALSE)</f>
        <v>Batch Run</v>
      </c>
      <c r="E308" t="str">
        <f>VLOOKUP(Tabulation!$B308,Constants!$A:$C,3,FALSE)</f>
        <v>Medium Volume</v>
      </c>
    </row>
    <row r="309" spans="1:5">
      <c r="A309" t="s">
        <v>555</v>
      </c>
      <c r="B309" t="s">
        <v>76</v>
      </c>
      <c r="C309" s="8">
        <v>0</v>
      </c>
      <c r="D309" t="str">
        <f>VLOOKUP(Tabulation!$B309,Constants!$A:$C,2,FALSE)</f>
        <v>Billable Charge Upload</v>
      </c>
      <c r="E309" t="str">
        <f>VLOOKUP(Tabulation!$B309,Constants!$A:$C,3,FALSE)</f>
        <v>Medium Volume</v>
      </c>
    </row>
    <row r="310" spans="1:5">
      <c r="A310" t="s">
        <v>555</v>
      </c>
      <c r="B310" t="s">
        <v>78</v>
      </c>
      <c r="C310" s="8">
        <v>2582940</v>
      </c>
      <c r="D310" t="str">
        <f>VLOOKUP(Tabulation!$B310,Constants!$A:$C,2,FALSE)</f>
        <v>Bill Header</v>
      </c>
      <c r="E310" t="str">
        <f>VLOOKUP(Tabulation!$B310,Constants!$A:$C,3,FALSE)</f>
        <v>Medium Volume</v>
      </c>
    </row>
    <row r="311" spans="1:5">
      <c r="A311" t="s">
        <v>555</v>
      </c>
      <c r="B311" t="s">
        <v>80</v>
      </c>
      <c r="C311" s="8">
        <v>5394</v>
      </c>
      <c r="D311" t="str">
        <f>VLOOKUP(Tabulation!$B311,Constants!$A:$C,2,FALSE)</f>
        <v>Billable Charge</v>
      </c>
      <c r="E311" t="str">
        <f>VLOOKUP(Tabulation!$B311,Constants!$A:$C,3,FALSE)</f>
        <v>Medium Volume</v>
      </c>
    </row>
    <row r="312" spans="1:5">
      <c r="A312" t="s">
        <v>555</v>
      </c>
      <c r="B312" t="s">
        <v>82</v>
      </c>
      <c r="C312" s="8">
        <v>0</v>
      </c>
      <c r="D312" t="str">
        <f>VLOOKUP(Tabulation!$B312,Constants!$A:$C,2,FALSE)</f>
        <v>Bill Review Schedule</v>
      </c>
      <c r="E312" t="str">
        <f>VLOOKUP(Tabulation!$B312,Constants!$A:$C,3,FALSE)</f>
        <v>Medium Volume</v>
      </c>
    </row>
    <row r="313" spans="1:5">
      <c r="A313" t="s">
        <v>555</v>
      </c>
      <c r="B313" t="s">
        <v>84</v>
      </c>
      <c r="C313" s="8">
        <v>0</v>
      </c>
      <c r="D313" t="str">
        <f>VLOOKUP(Tabulation!$B313,Constants!$A:$C,2,FALSE)</f>
        <v>Bill Print Group</v>
      </c>
      <c r="E313" t="str">
        <f>VLOOKUP(Tabulation!$B313,Constants!$A:$C,3,FALSE)</f>
        <v>Medium Volume</v>
      </c>
    </row>
    <row r="314" spans="1:5">
      <c r="A314" t="s">
        <v>555</v>
      </c>
      <c r="B314" t="s">
        <v>86</v>
      </c>
      <c r="C314" s="8">
        <v>12115681</v>
      </c>
      <c r="D314" t="str">
        <f>VLOOKUP(Tabulation!$B314,Constants!$A:$C,2,FALSE)</f>
        <v>Bill Segment</v>
      </c>
      <c r="E314" t="str">
        <f>VLOOKUP(Tabulation!$B314,Constants!$A:$C,3,FALSE)</f>
        <v>Medium Volume</v>
      </c>
    </row>
    <row r="315" spans="1:5">
      <c r="A315" t="s">
        <v>555</v>
      </c>
      <c r="B315" t="s">
        <v>88</v>
      </c>
      <c r="C315" s="8">
        <v>1415</v>
      </c>
      <c r="D315" t="str">
        <f>VLOOKUP(Tabulation!$B315,Constants!$A:$C,2,FALSE)</f>
        <v>Budget Review</v>
      </c>
      <c r="E315" t="str">
        <f>VLOOKUP(Tabulation!$B315,Constants!$A:$C,3,FALSE)</f>
        <v>Medium Volume</v>
      </c>
    </row>
    <row r="316" spans="1:5">
      <c r="A316" t="s">
        <v>555</v>
      </c>
      <c r="B316" t="s">
        <v>90</v>
      </c>
      <c r="C316" s="8">
        <v>0</v>
      </c>
      <c r="D316" t="str">
        <f>VLOOKUP(Tabulation!$B316,Constants!$A:$C,2,FALSE)</f>
        <v>Case</v>
      </c>
      <c r="E316" t="str">
        <f>VLOOKUP(Tabulation!$B316,Constants!$A:$C,3,FALSE)</f>
        <v>Medium Volume</v>
      </c>
    </row>
    <row r="317" spans="1:5">
      <c r="A317" t="s">
        <v>555</v>
      </c>
      <c r="B317" t="s">
        <v>92</v>
      </c>
      <c r="C317" s="8">
        <v>407356</v>
      </c>
      <c r="D317" t="str">
        <f>VLOOKUP(Tabulation!$B317,Constants!$A:$C,2,FALSE)</f>
        <v>Customer Contact</v>
      </c>
      <c r="E317" t="str">
        <f>VLOOKUP(Tabulation!$B317,Constants!$A:$C,3,FALSE)</f>
        <v>Medium Volume</v>
      </c>
    </row>
    <row r="318" spans="1:5">
      <c r="A318" t="s">
        <v>555</v>
      </c>
      <c r="B318" t="s">
        <v>94</v>
      </c>
      <c r="C318" s="8">
        <v>7619</v>
      </c>
      <c r="D318" t="str">
        <f>VLOOKUP(Tabulation!$B318,Constants!$A:$C,2,FALSE)</f>
        <v>Collection Agency Referral</v>
      </c>
      <c r="E318" t="str">
        <f>VLOOKUP(Tabulation!$B318,Constants!$A:$C,3,FALSE)</f>
        <v>Medium Volume</v>
      </c>
    </row>
    <row r="319" spans="1:5">
      <c r="A319" t="s">
        <v>555</v>
      </c>
      <c r="B319" t="s">
        <v>96</v>
      </c>
      <c r="C319" s="8">
        <v>27904</v>
      </c>
      <c r="D319" t="str">
        <f>VLOOKUP(Tabulation!$B319,Constants!$A:$C,2,FALSE)</f>
        <v>Collection Process</v>
      </c>
      <c r="E319" t="str">
        <f>VLOOKUP(Tabulation!$B319,Constants!$A:$C,3,FALSE)</f>
        <v>Medium Volume</v>
      </c>
    </row>
    <row r="320" spans="1:5">
      <c r="A320" t="s">
        <v>555</v>
      </c>
      <c r="B320" t="s">
        <v>98</v>
      </c>
      <c r="C320" s="8">
        <v>0</v>
      </c>
      <c r="D320" t="str">
        <f>VLOOKUP(Tabulation!$B320,Constants!$A:$C,2,FALSE)</f>
        <v xml:space="preserve">Contract Option  </v>
      </c>
      <c r="E320" t="str">
        <f>VLOOKUP(Tabulation!$B320,Constants!$A:$C,3,FALSE)</f>
        <v>Medium Volume</v>
      </c>
    </row>
    <row r="321" spans="1:5">
      <c r="A321" t="s">
        <v>555</v>
      </c>
      <c r="B321" t="s">
        <v>100</v>
      </c>
      <c r="C321" s="8">
        <v>0</v>
      </c>
      <c r="D321" t="str">
        <f>VLOOKUP(Tabulation!$B321,Constants!$A:$C,2,FALSE)</f>
        <v>Contract Option Event</v>
      </c>
      <c r="E321" t="str">
        <f>VLOOKUP(Tabulation!$B321,Constants!$A:$C,3,FALSE)</f>
        <v>Medium Volume</v>
      </c>
    </row>
    <row r="322" spans="1:5">
      <c r="A322" t="s">
        <v>555</v>
      </c>
      <c r="B322" t="s">
        <v>102</v>
      </c>
      <c r="C322" s="8">
        <v>0</v>
      </c>
      <c r="D322" t="str">
        <f>VLOOKUP(Tabulation!$B322,Constants!$A:$C,2,FALSE)</f>
        <v>Cut Process</v>
      </c>
      <c r="E322" t="str">
        <f>VLOOKUP(Tabulation!$B322,Constants!$A:$C,3,FALSE)</f>
        <v>Medium Volume</v>
      </c>
    </row>
    <row r="323" spans="1:5">
      <c r="A323" t="s">
        <v>555</v>
      </c>
      <c r="B323" t="s">
        <v>104</v>
      </c>
      <c r="C323" s="8">
        <v>0</v>
      </c>
      <c r="D323" t="str">
        <f>VLOOKUP(Tabulation!$B323,Constants!$A:$C,2,FALSE)</f>
        <v>Declaration</v>
      </c>
      <c r="E323" t="str">
        <f>VLOOKUP(Tabulation!$B323,Constants!$A:$C,3,FALSE)</f>
        <v>Medium Volume</v>
      </c>
    </row>
    <row r="324" spans="1:5">
      <c r="A324" t="s">
        <v>555</v>
      </c>
      <c r="B324" t="s">
        <v>106</v>
      </c>
      <c r="C324" s="8">
        <v>1969</v>
      </c>
      <c r="D324" t="str">
        <f>VLOOKUP(Tabulation!$B324,Constants!$A:$C,2,FALSE)</f>
        <v>Deposit Control</v>
      </c>
      <c r="E324" t="str">
        <f>VLOOKUP(Tabulation!$B324,Constants!$A:$C,3,FALSE)</f>
        <v>Medium Volume</v>
      </c>
    </row>
    <row r="325" spans="1:5">
      <c r="A325" t="s">
        <v>555</v>
      </c>
      <c r="B325" t="s">
        <v>108</v>
      </c>
      <c r="C325" s="8">
        <v>38</v>
      </c>
      <c r="D325" t="str">
        <f>VLOOKUP(Tabulation!$B325,Constants!$A:$C,2,FALSE)</f>
        <v>Deposit Control Staging</v>
      </c>
      <c r="E325" t="str">
        <f>VLOOKUP(Tabulation!$B325,Constants!$A:$C,3,FALSE)</f>
        <v>Medium Volume</v>
      </c>
    </row>
    <row r="326" spans="1:5">
      <c r="A326" t="s">
        <v>555</v>
      </c>
      <c r="B326" t="s">
        <v>110</v>
      </c>
      <c r="C326" s="8">
        <v>0</v>
      </c>
      <c r="D326" t="str">
        <f>VLOOKUP(Tabulation!$B326,Constants!$A:$C,2,FALSE)</f>
        <v>Deposit Review</v>
      </c>
      <c r="E326" t="str">
        <f>VLOOKUP(Tabulation!$B326,Constants!$A:$C,3,FALSE)</f>
        <v>Medium Volume</v>
      </c>
    </row>
    <row r="327" spans="1:5">
      <c r="A327" t="s">
        <v>555</v>
      </c>
      <c r="B327" t="s">
        <v>112</v>
      </c>
      <c r="C327" s="8">
        <v>0</v>
      </c>
      <c r="D327" t="str">
        <f>VLOOKUP(Tabulation!$B327,Constants!$A:$C,2,FALSE)</f>
        <v>Device Test</v>
      </c>
      <c r="E327" t="str">
        <f>VLOOKUP(Tabulation!$B327,Constants!$A:$C,3,FALSE)</f>
        <v>Medium Volume</v>
      </c>
    </row>
    <row r="328" spans="1:5">
      <c r="A328" t="s">
        <v>555</v>
      </c>
      <c r="B328" t="s">
        <v>114</v>
      </c>
      <c r="C328" s="8">
        <v>0</v>
      </c>
      <c r="D328" t="str">
        <f>VLOOKUP(Tabulation!$B328,Constants!$A:$C,2,FALSE)</f>
        <v>Device Test Selection</v>
      </c>
      <c r="E328" t="str">
        <f>VLOOKUP(Tabulation!$B328,Constants!$A:$C,3,FALSE)</f>
        <v>Medium Volume</v>
      </c>
    </row>
    <row r="329" spans="1:5">
      <c r="A329" t="s">
        <v>555</v>
      </c>
      <c r="B329" t="s">
        <v>116</v>
      </c>
      <c r="C329" s="8">
        <v>10372</v>
      </c>
      <c r="D329" t="str">
        <f>VLOOKUP(Tabulation!$B329,Constants!$A:$C,2,FALSE)</f>
        <v>Order</v>
      </c>
      <c r="E329" t="str">
        <f>VLOOKUP(Tabulation!$B329,Constants!$A:$C,3,FALSE)</f>
        <v>Medium Volume</v>
      </c>
    </row>
    <row r="330" spans="1:5">
      <c r="A330" t="s">
        <v>555</v>
      </c>
      <c r="B330" t="s">
        <v>118</v>
      </c>
      <c r="C330" s="8">
        <v>73934</v>
      </c>
      <c r="D330" t="str">
        <f>VLOOKUP(Tabulation!$B330,Constants!$A:$C,2,FALSE)</f>
        <v>Field Activity</v>
      </c>
      <c r="E330" t="str">
        <f>VLOOKUP(Tabulation!$B330,Constants!$A:$C,3,FALSE)</f>
        <v>Medium Volume</v>
      </c>
    </row>
    <row r="331" spans="1:5">
      <c r="A331" t="s">
        <v>555</v>
      </c>
      <c r="B331" t="s">
        <v>120</v>
      </c>
      <c r="C331" s="8">
        <v>0</v>
      </c>
      <c r="D331" t="str">
        <f>VLOOKUP(Tabulation!$B331,Constants!$A:$C,2,FALSE)</f>
        <v>FA Upload Staging</v>
      </c>
      <c r="E331" t="str">
        <f>VLOOKUP(Tabulation!$B331,Constants!$A:$C,3,FALSE)</f>
        <v>Medium Volume</v>
      </c>
    </row>
    <row r="332" spans="1:5">
      <c r="A332" t="s">
        <v>555</v>
      </c>
      <c r="B332" t="s">
        <v>122</v>
      </c>
      <c r="C332" s="8">
        <v>0</v>
      </c>
      <c r="D332" t="str">
        <f>VLOOKUP(Tabulation!$B332,Constants!$A:$C,2,FALSE)</f>
        <v>Field Order</v>
      </c>
      <c r="E332" t="str">
        <f>VLOOKUP(Tabulation!$B332,Constants!$A:$C,3,FALSE)</f>
        <v>Medium Volume</v>
      </c>
    </row>
    <row r="333" spans="1:5">
      <c r="A333" t="s">
        <v>555</v>
      </c>
      <c r="B333" t="s">
        <v>124</v>
      </c>
      <c r="C333" s="8">
        <v>0</v>
      </c>
      <c r="D333" t="str">
        <f>VLOOKUP(Tabulation!$B333,Constants!$A:$C,2,FALSE)</f>
        <v>Field Order Download Staging</v>
      </c>
      <c r="E333" t="str">
        <f>VLOOKUP(Tabulation!$B333,Constants!$A:$C,3,FALSE)</f>
        <v>Medium Volume</v>
      </c>
    </row>
    <row r="334" spans="1:5">
      <c r="A334" t="s">
        <v>555</v>
      </c>
      <c r="B334" t="s">
        <v>126</v>
      </c>
      <c r="C334" s="8">
        <v>25792770</v>
      </c>
      <c r="D334" t="str">
        <f>VLOOKUP(Tabulation!$B334,Constants!$A:$C,2,FALSE)</f>
        <v>Financial Transaction</v>
      </c>
      <c r="E334" t="str">
        <f>VLOOKUP(Tabulation!$B334,Constants!$A:$C,3,FALSE)</f>
        <v>Medium Volume</v>
      </c>
    </row>
    <row r="335" spans="1:5">
      <c r="A335" t="s">
        <v>555</v>
      </c>
      <c r="B335" t="s">
        <v>128</v>
      </c>
      <c r="C335" s="8">
        <v>0</v>
      </c>
      <c r="D335" t="str">
        <f>VLOOKUP(Tabulation!$B335,Constants!$A:$C,2,FALSE)</f>
        <v>Interval Data Set</v>
      </c>
      <c r="E335" t="str">
        <f>VLOOKUP(Tabulation!$B335,Constants!$A:$C,3,FALSE)</f>
        <v>Medium Volume</v>
      </c>
    </row>
    <row r="336" spans="1:5">
      <c r="A336" t="s">
        <v>555</v>
      </c>
      <c r="B336" t="s">
        <v>130</v>
      </c>
      <c r="C336" s="8">
        <v>0</v>
      </c>
      <c r="D336" t="str">
        <f>VLOOKUP(Tabulation!$B336,Constants!$A:$C,2,FALSE)</f>
        <v>Interval Data Profile</v>
      </c>
      <c r="E336" t="str">
        <f>VLOOKUP(Tabulation!$B336,Constants!$A:$C,3,FALSE)</f>
        <v>Medium Volume</v>
      </c>
    </row>
    <row r="337" spans="1:5">
      <c r="A337" t="s">
        <v>555</v>
      </c>
      <c r="B337" t="s">
        <v>132</v>
      </c>
      <c r="C337" s="8">
        <v>0</v>
      </c>
      <c r="D337" t="str">
        <f>VLOOKUP(Tabulation!$B337,Constants!$A:$C,2,FALSE)</f>
        <v>Interval Value Set</v>
      </c>
      <c r="E337" t="str">
        <f>VLOOKUP(Tabulation!$B337,Constants!$A:$C,3,FALSE)</f>
        <v>Medium Volume</v>
      </c>
    </row>
    <row r="338" spans="1:5">
      <c r="A338" t="s">
        <v>555</v>
      </c>
      <c r="B338" t="s">
        <v>134</v>
      </c>
      <c r="C338" s="8">
        <v>0</v>
      </c>
      <c r="D338" t="str">
        <f>VLOOKUP(Tabulation!$B338,Constants!$A:$C,2,FALSE)</f>
        <v>Item</v>
      </c>
      <c r="E338" t="str">
        <f>VLOOKUP(Tabulation!$B338,Constants!$A:$C,3,FALSE)</f>
        <v>Medium Volume</v>
      </c>
    </row>
    <row r="339" spans="1:5">
      <c r="A339" t="s">
        <v>555</v>
      </c>
      <c r="B339" t="s">
        <v>136</v>
      </c>
      <c r="C339" s="8">
        <v>0</v>
      </c>
      <c r="D339" t="str">
        <f>VLOOKUP(Tabulation!$B339,Constants!$A:$C,2,FALSE)</f>
        <v>Item Type SQ Estimate</v>
      </c>
      <c r="E339" t="str">
        <f>VLOOKUP(Tabulation!$B339,Constants!$A:$C,3,FALSE)</f>
        <v>Medium Volume</v>
      </c>
    </row>
    <row r="340" spans="1:5">
      <c r="A340" t="s">
        <v>555</v>
      </c>
      <c r="B340" t="s">
        <v>138</v>
      </c>
      <c r="C340" s="8">
        <v>15020</v>
      </c>
      <c r="D340" t="str">
        <f>VLOOKUP(Tabulation!$B340,Constants!$A:$C,2,FALSE)</f>
        <v>Landlord Agreement</v>
      </c>
      <c r="E340" t="str">
        <f>VLOOKUP(Tabulation!$B340,Constants!$A:$C,3,FALSE)</f>
        <v>Medium Volume</v>
      </c>
    </row>
    <row r="341" spans="1:5">
      <c r="A341" t="s">
        <v>555</v>
      </c>
      <c r="B341" t="s">
        <v>140</v>
      </c>
      <c r="C341" s="8">
        <v>0</v>
      </c>
      <c r="D341" t="str">
        <f>VLOOKUP(Tabulation!$B341,Constants!$A:$C,2,FALSE)</f>
        <v>Match Event</v>
      </c>
      <c r="E341" t="str">
        <f>VLOOKUP(Tabulation!$B341,Constants!$A:$C,3,FALSE)</f>
        <v>Medium Volume</v>
      </c>
    </row>
    <row r="342" spans="1:5">
      <c r="A342" t="s">
        <v>555</v>
      </c>
      <c r="B342" t="s">
        <v>142</v>
      </c>
      <c r="C342" s="8">
        <v>0</v>
      </c>
      <c r="D342" t="str">
        <f>VLOOKUP(Tabulation!$B342,Constants!$A:$C,2,FALSE)</f>
        <v>Meter Read</v>
      </c>
      <c r="E342" t="str">
        <f>VLOOKUP(Tabulation!$B342,Constants!$A:$C,3,FALSE)</f>
        <v>Medium Volume</v>
      </c>
    </row>
    <row r="343" spans="1:5">
      <c r="A343" t="s">
        <v>555</v>
      </c>
      <c r="B343" t="s">
        <v>144</v>
      </c>
      <c r="C343" s="8">
        <v>0</v>
      </c>
      <c r="D343" t="str">
        <f>VLOOKUP(Tabulation!$B343,Constants!$A:$C,2,FALSE)</f>
        <v>Meter Read Download Staging</v>
      </c>
      <c r="E343" t="str">
        <f>VLOOKUP(Tabulation!$B343,Constants!$A:$C,3,FALSE)</f>
        <v>Medium Volume</v>
      </c>
    </row>
    <row r="344" spans="1:5">
      <c r="A344" t="s">
        <v>555</v>
      </c>
      <c r="B344" t="s">
        <v>146</v>
      </c>
      <c r="C344" s="8">
        <v>0</v>
      </c>
      <c r="D344" t="str">
        <f>VLOOKUP(Tabulation!$B344,Constants!$A:$C,2,FALSE)</f>
        <v>Meter Read Upload Staging</v>
      </c>
      <c r="E344" t="str">
        <f>VLOOKUP(Tabulation!$B344,Constants!$A:$C,3,FALSE)</f>
        <v>Medium Volume</v>
      </c>
    </row>
    <row r="345" spans="1:5">
      <c r="A345" t="s">
        <v>555</v>
      </c>
      <c r="B345" t="s">
        <v>148</v>
      </c>
      <c r="C345" s="8">
        <v>1035955</v>
      </c>
      <c r="D345" t="str">
        <f>VLOOKUP(Tabulation!$B345,Constants!$A:$C,2,FALSE)</f>
        <v>Message Log</v>
      </c>
      <c r="E345" t="str">
        <f>VLOOKUP(Tabulation!$B345,Constants!$A:$C,3,FALSE)</f>
        <v>Medium Volume</v>
      </c>
    </row>
    <row r="346" spans="1:5">
      <c r="A346" t="s">
        <v>555</v>
      </c>
      <c r="B346" t="s">
        <v>150</v>
      </c>
      <c r="C346" s="8">
        <v>0</v>
      </c>
      <c r="D346" t="str">
        <f>VLOOKUP(Tabulation!$B346,Constants!$A:$C,2,FALSE)</f>
        <v>Meter</v>
      </c>
      <c r="E346" t="str">
        <f>VLOOKUP(Tabulation!$B346,Constants!$A:$C,3,FALSE)</f>
        <v>Medium Volume</v>
      </c>
    </row>
    <row r="347" spans="1:5">
      <c r="A347" t="s">
        <v>555</v>
      </c>
      <c r="B347" t="s">
        <v>152</v>
      </c>
      <c r="C347" s="8">
        <v>0</v>
      </c>
      <c r="D347" t="str">
        <f>VLOOKUP(Tabulation!$B347,Constants!$A:$C,2,FALSE)</f>
        <v>Meter Configuration</v>
      </c>
      <c r="E347" t="str">
        <f>VLOOKUP(Tabulation!$B347,Constants!$A:$C,3,FALSE)</f>
        <v>Medium Volume</v>
      </c>
    </row>
    <row r="348" spans="1:5">
      <c r="A348" t="s">
        <v>555</v>
      </c>
      <c r="B348" t="s">
        <v>154</v>
      </c>
      <c r="C348" s="8">
        <v>0</v>
      </c>
      <c r="D348" t="str">
        <f>VLOOKUP(Tabulation!$B348,Constants!$A:$C,2,FALSE)</f>
        <v>Notification Download Staging</v>
      </c>
      <c r="E348" t="str">
        <f>VLOOKUP(Tabulation!$B348,Constants!$A:$C,3,FALSE)</f>
        <v>Medium Volume</v>
      </c>
    </row>
    <row r="349" spans="1:5">
      <c r="A349" t="s">
        <v>555</v>
      </c>
      <c r="B349" t="s">
        <v>156</v>
      </c>
      <c r="C349" s="8">
        <v>0</v>
      </c>
      <c r="D349" t="str">
        <f>VLOOKUP(Tabulation!$B349,Constants!$A:$C,2,FALSE)</f>
        <v>Notification Upload Staging</v>
      </c>
      <c r="E349" t="str">
        <f>VLOOKUP(Tabulation!$B349,Constants!$A:$C,3,FALSE)</f>
        <v>Medium Volume</v>
      </c>
    </row>
    <row r="350" spans="1:5">
      <c r="A350" t="s">
        <v>555</v>
      </c>
      <c r="B350" t="s">
        <v>158</v>
      </c>
      <c r="C350" s="8">
        <v>0</v>
      </c>
      <c r="D350" t="str">
        <f>VLOOKUP(Tabulation!$B350,Constants!$A:$C,2,FALSE)</f>
        <v>NT Upload Staging Extension Sample</v>
      </c>
      <c r="E350" t="str">
        <f>VLOOKUP(Tabulation!$B350,Constants!$A:$C,3,FALSE)</f>
        <v>Medium Volume</v>
      </c>
    </row>
    <row r="351" spans="1:5">
      <c r="A351" t="s">
        <v>555</v>
      </c>
      <c r="B351" t="s">
        <v>160</v>
      </c>
      <c r="C351" s="8">
        <v>0</v>
      </c>
      <c r="D351" t="str">
        <f>VLOOKUP(Tabulation!$B351,Constants!$A:$C,2,FALSE)</f>
        <v>Overdue Process</v>
      </c>
      <c r="E351" t="str">
        <f>VLOOKUP(Tabulation!$B351,Constants!$A:$C,3,FALSE)</f>
        <v>Medium Volume</v>
      </c>
    </row>
    <row r="352" spans="1:5">
      <c r="A352" t="s">
        <v>555</v>
      </c>
      <c r="B352" t="s">
        <v>162</v>
      </c>
      <c r="C352" s="8">
        <v>2449489</v>
      </c>
      <c r="D352" t="str">
        <f>VLOOKUP(Tabulation!$B352,Constants!$A:$C,2,FALSE)</f>
        <v>Payment Header</v>
      </c>
      <c r="E352" t="str">
        <f>VLOOKUP(Tabulation!$B352,Constants!$A:$C,3,FALSE)</f>
        <v>Medium Volume</v>
      </c>
    </row>
    <row r="353" spans="1:5">
      <c r="A353" t="s">
        <v>555</v>
      </c>
      <c r="B353" t="s">
        <v>164</v>
      </c>
      <c r="C353" s="8">
        <v>2448621</v>
      </c>
      <c r="D353" t="str">
        <f>VLOOKUP(Tabulation!$B353,Constants!$A:$C,2,FALSE)</f>
        <v>Payment Event</v>
      </c>
      <c r="E353" t="str">
        <f>VLOOKUP(Tabulation!$B353,Constants!$A:$C,3,FALSE)</f>
        <v>Medium Volume</v>
      </c>
    </row>
    <row r="354" spans="1:5">
      <c r="A354" t="s">
        <v>555</v>
      </c>
      <c r="B354" t="s">
        <v>166</v>
      </c>
      <c r="C354" s="8">
        <v>5098</v>
      </c>
      <c r="D354" t="str">
        <f>VLOOKUP(Tabulation!$B354,Constants!$A:$C,2,FALSE)</f>
        <v>Payment Tender Staging</v>
      </c>
      <c r="E354" t="str">
        <f>VLOOKUP(Tabulation!$B354,Constants!$A:$C,3,FALSE)</f>
        <v>Medium Volume</v>
      </c>
    </row>
    <row r="355" spans="1:5">
      <c r="A355" t="s">
        <v>555</v>
      </c>
      <c r="B355" t="s">
        <v>168</v>
      </c>
      <c r="C355" s="8">
        <v>107202</v>
      </c>
      <c r="D355" t="str">
        <f>VLOOKUP(Tabulation!$B355,Constants!$A:$C,2,FALSE)</f>
        <v>Person</v>
      </c>
      <c r="E355" t="str">
        <f>VLOOKUP(Tabulation!$B355,Constants!$A:$C,3,FALSE)</f>
        <v>Medium Volume</v>
      </c>
    </row>
    <row r="356" spans="1:5">
      <c r="A356" t="s">
        <v>555</v>
      </c>
      <c r="B356" t="s">
        <v>170</v>
      </c>
      <c r="C356" s="8">
        <v>0</v>
      </c>
      <c r="D356" t="str">
        <f>VLOOKUP(Tabulation!$B356,Constants!$A:$C,2,FALSE)</f>
        <v>Payment Event Upload Staging</v>
      </c>
      <c r="E356" t="str">
        <f>VLOOKUP(Tabulation!$B356,Constants!$A:$C,3,FALSE)</f>
        <v>Medium Volume</v>
      </c>
    </row>
    <row r="357" spans="1:5">
      <c r="A357" t="s">
        <v>555</v>
      </c>
      <c r="B357" t="s">
        <v>172</v>
      </c>
      <c r="C357" s="8">
        <v>2648</v>
      </c>
      <c r="D357" t="str">
        <f>VLOOKUP(Tabulation!$B357,Constants!$A:$C,2,FALSE)</f>
        <v>Pay Plan</v>
      </c>
      <c r="E357" t="str">
        <f>VLOOKUP(Tabulation!$B357,Constants!$A:$C,3,FALSE)</f>
        <v>Medium Volume</v>
      </c>
    </row>
    <row r="358" spans="1:5">
      <c r="A358" t="s">
        <v>555</v>
      </c>
      <c r="B358" t="s">
        <v>174</v>
      </c>
      <c r="C358" s="8">
        <v>69240</v>
      </c>
      <c r="D358" t="str">
        <f>VLOOKUP(Tabulation!$B358,Constants!$A:$C,2,FALSE)</f>
        <v>Premise</v>
      </c>
      <c r="E358" t="str">
        <f>VLOOKUP(Tabulation!$B358,Constants!$A:$C,3,FALSE)</f>
        <v>Medium Volume</v>
      </c>
    </row>
    <row r="359" spans="1:5">
      <c r="A359" t="s">
        <v>555</v>
      </c>
      <c r="B359" t="s">
        <v>176</v>
      </c>
      <c r="C359" s="8">
        <v>0</v>
      </c>
      <c r="D359" t="str">
        <f>VLOOKUP(Tabulation!$B359,Constants!$A:$C,2,FALSE)</f>
        <v>Quote</v>
      </c>
      <c r="E359" t="str">
        <f>VLOOKUP(Tabulation!$B359,Constants!$A:$C,3,FALSE)</f>
        <v>Medium Volume</v>
      </c>
    </row>
    <row r="360" spans="1:5">
      <c r="A360" t="s">
        <v>555</v>
      </c>
      <c r="B360" t="s">
        <v>178</v>
      </c>
      <c r="C360" s="8">
        <v>0</v>
      </c>
      <c r="D360" t="str">
        <f>VLOOKUP(Tabulation!$B360,Constants!$A:$C,2,FALSE)</f>
        <v>Rebate Claim</v>
      </c>
      <c r="E360" t="str">
        <f>VLOOKUP(Tabulation!$B360,Constants!$A:$C,3,FALSE)</f>
        <v>Medium Volume</v>
      </c>
    </row>
    <row r="361" spans="1:5">
      <c r="A361" t="s">
        <v>555</v>
      </c>
      <c r="B361" t="s">
        <v>180</v>
      </c>
      <c r="C361" s="8">
        <v>0</v>
      </c>
      <c r="D361" t="str">
        <f>VLOOKUP(Tabulation!$B361,Constants!$A:$C,2,FALSE)</f>
        <v>Rebate Claim Line</v>
      </c>
      <c r="E361" t="str">
        <f>VLOOKUP(Tabulation!$B361,Constants!$A:$C,3,FALSE)</f>
        <v>Medium Volume</v>
      </c>
    </row>
    <row r="362" spans="1:5">
      <c r="A362" t="s">
        <v>555</v>
      </c>
      <c r="B362" t="s">
        <v>182</v>
      </c>
      <c r="C362" s="8">
        <v>0</v>
      </c>
      <c r="D362" t="str">
        <f>VLOOKUP(Tabulation!$B362,Constants!$A:$C,2,FALSE)</f>
        <v>Interval Register Data Set</v>
      </c>
      <c r="E362" t="str">
        <f>VLOOKUP(Tabulation!$B362,Constants!$A:$C,3,FALSE)</f>
        <v>Medium Volume</v>
      </c>
    </row>
    <row r="363" spans="1:5">
      <c r="A363" t="s">
        <v>555</v>
      </c>
      <c r="B363" t="s">
        <v>184</v>
      </c>
      <c r="C363" s="8">
        <v>943834</v>
      </c>
      <c r="D363" t="str">
        <f>VLOOKUP(Tabulation!$B363,Constants!$A:$C,2,FALSE)</f>
        <v>SA (Service Agreement)</v>
      </c>
      <c r="E363" t="str">
        <f>VLOOKUP(Tabulation!$B363,Constants!$A:$C,3,FALSE)</f>
        <v>Medium Volume</v>
      </c>
    </row>
    <row r="364" spans="1:5">
      <c r="A364" t="s">
        <v>555</v>
      </c>
      <c r="B364" t="s">
        <v>186</v>
      </c>
      <c r="C364" s="8">
        <v>0</v>
      </c>
      <c r="D364" t="str">
        <f>VLOOKUP(Tabulation!$B364,Constants!$A:$C,2,FALSE)</f>
        <v>SA Relationship</v>
      </c>
      <c r="E364" t="str">
        <f>VLOOKUP(Tabulation!$B364,Constants!$A:$C,3,FALSE)</f>
        <v>Medium Volume</v>
      </c>
    </row>
    <row r="365" spans="1:5">
      <c r="A365" t="s">
        <v>555</v>
      </c>
      <c r="B365" t="s">
        <v>188</v>
      </c>
      <c r="C365" s="8">
        <v>0</v>
      </c>
      <c r="D365" t="str">
        <f>VLOOKUP(Tabulation!$B365,Constants!$A:$C,2,FALSE)</f>
        <v>Service Credit Membership</v>
      </c>
      <c r="E365" t="str">
        <f>VLOOKUP(Tabulation!$B365,Constants!$A:$C,3,FALSE)</f>
        <v>Medium Volume</v>
      </c>
    </row>
    <row r="366" spans="1:5">
      <c r="A366" t="s">
        <v>555</v>
      </c>
      <c r="B366" t="s">
        <v>190</v>
      </c>
      <c r="C366" s="8">
        <v>0</v>
      </c>
      <c r="D366" t="str">
        <f>VLOOKUP(Tabulation!$B366,Constants!$A:$C,2,FALSE)</f>
        <v>Service Credit Event</v>
      </c>
      <c r="E366" t="str">
        <f>VLOOKUP(Tabulation!$B366,Constants!$A:$C,3,FALSE)</f>
        <v>Medium Volume</v>
      </c>
    </row>
    <row r="367" spans="1:5">
      <c r="A367" t="s">
        <v>555</v>
      </c>
      <c r="B367" t="s">
        <v>192</v>
      </c>
      <c r="C367" s="8">
        <v>47105</v>
      </c>
      <c r="D367" t="str">
        <f>VLOOKUP(Tabulation!$B367,Constants!$A:$C,2,FALSE)</f>
        <v>Severance Process</v>
      </c>
      <c r="E367" t="str">
        <f>VLOOKUP(Tabulation!$B367,Constants!$A:$C,3,FALSE)</f>
        <v>Medium Volume</v>
      </c>
    </row>
    <row r="368" spans="1:5">
      <c r="A368" t="s">
        <v>555</v>
      </c>
      <c r="B368" t="s">
        <v>194</v>
      </c>
      <c r="C368" s="8">
        <v>226778</v>
      </c>
      <c r="D368" t="str">
        <f>VLOOKUP(Tabulation!$B368,Constants!$A:$C,2,FALSE)</f>
        <v>Service Point - CCB</v>
      </c>
      <c r="E368" t="str">
        <f>VLOOKUP(Tabulation!$B368,Constants!$A:$C,3,FALSE)</f>
        <v>Medium Volume</v>
      </c>
    </row>
    <row r="369" spans="1:5">
      <c r="A369" t="s">
        <v>555</v>
      </c>
      <c r="B369" t="s">
        <v>196</v>
      </c>
      <c r="C369" s="8">
        <v>0</v>
      </c>
      <c r="D369" t="str">
        <f>VLOOKUP(Tabulation!$B369,Constants!$A:$C,2,FALSE)</f>
        <v>Service Provider - CCB</v>
      </c>
      <c r="E369" t="str">
        <f>VLOOKUP(Tabulation!$B369,Constants!$A:$C,3,FALSE)</f>
        <v>Low Volume</v>
      </c>
    </row>
    <row r="370" spans="1:5">
      <c r="A370" t="s">
        <v>555</v>
      </c>
      <c r="B370" t="s">
        <v>199</v>
      </c>
      <c r="C370" s="8">
        <v>0</v>
      </c>
      <c r="D370" t="str">
        <f>VLOOKUP(Tabulation!$B370,Constants!$A:$C,2,FALSE)</f>
        <v>SP Item History</v>
      </c>
      <c r="E370" t="str">
        <f>VLOOKUP(Tabulation!$B370,Constants!$A:$C,3,FALSE)</f>
        <v>Medium Volume</v>
      </c>
    </row>
    <row r="371" spans="1:5">
      <c r="A371" t="s">
        <v>555</v>
      </c>
      <c r="B371" t="s">
        <v>201</v>
      </c>
      <c r="C371" s="8">
        <v>0</v>
      </c>
      <c r="D371" t="str">
        <f>VLOOKUP(Tabulation!$B371,Constants!$A:$C,2,FALSE)</f>
        <v>SP/Meter History</v>
      </c>
      <c r="E371" t="str">
        <f>VLOOKUP(Tabulation!$B371,Constants!$A:$C,3,FALSE)</f>
        <v>Medium Volume</v>
      </c>
    </row>
    <row r="372" spans="1:5">
      <c r="A372" t="s">
        <v>555</v>
      </c>
      <c r="B372" t="s">
        <v>203</v>
      </c>
      <c r="C372" s="8">
        <v>0</v>
      </c>
      <c r="D372" t="str">
        <f>VLOOKUP(Tabulation!$B372,Constants!$A:$C,2,FALSE)</f>
        <v>Stock Location</v>
      </c>
      <c r="E372" t="str">
        <f>VLOOKUP(Tabulation!$B372,Constants!$A:$C,3,FALSE)</f>
        <v>Medium Volume</v>
      </c>
    </row>
    <row r="373" spans="1:5">
      <c r="A373" t="s">
        <v>555</v>
      </c>
      <c r="B373" t="s">
        <v>205</v>
      </c>
      <c r="C373" s="8">
        <v>0</v>
      </c>
      <c r="D373" t="str">
        <f>VLOOKUP(Tabulation!$B373,Constants!$A:$C,2,FALSE)</f>
        <v>Statement</v>
      </c>
      <c r="E373" t="str">
        <f>VLOOKUP(Tabulation!$B373,Constants!$A:$C,3,FALSE)</f>
        <v>Medium Volume</v>
      </c>
    </row>
    <row r="374" spans="1:5">
      <c r="A374" t="s">
        <v>555</v>
      </c>
      <c r="B374" t="s">
        <v>207</v>
      </c>
      <c r="C374" s="8">
        <v>0</v>
      </c>
      <c r="D374" t="str">
        <f>VLOOKUP(Tabulation!$B374,Constants!$A:$C,2,FALSE)</f>
        <v>Statement Construct</v>
      </c>
      <c r="E374" t="str">
        <f>VLOOKUP(Tabulation!$B374,Constants!$A:$C,3,FALSE)</f>
        <v>Medium Volume</v>
      </c>
    </row>
    <row r="375" spans="1:5">
      <c r="A375" t="s">
        <v>555</v>
      </c>
      <c r="B375" t="s">
        <v>209</v>
      </c>
      <c r="C375" s="8">
        <v>0</v>
      </c>
      <c r="D375" t="str">
        <f>VLOOKUP(Tabulation!$B375,Constants!$A:$C,2,FALSE)</f>
        <v>Service Route Download Staging</v>
      </c>
      <c r="E375" t="str">
        <f>VLOOKUP(Tabulation!$B375,Constants!$A:$C,3,FALSE)</f>
        <v>Medium Volume</v>
      </c>
    </row>
    <row r="376" spans="1:5">
      <c r="A376" t="s">
        <v>555</v>
      </c>
      <c r="B376" t="s">
        <v>211</v>
      </c>
      <c r="C376" s="8">
        <v>183363</v>
      </c>
      <c r="D376" t="str">
        <f>VLOOKUP(Tabulation!$B376,Constants!$A:$C,2,FALSE)</f>
        <v>To Do Entry</v>
      </c>
      <c r="E376" t="str">
        <f>VLOOKUP(Tabulation!$B376,Constants!$A:$C,3,FALSE)</f>
        <v>Medium Volume</v>
      </c>
    </row>
    <row r="377" spans="1:5">
      <c r="A377" t="s">
        <v>555</v>
      </c>
      <c r="B377" t="s">
        <v>213</v>
      </c>
      <c r="C377" s="8">
        <v>2586</v>
      </c>
      <c r="D377" t="str">
        <f>VLOOKUP(Tabulation!$B377,Constants!$A:$C,2,FALSE)</f>
        <v>Tender Control</v>
      </c>
      <c r="E377" t="str">
        <f>VLOOKUP(Tabulation!$B377,Constants!$A:$C,3,FALSE)</f>
        <v>Medium Volume</v>
      </c>
    </row>
    <row r="378" spans="1:5">
      <c r="A378" t="s">
        <v>555</v>
      </c>
      <c r="B378" t="s">
        <v>215</v>
      </c>
      <c r="C378" s="8">
        <v>0</v>
      </c>
      <c r="D378" t="str">
        <f>VLOOKUP(Tabulation!$B378,Constants!$A:$C,2,FALSE)</f>
        <v>Terms of Service</v>
      </c>
      <c r="E378" t="str">
        <f>VLOOKUP(Tabulation!$B378,Constants!$A:$C,3,FALSE)</f>
        <v>Medium Volume</v>
      </c>
    </row>
    <row r="379" spans="1:5">
      <c r="A379" t="s">
        <v>555</v>
      </c>
      <c r="B379" t="s">
        <v>217</v>
      </c>
      <c r="C379" s="8">
        <v>0</v>
      </c>
      <c r="D379" t="str">
        <f>VLOOKUP(Tabulation!$B379,Constants!$A:$C,2,FALSE)</f>
        <v>TOU Data Set</v>
      </c>
      <c r="E379" t="str">
        <f>VLOOKUP(Tabulation!$B379,Constants!$A:$C,3,FALSE)</f>
        <v>Medium Volume</v>
      </c>
    </row>
    <row r="380" spans="1:5">
      <c r="A380" t="s">
        <v>555</v>
      </c>
      <c r="B380" t="s">
        <v>219</v>
      </c>
      <c r="C380" s="8">
        <v>0</v>
      </c>
      <c r="D380" t="str">
        <f>VLOOKUP(Tabulation!$B380,Constants!$A:$C,2,FALSE)</f>
        <v>Time Of Use Map Classic</v>
      </c>
      <c r="E380" t="str">
        <f>VLOOKUP(Tabulation!$B380,Constants!$A:$C,3,FALSE)</f>
        <v>Medium Volume</v>
      </c>
    </row>
    <row r="381" spans="1:5">
      <c r="A381" t="s">
        <v>555</v>
      </c>
      <c r="B381" t="s">
        <v>221</v>
      </c>
      <c r="C381" s="8">
        <v>0</v>
      </c>
      <c r="D381" t="str">
        <f>VLOOKUP(Tabulation!$B381,Constants!$A:$C,2,FALSE)</f>
        <v>Trend</v>
      </c>
      <c r="E381" t="str">
        <f>VLOOKUP(Tabulation!$B381,Constants!$A:$C,3,FALSE)</f>
        <v>Medium Volume</v>
      </c>
    </row>
    <row r="382" spans="1:5">
      <c r="A382" t="s">
        <v>555</v>
      </c>
      <c r="B382" t="s">
        <v>223</v>
      </c>
      <c r="C382" s="8">
        <v>0</v>
      </c>
      <c r="D382" t="str">
        <f>VLOOKUP(Tabulation!$B382,Constants!$A:$C,2,FALSE)</f>
        <v>Umbrella Agreement</v>
      </c>
      <c r="E382" t="str">
        <f>VLOOKUP(Tabulation!$B382,Constants!$A:$C,3,FALSE)</f>
        <v>Medium Volume</v>
      </c>
    </row>
    <row r="383" spans="1:5">
      <c r="A383" t="s">
        <v>555</v>
      </c>
      <c r="B383" t="s">
        <v>225</v>
      </c>
      <c r="C383" s="8">
        <v>0</v>
      </c>
      <c r="D383" t="str">
        <f>VLOOKUP(Tabulation!$B383,Constants!$A:$C,2,FALSE)</f>
        <v>Validation Error</v>
      </c>
      <c r="E383" t="str">
        <f>VLOOKUP(Tabulation!$B383,Constants!$A:$C,3,FALSE)</f>
        <v>Medium Volume</v>
      </c>
    </row>
    <row r="384" spans="1:5">
      <c r="A384" t="s">
        <v>555</v>
      </c>
      <c r="B384" t="s">
        <v>227</v>
      </c>
      <c r="C384" s="8">
        <v>0</v>
      </c>
      <c r="D384" t="str">
        <f>VLOOKUP(Tabulation!$B384,Constants!$A:$C,2,FALSE)</f>
        <v>Validation Error Foreign Keys</v>
      </c>
      <c r="E384" t="str">
        <f>VLOOKUP(Tabulation!$B384,Constants!$A:$C,3,FALSE)</f>
        <v>Medium Volume</v>
      </c>
    </row>
    <row r="385" spans="1:5">
      <c r="A385" t="s">
        <v>555</v>
      </c>
      <c r="B385" t="s">
        <v>229</v>
      </c>
      <c r="C385" s="8">
        <v>0</v>
      </c>
      <c r="D385" t="str">
        <f>VLOOKUP(Tabulation!$B385,Constants!$A:$C,2,FALSE)</f>
        <v>WF Process</v>
      </c>
      <c r="E385" t="str">
        <f>VLOOKUP(Tabulation!$B385,Constants!$A:$C,3,FALSE)</f>
        <v>Medium Volume</v>
      </c>
    </row>
    <row r="386" spans="1:5">
      <c r="A386" t="s">
        <v>555</v>
      </c>
      <c r="B386" t="s">
        <v>231</v>
      </c>
      <c r="C386" s="8">
        <v>8931</v>
      </c>
      <c r="D386" t="str">
        <f>VLOOKUP(Tabulation!$B386,Constants!$A:$C,2,FALSE)</f>
        <v>Write Off Process</v>
      </c>
      <c r="E386" t="str">
        <f>VLOOKUP(Tabulation!$B386,Constants!$A:$C,3,FALSE)</f>
        <v>Medium Volume</v>
      </c>
    </row>
    <row r="387" spans="1:5">
      <c r="A387" t="s">
        <v>555</v>
      </c>
      <c r="B387" t="s">
        <v>233</v>
      </c>
      <c r="C387" s="8">
        <v>0</v>
      </c>
      <c r="D387" t="str">
        <f>VLOOKUP(Tabulation!$B387,Constants!$A:$C,2,FALSE)</f>
        <v>XAI Download</v>
      </c>
      <c r="E387" t="str">
        <f>VLOOKUP(Tabulation!$B387,Constants!$A:$C,3,FALSE)</f>
        <v>Medium Volume</v>
      </c>
    </row>
    <row r="388" spans="1:5">
      <c r="A388" t="s">
        <v>555</v>
      </c>
      <c r="B388" t="s">
        <v>235</v>
      </c>
      <c r="C388" s="8">
        <v>0</v>
      </c>
      <c r="D388" t="str">
        <f>VLOOKUP(Tabulation!$B388,Constants!$A:$C,2,FALSE)</f>
        <v>XAI Upload Staging</v>
      </c>
      <c r="E388" t="str">
        <f>VLOOKUP(Tabulation!$B388,Constants!$A:$C,3,FALSE)</f>
        <v>Medium Volume</v>
      </c>
    </row>
    <row r="389" spans="1:5">
      <c r="A389" t="s">
        <v>555</v>
      </c>
      <c r="B389" t="s">
        <v>237</v>
      </c>
      <c r="C389" s="8">
        <v>0</v>
      </c>
      <c r="D389" t="str">
        <f>VLOOKUP(Tabulation!$B389,Constants!$A:$C,2,FALSE)</f>
        <v>XAI Staging Control</v>
      </c>
      <c r="E389" t="str">
        <f>VLOOKUP(Tabulation!$B389,Constants!$A:$C,3,FALSE)</f>
        <v>Medium Volume</v>
      </c>
    </row>
    <row r="390" spans="1:5">
      <c r="A390" t="s">
        <v>555</v>
      </c>
      <c r="B390" t="s">
        <v>239</v>
      </c>
      <c r="C390" s="8">
        <v>1223106</v>
      </c>
      <c r="D390" t="str">
        <f>VLOOKUP(Tabulation!$B390,Constants!$A:$C,2,FALSE)</f>
        <v>Activity</v>
      </c>
      <c r="E390" t="str">
        <f>VLOOKUP(Tabulation!$B390,Constants!$A:$C,3,FALSE)</f>
        <v>Medium Volume</v>
      </c>
    </row>
    <row r="391" spans="1:5">
      <c r="A391" t="s">
        <v>555</v>
      </c>
      <c r="B391" t="s">
        <v>241</v>
      </c>
      <c r="C391" s="8">
        <v>0</v>
      </c>
      <c r="D391" t="str">
        <f>VLOOKUP(Tabulation!$B391,Constants!$A:$C,2,FALSE)</f>
        <v>Attribute Data Snapshot</v>
      </c>
      <c r="E391" t="str">
        <f>VLOOKUP(Tabulation!$B391,Constants!$A:$C,3,FALSE)</f>
        <v>Medium Volume</v>
      </c>
    </row>
    <row r="392" spans="1:5">
      <c r="A392" t="s">
        <v>555</v>
      </c>
      <c r="B392" t="s">
        <v>243</v>
      </c>
      <c r="C392" s="8">
        <v>0</v>
      </c>
      <c r="D392" t="str">
        <f>VLOOKUP(Tabulation!$B392,Constants!$A:$C,2,FALSE)</f>
        <v>Aggregation Group Run</v>
      </c>
      <c r="E392" t="str">
        <f>VLOOKUP(Tabulation!$B392,Constants!$A:$C,3,FALSE)</f>
        <v>Medium Volume</v>
      </c>
    </row>
    <row r="393" spans="1:5">
      <c r="A393" t="s">
        <v>555</v>
      </c>
      <c r="B393" t="s">
        <v>245</v>
      </c>
      <c r="C393" s="8">
        <v>0</v>
      </c>
      <c r="D393" t="str">
        <f>VLOOKUP(Tabulation!$B393,Constants!$A:$C,2,FALSE)</f>
        <v>Aggregation Measurement</v>
      </c>
      <c r="E393" t="str">
        <f>VLOOKUP(Tabulation!$B393,Constants!$A:$C,3,FALSE)</f>
        <v>Medium Volume</v>
      </c>
    </row>
    <row r="394" spans="1:5">
      <c r="A394" t="s">
        <v>555</v>
      </c>
      <c r="B394" t="s">
        <v>247</v>
      </c>
      <c r="C394" s="8">
        <v>0</v>
      </c>
      <c r="D394" t="str">
        <f>VLOOKUP(Tabulation!$B394,Constants!$A:$C,2,FALSE)</f>
        <v>Attribute Values</v>
      </c>
      <c r="E394" t="str">
        <f>VLOOKUP(Tabulation!$B394,Constants!$A:$C,3,FALSE)</f>
        <v>Medium Volume</v>
      </c>
    </row>
    <row r="395" spans="1:5">
      <c r="A395" t="s">
        <v>555</v>
      </c>
      <c r="B395" t="s">
        <v>249</v>
      </c>
      <c r="C395" s="8">
        <v>98507</v>
      </c>
      <c r="D395" t="str">
        <f>VLOOKUP(Tabulation!$B395,Constants!$A:$C,2,FALSE)</f>
        <v>Communication In</v>
      </c>
      <c r="E395" t="str">
        <f>VLOOKUP(Tabulation!$B395,Constants!$A:$C,3,FALSE)</f>
        <v>Medium Volume</v>
      </c>
    </row>
    <row r="396" spans="1:5">
      <c r="A396" t="s">
        <v>555</v>
      </c>
      <c r="B396" t="s">
        <v>251</v>
      </c>
      <c r="C396" s="8">
        <v>102842</v>
      </c>
      <c r="D396" t="str">
        <f>VLOOKUP(Tabulation!$B396,Constants!$A:$C,2,FALSE)</f>
        <v>Communication Out</v>
      </c>
      <c r="E396" t="str">
        <f>VLOOKUP(Tabulation!$B396,Constants!$A:$C,3,FALSE)</f>
        <v>Medium Volume</v>
      </c>
    </row>
    <row r="397" spans="1:5">
      <c r="A397" t="s">
        <v>555</v>
      </c>
      <c r="B397" t="s">
        <v>253</v>
      </c>
      <c r="C397" s="8">
        <v>166450</v>
      </c>
      <c r="D397" t="str">
        <f>VLOOKUP(Tabulation!$B397,Constants!$A:$C,2,FALSE)</f>
        <v>Completion Event</v>
      </c>
      <c r="E397" t="str">
        <f>VLOOKUP(Tabulation!$B397,Constants!$A:$C,3,FALSE)</f>
        <v>Medium Volume</v>
      </c>
    </row>
    <row r="398" spans="1:5">
      <c r="A398" t="s">
        <v>555</v>
      </c>
      <c r="B398" t="s">
        <v>255</v>
      </c>
      <c r="C398" s="8">
        <v>107211</v>
      </c>
      <c r="D398" t="str">
        <f>VLOOKUP(Tabulation!$B398,Constants!$A:$C,2,FALSE)</f>
        <v>Contact</v>
      </c>
      <c r="E398" t="str">
        <f>VLOOKUP(Tabulation!$B398,Constants!$A:$C,3,FALSE)</f>
        <v>Low Volume</v>
      </c>
    </row>
    <row r="399" spans="1:5">
      <c r="A399" t="s">
        <v>555</v>
      </c>
      <c r="B399" t="s">
        <v>257</v>
      </c>
      <c r="C399" s="8">
        <v>153525</v>
      </c>
      <c r="D399" t="str">
        <f>VLOOKUP(Tabulation!$B399,Constants!$A:$C,2,FALSE)</f>
        <v>Device</v>
      </c>
      <c r="E399" t="str">
        <f>VLOOKUP(Tabulation!$B399,Constants!$A:$C,3,FALSE)</f>
        <v>Medium Volume</v>
      </c>
    </row>
    <row r="400" spans="1:5">
      <c r="A400" t="s">
        <v>555</v>
      </c>
      <c r="B400" t="s">
        <v>259</v>
      </c>
      <c r="C400" s="8">
        <v>121261</v>
      </c>
      <c r="D400" t="str">
        <f>VLOOKUP(Tabulation!$B400,Constants!$A:$C,2,FALSE)</f>
        <v>Device Configuration</v>
      </c>
      <c r="E400" t="str">
        <f>VLOOKUP(Tabulation!$B400,Constants!$A:$C,3,FALSE)</f>
        <v>Medium Volume</v>
      </c>
    </row>
    <row r="401" spans="1:5">
      <c r="A401" t="s">
        <v>555</v>
      </c>
      <c r="B401" t="s">
        <v>261</v>
      </c>
      <c r="C401" s="8">
        <v>3250</v>
      </c>
      <c r="D401" t="str">
        <f>VLOOKUP(Tabulation!$B401,Constants!$A:$C,2,FALSE)</f>
        <v>Device Event</v>
      </c>
      <c r="E401" t="str">
        <f>VLOOKUP(Tabulation!$B401,Constants!$A:$C,3,FALSE)</f>
        <v>Medium Volume</v>
      </c>
    </row>
    <row r="402" spans="1:5">
      <c r="A402" t="s">
        <v>555</v>
      </c>
      <c r="B402" t="s">
        <v>263</v>
      </c>
      <c r="C402" s="8">
        <v>0</v>
      </c>
      <c r="D402" t="str">
        <f>VLOOKUP(Tabulation!$B402,Constants!$A:$C,2,FALSE)</f>
        <v>Dynamic Option</v>
      </c>
      <c r="E402" t="str">
        <f>VLOOKUP(Tabulation!$B402,Constants!$A:$C,3,FALSE)</f>
        <v>Medium Volume</v>
      </c>
    </row>
    <row r="403" spans="1:5">
      <c r="A403" t="s">
        <v>555</v>
      </c>
      <c r="B403" t="s">
        <v>265</v>
      </c>
      <c r="C403" s="8">
        <v>0</v>
      </c>
      <c r="D403" t="str">
        <f>VLOOKUP(Tabulation!$B403,Constants!$A:$C,2,FALSE)</f>
        <v>Dynamic Option Event</v>
      </c>
      <c r="E403" t="str">
        <f>VLOOKUP(Tabulation!$B403,Constants!$A:$C,3,FALSE)</f>
        <v>Medium Volume</v>
      </c>
    </row>
    <row r="404" spans="1:5">
      <c r="A404" t="s">
        <v>555</v>
      </c>
      <c r="B404" t="s">
        <v>267</v>
      </c>
      <c r="C404" s="8">
        <v>0</v>
      </c>
      <c r="D404" t="str">
        <f>VLOOKUP(Tabulation!$B404,Constants!$A:$C,2,FALSE)</f>
        <v>Event Participation</v>
      </c>
      <c r="E404" t="str">
        <f>VLOOKUP(Tabulation!$B404,Constants!$A:$C,3,FALSE)</f>
        <v>Medium Volume</v>
      </c>
    </row>
    <row r="405" spans="1:5">
      <c r="A405" t="s">
        <v>555</v>
      </c>
      <c r="B405" t="s">
        <v>269</v>
      </c>
      <c r="C405" s="8">
        <v>0</v>
      </c>
      <c r="D405" t="str">
        <f>VLOOKUP(Tabulation!$B405,Constants!$A:$C,2,FALSE)</f>
        <v>Facility</v>
      </c>
      <c r="E405" t="str">
        <f>VLOOKUP(Tabulation!$B405,Constants!$A:$C,3,FALSE)</f>
        <v>Medium Volume</v>
      </c>
    </row>
    <row r="406" spans="1:5">
      <c r="A406" t="s">
        <v>555</v>
      </c>
      <c r="B406" t="s">
        <v>271</v>
      </c>
      <c r="C406" s="8">
        <v>1878667</v>
      </c>
      <c r="D406" t="str">
        <f>VLOOKUP(Tabulation!$B406,Constants!$A:$C,2,FALSE)</f>
        <v>Initial Measurement Data</v>
      </c>
      <c r="E406" t="str">
        <f>VLOOKUP(Tabulation!$B406,Constants!$A:$C,3,FALSE)</f>
        <v>Medium Volume</v>
      </c>
    </row>
    <row r="407" spans="1:5">
      <c r="A407" t="s">
        <v>555</v>
      </c>
      <c r="B407" t="s">
        <v>273</v>
      </c>
      <c r="C407" s="8">
        <v>0</v>
      </c>
      <c r="D407" t="str">
        <f>VLOOKUP(Tabulation!$B407,Constants!$A:$C,2,FALSE)</f>
        <v>Initial Measurement Snapshot</v>
      </c>
      <c r="E407" t="str">
        <f>VLOOKUP(Tabulation!$B407,Constants!$A:$C,3,FALSE)</f>
        <v>Medium Volume</v>
      </c>
    </row>
    <row r="408" spans="1:5">
      <c r="A408" t="s">
        <v>555</v>
      </c>
      <c r="B408" t="s">
        <v>275</v>
      </c>
      <c r="C408" s="8">
        <v>115256</v>
      </c>
      <c r="D408" t="str">
        <f>VLOOKUP(Tabulation!$B408,Constants!$A:$C,2,FALSE)</f>
        <v>Install Event</v>
      </c>
      <c r="E408" t="str">
        <f>VLOOKUP(Tabulation!$B408,Constants!$A:$C,3,FALSE)</f>
        <v>Medium Volume</v>
      </c>
    </row>
    <row r="409" spans="1:5">
      <c r="A409" t="s">
        <v>555</v>
      </c>
      <c r="B409" t="s">
        <v>277</v>
      </c>
      <c r="C409" s="8">
        <v>0</v>
      </c>
      <c r="D409" t="str">
        <f>VLOOKUP(Tabulation!$B409,Constants!$A:$C,2,FALSE)</f>
        <v>Interval Snapshot Mapping</v>
      </c>
      <c r="E409" t="str">
        <f>VLOOKUP(Tabulation!$B409,Constants!$A:$C,3,FALSE)</f>
        <v>Medium Volume</v>
      </c>
    </row>
    <row r="410" spans="1:5">
      <c r="A410" t="s">
        <v>555</v>
      </c>
      <c r="B410" t="s">
        <v>279</v>
      </c>
      <c r="C410" s="8">
        <v>0</v>
      </c>
      <c r="D410" t="str">
        <f>VLOOKUP(Tabulation!$B410,Constants!$A:$C,2,FALSE)</f>
        <v>MC Comparison Period</v>
      </c>
      <c r="E410" t="str">
        <f>VLOOKUP(Tabulation!$B410,Constants!$A:$C,3,FALSE)</f>
        <v>Medium Volume</v>
      </c>
    </row>
    <row r="411" spans="1:5">
      <c r="A411" t="s">
        <v>555</v>
      </c>
      <c r="B411" t="s">
        <v>281</v>
      </c>
      <c r="C411" s="8">
        <v>0</v>
      </c>
      <c r="D411" t="str">
        <f>VLOOKUP(Tabulation!$B411,Constants!$A:$C,2,FALSE)</f>
        <v>Measurement Data Snapshot Interval</v>
      </c>
      <c r="E411" t="str">
        <f>VLOOKUP(Tabulation!$B411,Constants!$A:$C,3,FALSE)</f>
        <v>Medium Volume</v>
      </c>
    </row>
    <row r="412" spans="1:5">
      <c r="A412" t="s">
        <v>555</v>
      </c>
      <c r="B412" t="s">
        <v>283</v>
      </c>
      <c r="C412" s="8">
        <v>0</v>
      </c>
      <c r="D412" t="str">
        <f>VLOOKUP(Tabulation!$B412,Constants!$A:$C,2,FALSE)</f>
        <v>Measurement Data Snapshot Scalar</v>
      </c>
      <c r="E412" t="str">
        <f>VLOOKUP(Tabulation!$B412,Constants!$A:$C,3,FALSE)</f>
        <v>Medium Volume</v>
      </c>
    </row>
    <row r="413" spans="1:5">
      <c r="A413" t="s">
        <v>555</v>
      </c>
      <c r="B413" t="s">
        <v>285</v>
      </c>
      <c r="C413" s="8">
        <v>209914</v>
      </c>
      <c r="D413" t="str">
        <f>VLOOKUP(Tabulation!$B413,Constants!$A:$C,2,FALSE)</f>
        <v>Measuring Component</v>
      </c>
      <c r="E413" t="str">
        <f>VLOOKUP(Tabulation!$B413,Constants!$A:$C,3,FALSE)</f>
        <v>Medium Volume</v>
      </c>
    </row>
    <row r="414" spans="1:5">
      <c r="A414" t="s">
        <v>555</v>
      </c>
      <c r="B414" t="s">
        <v>287</v>
      </c>
      <c r="C414" s="8">
        <v>0</v>
      </c>
      <c r="D414" t="str">
        <f>VLOOKUP(Tabulation!$B414,Constants!$A:$C,2,FALSE)</f>
        <v>Market Award</v>
      </c>
      <c r="E414" t="str">
        <f>VLOOKUP(Tabulation!$B414,Constants!$A:$C,3,FALSE)</f>
        <v>Medium Volume</v>
      </c>
    </row>
    <row r="415" spans="1:5">
      <c r="A415" t="s">
        <v>555</v>
      </c>
      <c r="B415" t="s">
        <v>289</v>
      </c>
      <c r="C415" s="8">
        <v>0</v>
      </c>
      <c r="D415" t="str">
        <f>VLOOKUP(Tabulation!$B415,Constants!$A:$C,2,FALSE)</f>
        <v>Market Contract</v>
      </c>
      <c r="E415" t="str">
        <f>VLOOKUP(Tabulation!$B415,Constants!$A:$C,3,FALSE)</f>
        <v>Medium Volume</v>
      </c>
    </row>
    <row r="416" spans="1:5">
      <c r="A416" t="s">
        <v>555</v>
      </c>
      <c r="B416" t="s">
        <v>291</v>
      </c>
      <c r="C416" s="8">
        <v>0</v>
      </c>
      <c r="D416" t="str">
        <f>VLOOKUP(Tabulation!$B416,Constants!$A:$C,2,FALSE)</f>
        <v>Market Product</v>
      </c>
      <c r="E416" t="str">
        <f>VLOOKUP(Tabulation!$B416,Constants!$A:$C,3,FALSE)</f>
        <v>Medium Volume</v>
      </c>
    </row>
    <row r="417" spans="1:5">
      <c r="A417" t="s">
        <v>555</v>
      </c>
      <c r="B417" t="s">
        <v>293</v>
      </c>
      <c r="C417" s="8">
        <v>0</v>
      </c>
      <c r="D417" t="str">
        <f>VLOOKUP(Tabulation!$B417,Constants!$A:$C,2,FALSE)</f>
        <v>Registration Point</v>
      </c>
      <c r="E417" t="str">
        <f>VLOOKUP(Tabulation!$B417,Constants!$A:$C,3,FALSE)</f>
        <v>Medium Volume</v>
      </c>
    </row>
    <row r="418" spans="1:5">
      <c r="A418" t="s">
        <v>555</v>
      </c>
      <c r="B418" t="s">
        <v>294</v>
      </c>
      <c r="C418" s="8">
        <v>6442665</v>
      </c>
      <c r="D418" t="str">
        <f>VLOOKUP(Tabulation!$B418,Constants!$A:$C,2,FALSE)</f>
        <v>Measurement</v>
      </c>
      <c r="E418" t="str">
        <f>VLOOKUP(Tabulation!$B418,Constants!$A:$C,3,FALSE)</f>
        <v>Medium Volume</v>
      </c>
    </row>
    <row r="419" spans="1:5">
      <c r="A419" t="s">
        <v>555</v>
      </c>
      <c r="B419" t="s">
        <v>296</v>
      </c>
      <c r="C419" s="8">
        <v>36529</v>
      </c>
      <c r="D419" t="str">
        <f>VLOOKUP(Tabulation!$B419,Constants!$A:$C,2,FALSE)</f>
        <v>Measurement Log</v>
      </c>
      <c r="E419" t="str">
        <f>VLOOKUP(Tabulation!$B419,Constants!$A:$C,3,FALSE)</f>
        <v>Medium Volume</v>
      </c>
    </row>
    <row r="420" spans="1:5">
      <c r="A420" t="s">
        <v>555</v>
      </c>
      <c r="B420" t="s">
        <v>298</v>
      </c>
      <c r="C420" s="8">
        <v>0</v>
      </c>
      <c r="D420" t="str">
        <f>VLOOKUP(Tabulation!$B420,Constants!$A:$C,2,FALSE)</f>
        <v>Network Location</v>
      </c>
      <c r="E420" t="str">
        <f>VLOOKUP(Tabulation!$B420,Constants!$A:$C,3,FALSE)</f>
        <v>Medium Volume</v>
      </c>
    </row>
    <row r="421" spans="1:5">
      <c r="A421" t="s">
        <v>555</v>
      </c>
      <c r="B421" t="s">
        <v>300</v>
      </c>
      <c r="C421" s="8">
        <v>226778</v>
      </c>
      <c r="D421" t="str">
        <f>VLOOKUP(Tabulation!$B421,Constants!$A:$C,2,FALSE)</f>
        <v>Service Point - MDM</v>
      </c>
      <c r="E421" t="str">
        <f>VLOOKUP(Tabulation!$B421,Constants!$A:$C,3,FALSE)</f>
        <v>Medium Volume</v>
      </c>
    </row>
    <row r="422" spans="1:5">
      <c r="A422" t="s">
        <v>555</v>
      </c>
      <c r="B422" t="s">
        <v>302</v>
      </c>
      <c r="C422" s="8">
        <v>1100694</v>
      </c>
      <c r="D422" t="str">
        <f>VLOOKUP(Tabulation!$B422,Constants!$A:$C,2,FALSE)</f>
        <v>SP/Measurement Cycle Schedule Route</v>
      </c>
      <c r="E422" t="str">
        <f>VLOOKUP(Tabulation!$B422,Constants!$A:$C,3,FALSE)</f>
        <v>Medium Volume</v>
      </c>
    </row>
    <row r="423" spans="1:5">
      <c r="A423" t="s">
        <v>555</v>
      </c>
      <c r="B423" t="s">
        <v>304</v>
      </c>
      <c r="C423" s="8">
        <v>0</v>
      </c>
      <c r="D423" t="str">
        <f>VLOOKUP(Tabulation!$B423,Constants!$A:$C,2,FALSE)</f>
        <v>Service Point Quantity</v>
      </c>
      <c r="E423" t="str">
        <f>VLOOKUP(Tabulation!$B423,Constants!$A:$C,3,FALSE)</f>
        <v>Medium Volume</v>
      </c>
    </row>
    <row r="424" spans="1:5">
      <c r="A424" t="s">
        <v>555</v>
      </c>
      <c r="B424" t="s">
        <v>306</v>
      </c>
      <c r="C424" s="8">
        <v>0</v>
      </c>
      <c r="D424" t="str">
        <f>VLOOKUP(Tabulation!$B424,Constants!$A:$C,2,FALSE)</f>
        <v>Service Pont Snapshot Download</v>
      </c>
      <c r="E424" t="str">
        <f>VLOOKUP(Tabulation!$B424,Constants!$A:$C,3,FALSE)</f>
        <v>Medium Volume</v>
      </c>
    </row>
    <row r="425" spans="1:5">
      <c r="A425" t="s">
        <v>555</v>
      </c>
      <c r="B425" t="s">
        <v>308</v>
      </c>
      <c r="C425" s="8">
        <v>0</v>
      </c>
      <c r="D425" t="str">
        <f>VLOOKUP(Tabulation!$B425,Constants!$A:$C,2,FALSE)</f>
        <v>SP Unreported Usage Snapshot Download</v>
      </c>
      <c r="E425" t="str">
        <f>VLOOKUP(Tabulation!$B425,Constants!$A:$C,3,FALSE)</f>
        <v>Medium Volume</v>
      </c>
    </row>
    <row r="426" spans="1:5">
      <c r="A426" t="s">
        <v>555</v>
      </c>
      <c r="B426" t="s">
        <v>310</v>
      </c>
      <c r="C426" s="8">
        <v>0</v>
      </c>
      <c r="D426" t="str">
        <f>VLOOKUP(Tabulation!$B426,Constants!$A:$C,2,FALSE)</f>
        <v>Service Point Usage Snapshot Download</v>
      </c>
      <c r="E426" t="str">
        <f>VLOOKUP(Tabulation!$B426,Constants!$A:$C,3,FALSE)</f>
        <v>Medium Volume</v>
      </c>
    </row>
    <row r="427" spans="1:5">
      <c r="A427" t="s">
        <v>555</v>
      </c>
      <c r="B427" t="s">
        <v>312</v>
      </c>
      <c r="C427" s="8">
        <v>0</v>
      </c>
      <c r="D427" t="str">
        <f>VLOOKUP(Tabulation!$B427,Constants!$A:$C,2,FALSE)</f>
        <v>SP VEE Exception Snapshot Download</v>
      </c>
      <c r="E427" t="str">
        <f>VLOOKUP(Tabulation!$B427,Constants!$A:$C,3,FALSE)</f>
        <v>Medium Volume</v>
      </c>
    </row>
    <row r="428" spans="1:5">
      <c r="A428" t="s">
        <v>555</v>
      </c>
      <c r="B428" t="s">
        <v>314</v>
      </c>
      <c r="C428" s="8">
        <v>644343</v>
      </c>
      <c r="D428" t="str">
        <f>VLOOKUP(Tabulation!$B428,Constants!$A:$C,2,FALSE)</f>
        <v>Usage Subscription</v>
      </c>
      <c r="E428" t="str">
        <f>VLOOKUP(Tabulation!$B428,Constants!$A:$C,3,FALSE)</f>
        <v>Medium Volume</v>
      </c>
    </row>
    <row r="429" spans="1:5">
      <c r="A429" t="s">
        <v>555</v>
      </c>
      <c r="B429" t="s">
        <v>316</v>
      </c>
      <c r="C429" s="8">
        <v>1501677</v>
      </c>
      <c r="D429" t="str">
        <f>VLOOKUP(Tabulation!$B429,Constants!$A:$C,2,FALSE)</f>
        <v>Usage</v>
      </c>
      <c r="E429" t="str">
        <f>VLOOKUP(Tabulation!$B429,Constants!$A:$C,3,FALSE)</f>
        <v>Medium Volume</v>
      </c>
    </row>
    <row r="430" spans="1:5">
      <c r="A430" t="s">
        <v>555</v>
      </c>
      <c r="B430" t="s">
        <v>317</v>
      </c>
      <c r="C430" s="8">
        <v>21825</v>
      </c>
      <c r="D430" t="str">
        <f>VLOOKUP(Tabulation!$B430,Constants!$A:$C,2,FALSE)</f>
        <v>Usage Transaction Exception</v>
      </c>
      <c r="E430" t="str">
        <f>VLOOKUP(Tabulation!$B430,Constants!$A:$C,3,FALSE)</f>
        <v>Medium Volume</v>
      </c>
    </row>
    <row r="431" spans="1:5">
      <c r="A431" t="s">
        <v>555</v>
      </c>
      <c r="B431" t="s">
        <v>319</v>
      </c>
      <c r="C431" s="8">
        <v>0</v>
      </c>
      <c r="D431" t="str">
        <f>VLOOKUP(Tabulation!$B431,Constants!$A:$C,2,FALSE)</f>
        <v>Usage Subscription Market Participant</v>
      </c>
      <c r="E431" t="str">
        <f>VLOOKUP(Tabulation!$B431,Constants!$A:$C,3,FALSE)</f>
        <v>Medium Volume</v>
      </c>
    </row>
    <row r="432" spans="1:5">
      <c r="A432" t="s">
        <v>555</v>
      </c>
      <c r="B432" t="s">
        <v>321</v>
      </c>
      <c r="C432" s="8">
        <v>0</v>
      </c>
      <c r="D432" t="str">
        <f>VLOOKUP(Tabulation!$B432,Constants!$A:$C,2,FALSE)</f>
        <v>Usage Subscription Quantity</v>
      </c>
      <c r="E432" t="str">
        <f>VLOOKUP(Tabulation!$B432,Constants!$A:$C,3,FALSE)</f>
        <v>Medium Volume</v>
      </c>
    </row>
    <row r="433" spans="1:5">
      <c r="A433" t="s">
        <v>555</v>
      </c>
      <c r="B433" t="s">
        <v>323</v>
      </c>
      <c r="C433" s="8">
        <v>0</v>
      </c>
      <c r="D433" t="str">
        <f>VLOOKUP(Tabulation!$B433,Constants!$A:$C,2,FALSE)</f>
        <v>Usage Subscription Usage Group Download</v>
      </c>
      <c r="E433" t="str">
        <f>VLOOKUP(Tabulation!$B433,Constants!$A:$C,3,FALSE)</f>
        <v>Medium Volume</v>
      </c>
    </row>
    <row r="434" spans="1:5">
      <c r="A434" t="s">
        <v>555</v>
      </c>
      <c r="B434" t="s">
        <v>325</v>
      </c>
      <c r="C434" s="8">
        <v>2538465</v>
      </c>
      <c r="D434" t="str">
        <f>VLOOKUP(Tabulation!$B434,Constants!$A:$C,2,FALSE)</f>
        <v>VEE Exception</v>
      </c>
      <c r="E434" t="str">
        <f>VLOOKUP(Tabulation!$B434,Constants!$A:$C,3,FALSE)</f>
        <v>Medium Volume</v>
      </c>
    </row>
    <row r="435" spans="1:5">
      <c r="A435" t="s">
        <v>555</v>
      </c>
      <c r="B435" t="s">
        <v>327</v>
      </c>
      <c r="C435" s="8">
        <v>9</v>
      </c>
      <c r="D435" t="str">
        <f>VLOOKUP(Tabulation!$B435,Constants!$A:$C,2,FALSE)</f>
        <v>Attachment</v>
      </c>
      <c r="E435" t="str">
        <f>VLOOKUP(Tabulation!$B435,Constants!$A:$C,3,FALSE)</f>
        <v>Medium Volume</v>
      </c>
    </row>
    <row r="436" spans="1:5">
      <c r="A436" t="s">
        <v>555</v>
      </c>
      <c r="B436" t="s">
        <v>329</v>
      </c>
      <c r="C436" s="8">
        <v>0</v>
      </c>
      <c r="D436" t="str">
        <f>VLOOKUP(Tabulation!$B436,Constants!$A:$C,2,FALSE)</f>
        <v>Batch Run Analytics Snapshot</v>
      </c>
      <c r="E436" t="str">
        <f>VLOOKUP(Tabulation!$B436,Constants!$A:$C,3,FALSE)</f>
        <v>High Volume</v>
      </c>
    </row>
    <row r="437" spans="1:5">
      <c r="A437" t="s">
        <v>555</v>
      </c>
      <c r="B437" t="s">
        <v>332</v>
      </c>
      <c r="C437" s="8">
        <v>0</v>
      </c>
      <c r="D437" t="str">
        <f>VLOOKUP(Tabulation!$B437,Constants!$A:$C,2,FALSE)</f>
        <v>Batch Thread Analytics Snapshot</v>
      </c>
      <c r="E437" t="str">
        <f>VLOOKUP(Tabulation!$B437,Constants!$A:$C,3,FALSE)</f>
        <v>High Volume</v>
      </c>
    </row>
    <row r="438" spans="1:5">
      <c r="A438" t="s">
        <v>555</v>
      </c>
      <c r="B438" t="s">
        <v>334</v>
      </c>
      <c r="C438" s="8">
        <v>58</v>
      </c>
      <c r="D438" t="str">
        <f>VLOOKUP(Tabulation!$B438,Constants!$A:$C,2,FALSE)</f>
        <v>Bundle</v>
      </c>
      <c r="E438" t="str">
        <f>VLOOKUP(Tabulation!$B438,Constants!$A:$C,3,FALSE)</f>
        <v>Medium Volume</v>
      </c>
    </row>
    <row r="439" spans="1:5">
      <c r="A439" t="s">
        <v>555</v>
      </c>
      <c r="B439" t="s">
        <v>336</v>
      </c>
      <c r="C439" s="8">
        <v>0</v>
      </c>
      <c r="D439" t="str">
        <f>VLOOKUP(Tabulation!$B439,Constants!$A:$C,2,FALSE)</f>
        <v>Business Event Log</v>
      </c>
      <c r="E439" t="str">
        <f>VLOOKUP(Tabulation!$B439,Constants!$A:$C,3,FALSE)</f>
        <v>Medium Volume</v>
      </c>
    </row>
    <row r="440" spans="1:5">
      <c r="A440" t="s">
        <v>555</v>
      </c>
      <c r="B440" t="s">
        <v>338</v>
      </c>
      <c r="C440" s="8">
        <v>0</v>
      </c>
      <c r="D440" t="str">
        <f>VLOOKUP(Tabulation!$B440,Constants!$A:$C,2,FALSE)</f>
        <v>Business Flag</v>
      </c>
      <c r="E440" t="str">
        <f>VLOOKUP(Tabulation!$B440,Constants!$A:$C,3,FALSE)</f>
        <v>Medium Volume</v>
      </c>
    </row>
    <row r="441" spans="1:5">
      <c r="A441" t="s">
        <v>555</v>
      </c>
      <c r="B441" t="s">
        <v>340</v>
      </c>
      <c r="C441" s="8">
        <v>0</v>
      </c>
      <c r="D441" t="str">
        <f>VLOOKUP(Tabulation!$B441,Constants!$A:$C,2,FALSE)</f>
        <v>Calendar Dimension</v>
      </c>
      <c r="E441" t="str">
        <f>VLOOKUP(Tabulation!$B441,Constants!$A:$C,3,FALSE)</f>
        <v>Medium Volume</v>
      </c>
    </row>
    <row r="442" spans="1:5">
      <c r="A442" t="s">
        <v>555</v>
      </c>
      <c r="B442" t="s">
        <v>342</v>
      </c>
      <c r="C442" s="8">
        <v>0</v>
      </c>
      <c r="D442" t="str">
        <f>VLOOKUP(Tabulation!$B442,Constants!$A:$C,2,FALSE)</f>
        <v>Cube View</v>
      </c>
      <c r="E442" t="str">
        <f>VLOOKUP(Tabulation!$B442,Constants!$A:$C,3,FALSE)</f>
        <v>Medium Volume</v>
      </c>
    </row>
    <row r="443" spans="1:5">
      <c r="A443" t="s">
        <v>555</v>
      </c>
      <c r="B443" t="s">
        <v>344</v>
      </c>
      <c r="C443" s="8">
        <v>0</v>
      </c>
      <c r="D443" t="str">
        <f>VLOOKUP(Tabulation!$B443,Constants!$A:$C,2,FALSE)</f>
        <v>Deployment</v>
      </c>
      <c r="E443" t="str">
        <f>VLOOKUP(Tabulation!$B443,Constants!$A:$C,3,FALSE)</f>
        <v>Medium Volume</v>
      </c>
    </row>
    <row r="444" spans="1:5">
      <c r="A444" t="s">
        <v>555</v>
      </c>
      <c r="B444" t="s">
        <v>346</v>
      </c>
      <c r="C444" s="8">
        <v>0</v>
      </c>
      <c r="D444" t="str">
        <f>VLOOKUP(Tabulation!$B444,Constants!$A:$C,2,FALSE)</f>
        <v>Object Erasure Schedule</v>
      </c>
      <c r="E444" t="str">
        <f>VLOOKUP(Tabulation!$B444,Constants!$A:$C,3,FALSE)</f>
        <v>Medium Volume</v>
      </c>
    </row>
    <row r="445" spans="1:5">
      <c r="A445" t="s">
        <v>555</v>
      </c>
      <c r="B445" t="s">
        <v>348</v>
      </c>
      <c r="C445" s="8">
        <v>9</v>
      </c>
      <c r="D445" t="str">
        <f>VLOOKUP(Tabulation!$B445,Constants!$A:$C,2,FALSE)</f>
        <v>Fact</v>
      </c>
      <c r="E445" t="str">
        <f>VLOOKUP(Tabulation!$B445,Constants!$A:$C,3,FALSE)</f>
        <v>Medium Volume</v>
      </c>
    </row>
    <row r="446" spans="1:5">
      <c r="A446" t="s">
        <v>555</v>
      </c>
      <c r="B446" t="s">
        <v>350</v>
      </c>
      <c r="C446" s="8">
        <v>1041222</v>
      </c>
      <c r="D446" t="str">
        <f>VLOOKUP(Tabulation!$B446,Constants!$A:$C,2,FALSE)</f>
        <v>General Process</v>
      </c>
      <c r="E446" t="str">
        <f>VLOOKUP(Tabulation!$B446,Constants!$A:$C,3,FALSE)</f>
        <v>Medium Volume</v>
      </c>
    </row>
    <row r="447" spans="1:5">
      <c r="A447" t="s">
        <v>555</v>
      </c>
      <c r="B447" t="s">
        <v>352</v>
      </c>
      <c r="C447" s="8">
        <v>0</v>
      </c>
      <c r="D447" t="str">
        <f>VLOOKUP(Tabulation!$B447,Constants!$A:$C,2,FALSE)</f>
        <v>General Audit</v>
      </c>
      <c r="E447" t="str">
        <f>VLOOKUP(Tabulation!$B447,Constants!$A:$C,3,FALSE)</f>
        <v>Medium Volume</v>
      </c>
    </row>
    <row r="448" spans="1:5">
      <c r="A448" t="s">
        <v>555</v>
      </c>
      <c r="B448" t="s">
        <v>354</v>
      </c>
      <c r="C448" s="8">
        <v>0</v>
      </c>
      <c r="D448" t="str">
        <f>VLOOKUP(Tabulation!$B448,Constants!$A:$C,2,FALSE)</f>
        <v>Mobile Data Terminal</v>
      </c>
      <c r="E448" t="str">
        <f>VLOOKUP(Tabulation!$B448,Constants!$A:$C,3,FALSE)</f>
        <v>Medium Volume</v>
      </c>
    </row>
    <row r="449" spans="1:5">
      <c r="A449" t="s">
        <v>555</v>
      </c>
      <c r="B449" t="s">
        <v>356</v>
      </c>
      <c r="C449" s="8">
        <v>0</v>
      </c>
      <c r="D449" t="str">
        <f>VLOOKUP(Tabulation!$B449,Constants!$A:$C,2,FALSE)</f>
        <v>Mobile Data Terminal Type</v>
      </c>
      <c r="E449" t="str">
        <f>VLOOKUP(Tabulation!$B449,Constants!$A:$C,3,FALSE)</f>
        <v>Medium Volume</v>
      </c>
    </row>
    <row r="450" spans="1:5">
      <c r="A450" t="s">
        <v>555</v>
      </c>
      <c r="B450" t="s">
        <v>358</v>
      </c>
      <c r="C450" s="8">
        <v>179</v>
      </c>
      <c r="D450" t="str">
        <f>VLOOKUP(Tabulation!$B450,Constants!$A:$C,2,FALSE)</f>
        <v>Migration Data Set</v>
      </c>
      <c r="E450" t="str">
        <f>VLOOKUP(Tabulation!$B450,Constants!$A:$C,3,FALSE)</f>
        <v>Medium Volume</v>
      </c>
    </row>
    <row r="451" spans="1:5">
      <c r="A451" t="s">
        <v>555</v>
      </c>
      <c r="B451" t="s">
        <v>360</v>
      </c>
      <c r="C451" s="8">
        <v>5362</v>
      </c>
      <c r="D451" t="str">
        <f>VLOOKUP(Tabulation!$B451,Constants!$A:$C,2,FALSE)</f>
        <v>Migration Object</v>
      </c>
      <c r="E451" t="str">
        <f>VLOOKUP(Tabulation!$B451,Constants!$A:$C,3,FALSE)</f>
        <v>Medium Volume</v>
      </c>
    </row>
    <row r="452" spans="1:5">
      <c r="A452" t="s">
        <v>555</v>
      </c>
      <c r="B452" t="s">
        <v>362</v>
      </c>
      <c r="C452" s="8">
        <v>676</v>
      </c>
      <c r="D452" t="str">
        <f>VLOOKUP(Tabulation!$B452,Constants!$A:$C,2,FALSE)</f>
        <v>Migration Transaction</v>
      </c>
      <c r="E452" t="str">
        <f>VLOOKUP(Tabulation!$B452,Constants!$A:$C,3,FALSE)</f>
        <v>Medium Volume</v>
      </c>
    </row>
    <row r="453" spans="1:5">
      <c r="A453" t="s">
        <v>555</v>
      </c>
      <c r="B453" t="s">
        <v>364</v>
      </c>
      <c r="C453" s="8">
        <v>0</v>
      </c>
      <c r="D453" t="str">
        <f>VLOOKUP(Tabulation!$B453,Constants!$A:$C,2,FALSE)</f>
        <v>Inbound Market Message</v>
      </c>
      <c r="E453" t="str">
        <f>VLOOKUP(Tabulation!$B453,Constants!$A:$C,3,FALSE)</f>
        <v>Medium Volume</v>
      </c>
    </row>
    <row r="454" spans="1:5">
      <c r="A454" t="s">
        <v>555</v>
      </c>
      <c r="B454" t="s">
        <v>366</v>
      </c>
      <c r="C454" s="8">
        <v>0</v>
      </c>
      <c r="D454" t="str">
        <f>VLOOKUP(Tabulation!$B454,Constants!$A:$C,2,FALSE)</f>
        <v>Outbound Market Message</v>
      </c>
      <c r="E454" t="str">
        <f>VLOOKUP(Tabulation!$B454,Constants!$A:$C,3,FALSE)</f>
        <v>Medium Volume</v>
      </c>
    </row>
    <row r="455" spans="1:5">
      <c r="A455" t="s">
        <v>555</v>
      </c>
      <c r="B455" t="s">
        <v>368</v>
      </c>
      <c r="C455" s="8">
        <v>0</v>
      </c>
      <c r="D455" t="str">
        <f>VLOOKUP(Tabulation!$B455,Constants!$A:$C,2,FALSE)</f>
        <v>Market Process</v>
      </c>
      <c r="E455" t="str">
        <f>VLOOKUP(Tabulation!$B455,Constants!$A:$C,3,FALSE)</f>
        <v>Medium Volume</v>
      </c>
    </row>
    <row r="456" spans="1:5">
      <c r="A456" t="s">
        <v>555</v>
      </c>
      <c r="B456" t="s">
        <v>370</v>
      </c>
      <c r="C456" s="8">
        <v>0</v>
      </c>
      <c r="D456" t="str">
        <f>VLOOKUP(Tabulation!$B456,Constants!$A:$C,2,FALSE)</f>
        <v>Market Process Event</v>
      </c>
      <c r="E456" t="str">
        <f>VLOOKUP(Tabulation!$B456,Constants!$A:$C,3,FALSE)</f>
        <v>Medium Volume</v>
      </c>
    </row>
    <row r="457" spans="1:5">
      <c r="A457" t="s">
        <v>555</v>
      </c>
      <c r="B457" t="s">
        <v>372</v>
      </c>
      <c r="C457" s="8">
        <v>0</v>
      </c>
      <c r="D457" t="str">
        <f>VLOOKUP(Tabulation!$B457,Constants!$A:$C,2,FALSE)</f>
        <v>Object Revision</v>
      </c>
      <c r="E457" t="str">
        <f>VLOOKUP(Tabulation!$B457,Constants!$A:$C,3,FALSE)</f>
        <v>Medium Volume</v>
      </c>
    </row>
    <row r="458" spans="1:5">
      <c r="A458" t="s">
        <v>555</v>
      </c>
      <c r="B458" t="s">
        <v>374</v>
      </c>
      <c r="C458" s="8">
        <v>1471815</v>
      </c>
      <c r="D458" t="str">
        <f>VLOOKUP(Tabulation!$B458,Constants!$A:$C,2,FALSE)</f>
        <v>Outbound Message</v>
      </c>
      <c r="E458" t="str">
        <f>VLOOKUP(Tabulation!$B458,Constants!$A:$C,3,FALSE)</f>
        <v>Medium Volume</v>
      </c>
    </row>
    <row r="459" spans="1:5">
      <c r="A459" t="s">
        <v>555</v>
      </c>
      <c r="B459" t="s">
        <v>376</v>
      </c>
      <c r="C459" s="8">
        <v>26</v>
      </c>
      <c r="D459" t="str">
        <f>VLOOKUP(Tabulation!$B459,Constants!$A:$C,2,FALSE)</f>
        <v>Process Flow</v>
      </c>
      <c r="E459" t="str">
        <f>VLOOKUP(Tabulation!$B459,Constants!$A:$C,3,FALSE)</f>
        <v>Medium Volume</v>
      </c>
    </row>
    <row r="460" spans="1:5">
      <c r="A460" t="s">
        <v>555</v>
      </c>
      <c r="B460" t="s">
        <v>378</v>
      </c>
      <c r="C460" s="8">
        <v>0</v>
      </c>
      <c r="D460" t="str">
        <f>VLOOKUP(Tabulation!$B460,Constants!$A:$C,2,FALSE)</f>
        <v>Mobile Remote Message</v>
      </c>
      <c r="E460" t="str">
        <f>VLOOKUP(Tabulation!$B460,Constants!$A:$C,3,FALSE)</f>
        <v>Medium Volume</v>
      </c>
    </row>
    <row r="461" spans="1:5">
      <c r="A461" t="s">
        <v>555</v>
      </c>
      <c r="B461" t="s">
        <v>380</v>
      </c>
      <c r="C461" s="8">
        <v>2103</v>
      </c>
      <c r="D461" t="str">
        <f>VLOOKUP(Tabulation!$B461,Constants!$A:$C,2,FALSE)</f>
        <v>Request</v>
      </c>
      <c r="E461" t="str">
        <f>VLOOKUP(Tabulation!$B461,Constants!$A:$C,3,FALSE)</f>
        <v>Medium Volume</v>
      </c>
    </row>
    <row r="462" spans="1:5">
      <c r="A462" t="s">
        <v>555</v>
      </c>
      <c r="B462" t="s">
        <v>382</v>
      </c>
      <c r="C462" s="8">
        <v>0</v>
      </c>
      <c r="D462" t="str">
        <f>VLOOKUP(Tabulation!$B462,Constants!$A:$C,2,FALSE)</f>
        <v>Statistics Snapshot</v>
      </c>
      <c r="E462" t="str">
        <f>VLOOKUP(Tabulation!$B462,Constants!$A:$C,3,FALSE)</f>
        <v>Low Volume</v>
      </c>
    </row>
    <row r="463" spans="1:5">
      <c r="A463" t="s">
        <v>555</v>
      </c>
      <c r="B463" t="s">
        <v>384</v>
      </c>
      <c r="C463" s="8">
        <v>1710222</v>
      </c>
      <c r="D463" t="str">
        <f>VLOOKUP(Tabulation!$B463,Constants!$A:$C,2,FALSE)</f>
        <v>Service Task</v>
      </c>
      <c r="E463" t="str">
        <f>VLOOKUP(Tabulation!$B463,Constants!$A:$C,3,FALSE)</f>
        <v>Medium Volume</v>
      </c>
    </row>
    <row r="464" spans="1:5">
      <c r="A464" t="s">
        <v>555</v>
      </c>
      <c r="B464" t="s">
        <v>386</v>
      </c>
      <c r="C464" s="8">
        <v>1016384</v>
      </c>
      <c r="D464" t="str">
        <f>VLOOKUP(Tabulation!$B464,Constants!$A:$C,2,FALSE)</f>
        <v>Sync Request</v>
      </c>
      <c r="E464" t="str">
        <f>VLOOKUP(Tabulation!$B464,Constants!$A:$C,3,FALSE)</f>
        <v>Medium Volume</v>
      </c>
    </row>
    <row r="465" spans="1:5">
      <c r="A465" t="s">
        <v>555</v>
      </c>
      <c r="B465" t="s">
        <v>388</v>
      </c>
      <c r="C465" s="8">
        <v>614636</v>
      </c>
      <c r="D465" t="str">
        <f>VLOOKUP(Tabulation!$B465,Constants!$A:$C,2,FALSE)</f>
        <v>Inbound Sync Request</v>
      </c>
      <c r="E465" t="str">
        <f>VLOOKUP(Tabulation!$B465,Constants!$A:$C,3,FALSE)</f>
        <v>Medium Volume</v>
      </c>
    </row>
    <row r="466" spans="1:5">
      <c r="A466" t="s">
        <v>555</v>
      </c>
      <c r="B466" t="s">
        <v>390</v>
      </c>
      <c r="C466" s="8">
        <v>0</v>
      </c>
      <c r="D466" t="str">
        <f>VLOOKUP(Tabulation!$B466,Constants!$A:$C,2,FALSE)</f>
        <v>Time Dimension</v>
      </c>
      <c r="E466" t="str">
        <f>VLOOKUP(Tabulation!$B466,Constants!$A:$C,3,FALSE)</f>
        <v>Medium Volume</v>
      </c>
    </row>
    <row r="467" spans="1:5">
      <c r="A467" t="s">
        <v>555</v>
      </c>
      <c r="B467" t="s">
        <v>392</v>
      </c>
      <c r="C467" s="8">
        <v>0</v>
      </c>
      <c r="D467" t="str">
        <f>VLOOKUP(Tabulation!$B467,Constants!$A:$C,2,FALSE)</f>
        <v>Accept Line</v>
      </c>
      <c r="E467" t="str">
        <f>VLOOKUP(Tabulation!$B467,Constants!$A:$C,3,FALSE)</f>
        <v>Medium Volume</v>
      </c>
    </row>
    <row r="468" spans="1:5">
      <c r="A468" t="s">
        <v>555</v>
      </c>
      <c r="B468" t="s">
        <v>394</v>
      </c>
      <c r="C468" s="8">
        <v>176</v>
      </c>
      <c r="D468" t="str">
        <f>VLOOKUP(Tabulation!$B468,Constants!$A:$C,2,FALSE)</f>
        <v>Activity</v>
      </c>
      <c r="E468" t="str">
        <f>VLOOKUP(Tabulation!$B468,Constants!$A:$C,3,FALSE)</f>
        <v>Medium Volume</v>
      </c>
    </row>
    <row r="469" spans="1:5">
      <c r="A469" t="s">
        <v>555</v>
      </c>
      <c r="B469" t="s">
        <v>395</v>
      </c>
      <c r="C469" s="8">
        <v>0</v>
      </c>
      <c r="D469" t="str">
        <f>VLOOKUP(Tabulation!$B469,Constants!$A:$C,2,FALSE)</f>
        <v>Activity Construction Location</v>
      </c>
      <c r="E469" t="str">
        <f>VLOOKUP(Tabulation!$B469,Constants!$A:$C,3,FALSE)</f>
        <v>Medium Volume</v>
      </c>
    </row>
    <row r="470" spans="1:5">
      <c r="A470" t="s">
        <v>555</v>
      </c>
      <c r="B470" t="s">
        <v>397</v>
      </c>
      <c r="C470" s="8">
        <v>0</v>
      </c>
      <c r="D470" t="str">
        <f>VLOOKUP(Tabulation!$B470,Constants!$A:$C,2,FALSE)</f>
        <v>Activity Reconciliation</v>
      </c>
      <c r="E470" t="str">
        <f>VLOOKUP(Tabulation!$B470,Constants!$A:$C,3,FALSE)</f>
        <v>Medium Volume</v>
      </c>
    </row>
    <row r="471" spans="1:5">
      <c r="A471" t="s">
        <v>555</v>
      </c>
      <c r="B471" t="s">
        <v>399</v>
      </c>
      <c r="C471" s="8">
        <v>0</v>
      </c>
      <c r="D471" t="str">
        <f>VLOOKUP(Tabulation!$B471,Constants!$A:$C,2,FALSE)</f>
        <v>Activity Resource Requirement</v>
      </c>
      <c r="E471" t="str">
        <f>VLOOKUP(Tabulation!$B471,Constants!$A:$C,3,FALSE)</f>
        <v>Medium Volume</v>
      </c>
    </row>
    <row r="472" spans="1:5">
      <c r="A472" t="s">
        <v>555</v>
      </c>
      <c r="B472" t="s">
        <v>401</v>
      </c>
      <c r="C472" s="8">
        <v>0</v>
      </c>
      <c r="D472" t="str">
        <f>VLOOKUP(Tabulation!$B472,Constants!$A:$C,2,FALSE)</f>
        <v>Cost Adjustment</v>
      </c>
      <c r="E472" t="str">
        <f>VLOOKUP(Tabulation!$B472,Constants!$A:$C,3,FALSE)</f>
        <v>Medium Volume</v>
      </c>
    </row>
    <row r="473" spans="1:5">
      <c r="A473" t="s">
        <v>555</v>
      </c>
      <c r="B473" t="s">
        <v>403</v>
      </c>
      <c r="C473" s="8">
        <v>0</v>
      </c>
      <c r="D473" t="str">
        <f>VLOOKUP(Tabulation!$B473,Constants!$A:$C,2,FALSE)</f>
        <v>Approval Request</v>
      </c>
      <c r="E473" t="str">
        <f>VLOOKUP(Tabulation!$B473,Constants!$A:$C,3,FALSE)</f>
        <v>Medium Volume</v>
      </c>
    </row>
    <row r="474" spans="1:5">
      <c r="A474" t="s">
        <v>555</v>
      </c>
      <c r="B474" t="s">
        <v>404</v>
      </c>
      <c r="C474" s="8">
        <v>153525</v>
      </c>
      <c r="D474" t="str">
        <f>VLOOKUP(Tabulation!$B474,Constants!$A:$C,2,FALSE)</f>
        <v>Asset</v>
      </c>
      <c r="E474" t="str">
        <f>VLOOKUP(Tabulation!$B474,Constants!$A:$C,3,FALSE)</f>
        <v>Medium Volume</v>
      </c>
    </row>
    <row r="475" spans="1:5">
      <c r="A475" t="s">
        <v>555</v>
      </c>
      <c r="B475" t="s">
        <v>406</v>
      </c>
      <c r="C475" s="8">
        <v>0</v>
      </c>
      <c r="D475" t="str">
        <f>VLOOKUP(Tabulation!$B475,Constants!$A:$C,2,FALSE)</f>
        <v>Blanket Contract Header</v>
      </c>
      <c r="E475" t="str">
        <f>VLOOKUP(Tabulation!$B475,Constants!$A:$C,3,FALSE)</f>
        <v>Medium Volume</v>
      </c>
    </row>
    <row r="476" spans="1:5">
      <c r="A476" t="s">
        <v>555</v>
      </c>
      <c r="B476" t="s">
        <v>408</v>
      </c>
      <c r="C476" s="8">
        <v>0</v>
      </c>
      <c r="D476" t="str">
        <f>VLOOKUP(Tabulation!$B476,Constants!$A:$C,2,FALSE)</f>
        <v>Blanket Contract Line</v>
      </c>
      <c r="E476" t="str">
        <f>VLOOKUP(Tabulation!$B476,Constants!$A:$C,3,FALSE)</f>
        <v>Medium Volume</v>
      </c>
    </row>
    <row r="477" spans="1:5">
      <c r="A477" t="s">
        <v>555</v>
      </c>
      <c r="B477" t="s">
        <v>410</v>
      </c>
      <c r="C477" s="8">
        <v>0</v>
      </c>
      <c r="D477" t="str">
        <f>VLOOKUP(Tabulation!$B477,Constants!$A:$C,2,FALSE)</f>
        <v>Bill of Materials Part</v>
      </c>
      <c r="E477" t="str">
        <f>VLOOKUP(Tabulation!$B477,Constants!$A:$C,3,FALSE)</f>
        <v>Medium Volume</v>
      </c>
    </row>
    <row r="478" spans="1:5">
      <c r="A478" t="s">
        <v>555</v>
      </c>
      <c r="B478" t="s">
        <v>412</v>
      </c>
      <c r="C478" s="8">
        <v>0</v>
      </c>
      <c r="D478" t="str">
        <f>VLOOKUP(Tabulation!$B478,Constants!$A:$C,2,FALSE)</f>
        <v>Change Request</v>
      </c>
      <c r="E478" t="str">
        <f>VLOOKUP(Tabulation!$B478,Constants!$A:$C,3,FALSE)</f>
        <v>Medium Volume</v>
      </c>
    </row>
    <row r="479" spans="1:5">
      <c r="A479" t="s">
        <v>555</v>
      </c>
      <c r="B479" t="s">
        <v>414</v>
      </c>
      <c r="C479" s="8">
        <v>0</v>
      </c>
      <c r="D479" t="str">
        <f>VLOOKUP(Tabulation!$B479,Constants!$A:$C,2,FALSE)</f>
        <v>Checklist</v>
      </c>
      <c r="E479" t="str">
        <f>VLOOKUP(Tabulation!$B479,Constants!$A:$C,3,FALSE)</f>
        <v>Medium Volume</v>
      </c>
    </row>
    <row r="480" spans="1:5">
      <c r="A480" t="s">
        <v>555</v>
      </c>
      <c r="B480" t="s">
        <v>416</v>
      </c>
      <c r="C480" s="8">
        <v>176</v>
      </c>
      <c r="D480" t="str">
        <f>VLOOKUP(Tabulation!$B480,Constants!$A:$C,2,FALSE)</f>
        <v>Completion Event</v>
      </c>
      <c r="E480" t="str">
        <f>VLOOKUP(Tabulation!$B480,Constants!$A:$C,3,FALSE)</f>
        <v>Medium Volume</v>
      </c>
    </row>
    <row r="481" spans="1:5">
      <c r="A481" t="s">
        <v>555</v>
      </c>
      <c r="B481" t="s">
        <v>417</v>
      </c>
      <c r="C481" s="8">
        <v>0</v>
      </c>
      <c r="D481" t="str">
        <f>VLOOKUP(Tabulation!$B481,Constants!$A:$C,2,FALSE)</f>
        <v>Communication</v>
      </c>
      <c r="E481" t="str">
        <f>VLOOKUP(Tabulation!$B481,Constants!$A:$C,3,FALSE)</f>
        <v>Medium Volume</v>
      </c>
    </row>
    <row r="482" spans="1:5">
      <c r="A482" t="s">
        <v>555</v>
      </c>
      <c r="B482" t="s">
        <v>419</v>
      </c>
      <c r="C482" s="8">
        <v>0</v>
      </c>
      <c r="D482" t="str">
        <f>VLOOKUP(Tabulation!$B482,Constants!$A:$C,2,FALSE)</f>
        <v>Communication In</v>
      </c>
      <c r="E482" t="str">
        <f>VLOOKUP(Tabulation!$B482,Constants!$A:$C,3,FALSE)</f>
        <v>Medium Volume</v>
      </c>
    </row>
    <row r="483" spans="1:5">
      <c r="A483" t="s">
        <v>555</v>
      </c>
      <c r="B483" t="s">
        <v>420</v>
      </c>
      <c r="C483" s="8">
        <v>0</v>
      </c>
      <c r="D483" t="str">
        <f>VLOOKUP(Tabulation!$B483,Constants!$A:$C,2,FALSE)</f>
        <v>Configuration</v>
      </c>
      <c r="E483" t="str">
        <f>VLOOKUP(Tabulation!$B483,Constants!$A:$C,3,FALSE)</f>
        <v>Medium Volume</v>
      </c>
    </row>
    <row r="484" spans="1:5">
      <c r="A484" t="s">
        <v>555</v>
      </c>
      <c r="B484" t="s">
        <v>422</v>
      </c>
      <c r="C484" s="8">
        <v>0</v>
      </c>
      <c r="D484" t="str">
        <f>VLOOKUP(Tabulation!$B484,Constants!$A:$C,2,FALSE)</f>
        <v>Configuration Report</v>
      </c>
      <c r="E484" t="str">
        <f>VLOOKUP(Tabulation!$B484,Constants!$A:$C,3,FALSE)</f>
        <v>Medium Volume</v>
      </c>
    </row>
    <row r="485" spans="1:5">
      <c r="A485" t="s">
        <v>555</v>
      </c>
      <c r="B485" t="s">
        <v>424</v>
      </c>
      <c r="C485" s="8">
        <v>98478</v>
      </c>
      <c r="D485" t="str">
        <f>VLOOKUP(Tabulation!$B485,Constants!$A:$C,2,FALSE)</f>
        <v>Contact</v>
      </c>
      <c r="E485" t="str">
        <f>VLOOKUP(Tabulation!$B485,Constants!$A:$C,3,FALSE)</f>
        <v>Medium Volume</v>
      </c>
    </row>
    <row r="486" spans="1:5">
      <c r="A486" t="s">
        <v>555</v>
      </c>
      <c r="B486" t="s">
        <v>425</v>
      </c>
      <c r="C486" s="8">
        <v>0</v>
      </c>
      <c r="D486" t="str">
        <f>VLOOKUP(Tabulation!$B486,Constants!$A:$C,2,FALSE)</f>
        <v>Crew</v>
      </c>
      <c r="E486" t="str">
        <f>VLOOKUP(Tabulation!$B486,Constants!$A:$C,3,FALSE)</f>
        <v>Medium Volume</v>
      </c>
    </row>
    <row r="487" spans="1:5">
      <c r="A487" t="s">
        <v>555</v>
      </c>
      <c r="B487" t="s">
        <v>427</v>
      </c>
      <c r="C487" s="8">
        <v>0</v>
      </c>
      <c r="D487" t="str">
        <f>VLOOKUP(Tabulation!$B487,Constants!$A:$C,2,FALSE)</f>
        <v>Crew Shift</v>
      </c>
      <c r="E487" t="str">
        <f>VLOOKUP(Tabulation!$B487,Constants!$A:$C,3,FALSE)</f>
        <v>Medium Volume</v>
      </c>
    </row>
    <row r="488" spans="1:5">
      <c r="A488" t="s">
        <v>555</v>
      </c>
      <c r="B488" t="s">
        <v>429</v>
      </c>
      <c r="C488" s="8">
        <v>0</v>
      </c>
      <c r="D488" t="str">
        <f>VLOOKUP(Tabulation!$B488,Constants!$A:$C,2,FALSE)</f>
        <v>Compatible Unit</v>
      </c>
      <c r="E488" t="str">
        <f>VLOOKUP(Tabulation!$B488,Constants!$A:$C,3,FALSE)</f>
        <v>Medium Volume</v>
      </c>
    </row>
    <row r="489" spans="1:5">
      <c r="A489" t="s">
        <v>555</v>
      </c>
      <c r="B489" t="s">
        <v>431</v>
      </c>
      <c r="C489" s="8">
        <v>0</v>
      </c>
      <c r="D489" t="str">
        <f>VLOOKUP(Tabulation!$B489,Constants!$A:$C,2,FALSE)</f>
        <v>CU Contractor Bid</v>
      </c>
      <c r="E489" t="str">
        <f>VLOOKUP(Tabulation!$B489,Constants!$A:$C,3,FALSE)</f>
        <v>Medium Volume</v>
      </c>
    </row>
    <row r="490" spans="1:5">
      <c r="A490" t="s">
        <v>555</v>
      </c>
      <c r="B490" t="s">
        <v>433</v>
      </c>
      <c r="C490" s="8">
        <v>0</v>
      </c>
      <c r="D490" t="str">
        <f>VLOOKUP(Tabulation!$B490,Constants!$A:$C,2,FALSE)</f>
        <v>Design Element</v>
      </c>
      <c r="E490" t="str">
        <f>VLOOKUP(Tabulation!$B490,Constants!$A:$C,3,FALSE)</f>
        <v>Medium Volume</v>
      </c>
    </row>
    <row r="491" spans="1:5">
      <c r="A491" t="s">
        <v>555</v>
      </c>
      <c r="B491" t="s">
        <v>435</v>
      </c>
      <c r="C491" s="8">
        <v>0</v>
      </c>
      <c r="D491" t="str">
        <f>VLOOKUP(Tabulation!$B491,Constants!$A:$C,2,FALSE)</f>
        <v>Document</v>
      </c>
      <c r="E491" t="str">
        <f>VLOOKUP(Tabulation!$B491,Constants!$A:$C,3,FALSE)</f>
        <v>Medium Volume</v>
      </c>
    </row>
    <row r="492" spans="1:5">
      <c r="A492" t="s">
        <v>555</v>
      </c>
      <c r="B492" t="s">
        <v>437</v>
      </c>
      <c r="C492" s="8">
        <v>0</v>
      </c>
      <c r="D492" t="str">
        <f>VLOOKUP(Tabulation!$B492,Constants!$A:$C,2,FALSE)</f>
        <v>Employee</v>
      </c>
      <c r="E492" t="str">
        <f>VLOOKUP(Tabulation!$B492,Constants!$A:$C,3,FALSE)</f>
        <v>Medium Volume</v>
      </c>
    </row>
    <row r="493" spans="1:5">
      <c r="A493" t="s">
        <v>555</v>
      </c>
      <c r="B493" t="s">
        <v>439</v>
      </c>
      <c r="C493" s="8">
        <v>0</v>
      </c>
      <c r="D493" t="str">
        <f>VLOOKUP(Tabulation!$B493,Constants!$A:$C,2,FALSE)</f>
        <v>Employee Unavailability</v>
      </c>
      <c r="E493" t="str">
        <f>VLOOKUP(Tabulation!$B493,Constants!$A:$C,3,FALSE)</f>
        <v>Medium Volume</v>
      </c>
    </row>
    <row r="494" spans="1:5">
      <c r="A494" t="s">
        <v>555</v>
      </c>
      <c r="B494" t="s">
        <v>441</v>
      </c>
      <c r="C494" s="8">
        <v>0</v>
      </c>
      <c r="D494" t="str">
        <f>VLOOKUP(Tabulation!$B494,Constants!$A:$C,2,FALSE)</f>
        <v>Expedite Purchase Order</v>
      </c>
      <c r="E494" t="str">
        <f>VLOOKUP(Tabulation!$B494,Constants!$A:$C,3,FALSE)</f>
        <v>High Volume</v>
      </c>
    </row>
    <row r="495" spans="1:5">
      <c r="A495" t="s">
        <v>555</v>
      </c>
      <c r="B495" t="s">
        <v>443</v>
      </c>
      <c r="C495" s="8">
        <v>0</v>
      </c>
      <c r="D495" t="str">
        <f>VLOOKUP(Tabulation!$B495,Constants!$A:$C,2,FALSE)</f>
        <v>Financial Transaction</v>
      </c>
      <c r="E495" t="str">
        <f>VLOOKUP(Tabulation!$B495,Constants!$A:$C,3,FALSE)</f>
        <v>Medium Volume</v>
      </c>
    </row>
    <row r="496" spans="1:5">
      <c r="A496" t="s">
        <v>555</v>
      </c>
      <c r="B496" t="s">
        <v>444</v>
      </c>
      <c r="C496" s="8">
        <v>0</v>
      </c>
      <c r="D496" t="str">
        <f>VLOOKUP(Tabulation!$B496,Constants!$A:$C,2,FALSE)</f>
        <v>Invoice Group</v>
      </c>
      <c r="E496" t="str">
        <f>VLOOKUP(Tabulation!$B496,Constants!$A:$C,3,FALSE)</f>
        <v>Medium Volume</v>
      </c>
    </row>
    <row r="497" spans="1:5">
      <c r="A497" t="s">
        <v>555</v>
      </c>
      <c r="B497" t="s">
        <v>446</v>
      </c>
      <c r="C497" s="8">
        <v>0</v>
      </c>
      <c r="D497" t="str">
        <f>VLOOKUP(Tabulation!$B497,Constants!$A:$C,2,FALSE)</f>
        <v>Invoice Header</v>
      </c>
      <c r="E497" t="str">
        <f>VLOOKUP(Tabulation!$B497,Constants!$A:$C,3,FALSE)</f>
        <v>Medium Volume</v>
      </c>
    </row>
    <row r="498" spans="1:5">
      <c r="A498" t="s">
        <v>555</v>
      </c>
      <c r="B498" t="s">
        <v>448</v>
      </c>
      <c r="C498" s="8">
        <v>0</v>
      </c>
      <c r="D498" t="str">
        <f>VLOOKUP(Tabulation!$B498,Constants!$A:$C,2,FALSE)</f>
        <v>Invoice Line</v>
      </c>
      <c r="E498" t="str">
        <f>VLOOKUP(Tabulation!$B498,Constants!$A:$C,3,FALSE)</f>
        <v>Medium Volume</v>
      </c>
    </row>
    <row r="499" spans="1:5">
      <c r="A499" t="s">
        <v>555</v>
      </c>
      <c r="B499" t="s">
        <v>450</v>
      </c>
      <c r="C499" s="8">
        <v>0</v>
      </c>
      <c r="D499" t="str">
        <f>VLOOKUP(Tabulation!$B499,Constants!$A:$C,2,FALSE)</f>
        <v>Inventory Adjustment</v>
      </c>
      <c r="E499" t="str">
        <f>VLOOKUP(Tabulation!$B499,Constants!$A:$C,3,FALSE)</f>
        <v>Medium Volume</v>
      </c>
    </row>
    <row r="500" spans="1:5">
      <c r="A500" t="s">
        <v>555</v>
      </c>
      <c r="B500" t="s">
        <v>452</v>
      </c>
      <c r="C500" s="8">
        <v>0</v>
      </c>
      <c r="D500" t="str">
        <f>VLOOKUP(Tabulation!$B500,Constants!$A:$C,2,FALSE)</f>
        <v>Maintenance Event</v>
      </c>
      <c r="E500" t="str">
        <f>VLOOKUP(Tabulation!$B500,Constants!$A:$C,3,FALSE)</f>
        <v>Medium Volume</v>
      </c>
    </row>
    <row r="501" spans="1:5">
      <c r="A501" t="s">
        <v>555</v>
      </c>
      <c r="B501" t="s">
        <v>454</v>
      </c>
      <c r="C501" s="8">
        <v>0</v>
      </c>
      <c r="D501" t="str">
        <f>VLOOKUP(Tabulation!$B501,Constants!$A:$C,2,FALSE)</f>
        <v>Maintenance Schedule</v>
      </c>
      <c r="E501" t="str">
        <f>VLOOKUP(Tabulation!$B501,Constants!$A:$C,3,FALSE)</f>
        <v>Medium Volume</v>
      </c>
    </row>
    <row r="502" spans="1:5">
      <c r="A502" t="s">
        <v>555</v>
      </c>
      <c r="B502" t="s">
        <v>456</v>
      </c>
      <c r="C502" s="8">
        <v>0</v>
      </c>
      <c r="D502" t="str">
        <f>VLOOKUP(Tabulation!$B502,Constants!$A:$C,2,FALSE)</f>
        <v>Maintenance Trigger</v>
      </c>
      <c r="E502" t="str">
        <f>VLOOKUP(Tabulation!$B502,Constants!$A:$C,3,FALSE)</f>
        <v>Medium Volume</v>
      </c>
    </row>
    <row r="503" spans="1:5">
      <c r="A503" t="s">
        <v>555</v>
      </c>
      <c r="B503" t="s">
        <v>458</v>
      </c>
      <c r="C503" s="8">
        <v>0</v>
      </c>
      <c r="D503" t="str">
        <f>VLOOKUP(Tabulation!$B503,Constants!$A:$C,2,FALSE)</f>
        <v>Material Disposition</v>
      </c>
      <c r="E503" t="str">
        <f>VLOOKUP(Tabulation!$B503,Constants!$A:$C,3,FALSE)</f>
        <v>Medium Volume</v>
      </c>
    </row>
    <row r="504" spans="1:5">
      <c r="A504" t="s">
        <v>555</v>
      </c>
      <c r="B504" t="s">
        <v>460</v>
      </c>
      <c r="C504" s="8">
        <v>0</v>
      </c>
      <c r="D504" t="str">
        <f>VLOOKUP(Tabulation!$B504,Constants!$A:$C,2,FALSE)</f>
        <v>Material Issue Line</v>
      </c>
      <c r="E504" t="str">
        <f>VLOOKUP(Tabulation!$B504,Constants!$A:$C,3,FALSE)</f>
        <v>Medium Volume</v>
      </c>
    </row>
    <row r="505" spans="1:5">
      <c r="A505" t="s">
        <v>555</v>
      </c>
      <c r="B505" t="s">
        <v>462</v>
      </c>
      <c r="C505" s="8">
        <v>0</v>
      </c>
      <c r="D505" t="str">
        <f>VLOOKUP(Tabulation!$B505,Constants!$A:$C,2,FALSE)</f>
        <v>Material Request Header</v>
      </c>
      <c r="E505" t="str">
        <f>VLOOKUP(Tabulation!$B505,Constants!$A:$C,3,FALSE)</f>
        <v>Medium Volume</v>
      </c>
    </row>
    <row r="506" spans="1:5">
      <c r="A506" t="s">
        <v>555</v>
      </c>
      <c r="B506" t="s">
        <v>464</v>
      </c>
      <c r="C506" s="8">
        <v>0</v>
      </c>
      <c r="D506" t="str">
        <f>VLOOKUP(Tabulation!$B506,Constants!$A:$C,2,FALSE)</f>
        <v>Material Request Line</v>
      </c>
      <c r="E506" t="str">
        <f>VLOOKUP(Tabulation!$B506,Constants!$A:$C,3,FALSE)</f>
        <v>Medium Volume</v>
      </c>
    </row>
    <row r="507" spans="1:5">
      <c r="A507" t="s">
        <v>555</v>
      </c>
      <c r="B507" t="s">
        <v>466</v>
      </c>
      <c r="C507" s="8">
        <v>0</v>
      </c>
      <c r="D507" t="str">
        <f>VLOOKUP(Tabulation!$B507,Constants!$A:$C,2,FALSE)</f>
        <v>Material Request Template</v>
      </c>
      <c r="E507" t="str">
        <f>VLOOKUP(Tabulation!$B507,Constants!$A:$C,3,FALSE)</f>
        <v>Medium Volume</v>
      </c>
    </row>
    <row r="508" spans="1:5">
      <c r="A508" t="s">
        <v>555</v>
      </c>
      <c r="B508" t="s">
        <v>468</v>
      </c>
      <c r="C508" s="8">
        <v>0</v>
      </c>
      <c r="D508" t="str">
        <f>VLOOKUP(Tabulation!$B508,Constants!$A:$C,2,FALSE)</f>
        <v>Material Return Header</v>
      </c>
      <c r="E508" t="str">
        <f>VLOOKUP(Tabulation!$B508,Constants!$A:$C,3,FALSE)</f>
        <v>Medium Volume</v>
      </c>
    </row>
    <row r="509" spans="1:5">
      <c r="A509" t="s">
        <v>555</v>
      </c>
      <c r="B509" t="s">
        <v>470</v>
      </c>
      <c r="C509" s="8">
        <v>0</v>
      </c>
      <c r="D509" t="str">
        <f>VLOOKUP(Tabulation!$B509,Constants!$A:$C,2,FALSE)</f>
        <v>Material Return Line</v>
      </c>
      <c r="E509" t="str">
        <f>VLOOKUP(Tabulation!$B509,Constants!$A:$C,3,FALSE)</f>
        <v>Medium Volume</v>
      </c>
    </row>
    <row r="510" spans="1:5">
      <c r="A510" t="s">
        <v>555</v>
      </c>
      <c r="B510" t="s">
        <v>472</v>
      </c>
      <c r="C510" s="8">
        <v>0</v>
      </c>
      <c r="D510" t="str">
        <f>VLOOKUP(Tabulation!$B510,Constants!$A:$C,2,FALSE)</f>
        <v>Measurement</v>
      </c>
      <c r="E510" t="str">
        <f>VLOOKUP(Tabulation!$B510,Constants!$A:$C,3,FALSE)</f>
        <v>Medium Volume</v>
      </c>
    </row>
    <row r="511" spans="1:5">
      <c r="A511" t="s">
        <v>555</v>
      </c>
      <c r="B511" t="s">
        <v>473</v>
      </c>
      <c r="C511" s="8">
        <v>0</v>
      </c>
      <c r="D511" t="str">
        <f>VLOOKUP(Tabulation!$B511,Constants!$A:$C,2,FALSE)</f>
        <v>Mobile Subscription</v>
      </c>
      <c r="E511" t="str">
        <f>VLOOKUP(Tabulation!$B511,Constants!$A:$C,3,FALSE)</f>
        <v>Medium Volume</v>
      </c>
    </row>
    <row r="512" spans="1:5">
      <c r="A512" t="s">
        <v>555</v>
      </c>
      <c r="B512" t="s">
        <v>475</v>
      </c>
      <c r="C512" s="8">
        <v>226787</v>
      </c>
      <c r="D512" t="str">
        <f>VLOOKUP(Tabulation!$B512,Constants!$A:$C,2,FALSE)</f>
        <v>Location/Organization</v>
      </c>
      <c r="E512" t="str">
        <f>VLOOKUP(Tabulation!$B512,Constants!$A:$C,3,FALSE)</f>
        <v>Medium Volume</v>
      </c>
    </row>
    <row r="513" spans="1:5">
      <c r="A513" t="s">
        <v>555</v>
      </c>
      <c r="B513" t="s">
        <v>477</v>
      </c>
      <c r="C513" s="8">
        <v>0</v>
      </c>
      <c r="D513" t="str">
        <f>VLOOKUP(Tabulation!$B513,Constants!$A:$C,2,FALSE)</f>
        <v>Other Direct Charges</v>
      </c>
      <c r="E513" t="str">
        <f>VLOOKUP(Tabulation!$B513,Constants!$A:$C,3,FALSE)</f>
        <v>Medium Volume</v>
      </c>
    </row>
    <row r="514" spans="1:5">
      <c r="A514" t="s">
        <v>555</v>
      </c>
      <c r="B514" t="s">
        <v>479</v>
      </c>
      <c r="C514" s="8">
        <v>0</v>
      </c>
      <c r="D514" t="str">
        <f>VLOOKUP(Tabulation!$B514,Constants!$A:$C,2,FALSE)</f>
        <v>Other Direct Charges Detail</v>
      </c>
      <c r="E514" t="str">
        <f>VLOOKUP(Tabulation!$B514,Constants!$A:$C,3,FALSE)</f>
        <v>Medium Volume</v>
      </c>
    </row>
    <row r="515" spans="1:5">
      <c r="A515" t="s">
        <v>555</v>
      </c>
      <c r="B515" t="s">
        <v>481</v>
      </c>
      <c r="C515" s="8">
        <v>0</v>
      </c>
      <c r="D515" t="str">
        <f>VLOOKUP(Tabulation!$B515,Constants!$A:$C,2,FALSE)</f>
        <v>Permit</v>
      </c>
      <c r="E515" t="str">
        <f>VLOOKUP(Tabulation!$B515,Constants!$A:$C,3,FALSE)</f>
        <v>Medium Volume</v>
      </c>
    </row>
    <row r="516" spans="1:5">
      <c r="A516" t="s">
        <v>555</v>
      </c>
      <c r="B516" t="s">
        <v>483</v>
      </c>
      <c r="C516" s="8">
        <v>0</v>
      </c>
      <c r="D516" t="str">
        <f>VLOOKUP(Tabulation!$B516,Constants!$A:$C,2,FALSE)</f>
        <v>Physical Inventory Count Line</v>
      </c>
      <c r="E516" t="str">
        <f>VLOOKUP(Tabulation!$B516,Constants!$A:$C,3,FALSE)</f>
        <v>Medium Volume</v>
      </c>
    </row>
    <row r="517" spans="1:5">
      <c r="A517" t="s">
        <v>555</v>
      </c>
      <c r="B517" t="s">
        <v>485</v>
      </c>
      <c r="C517" s="8">
        <v>0</v>
      </c>
      <c r="D517" t="str">
        <f>VLOOKUP(Tabulation!$B517,Constants!$A:$C,2,FALSE)</f>
        <v>Physical Inventory Count Master</v>
      </c>
      <c r="E517" t="str">
        <f>VLOOKUP(Tabulation!$B517,Constants!$A:$C,3,FALSE)</f>
        <v>Medium Volume</v>
      </c>
    </row>
    <row r="518" spans="1:5">
      <c r="A518" t="s">
        <v>555</v>
      </c>
      <c r="B518" t="s">
        <v>487</v>
      </c>
      <c r="C518" s="8">
        <v>0</v>
      </c>
      <c r="D518" t="str">
        <f>VLOOKUP(Tabulation!$B518,Constants!$A:$C,2,FALSE)</f>
        <v>Physical Inventory Header</v>
      </c>
      <c r="E518" t="str">
        <f>VLOOKUP(Tabulation!$B518,Constants!$A:$C,3,FALSE)</f>
        <v>Medium Volume</v>
      </c>
    </row>
    <row r="519" spans="1:5">
      <c r="A519" t="s">
        <v>555</v>
      </c>
      <c r="B519" t="s">
        <v>489</v>
      </c>
      <c r="C519" s="8">
        <v>0</v>
      </c>
      <c r="D519" t="str">
        <f>VLOOKUP(Tabulation!$B519,Constants!$A:$C,2,FALSE)</f>
        <v>Purchase Order Header</v>
      </c>
      <c r="E519" t="str">
        <f>VLOOKUP(Tabulation!$B519,Constants!$A:$C,3,FALSE)</f>
        <v>Medium Volume</v>
      </c>
    </row>
    <row r="520" spans="1:5">
      <c r="A520" t="s">
        <v>555</v>
      </c>
      <c r="B520" t="s">
        <v>491</v>
      </c>
      <c r="C520" s="8">
        <v>0</v>
      </c>
      <c r="D520" t="str">
        <f>VLOOKUP(Tabulation!$B520,Constants!$A:$C,2,FALSE)</f>
        <v>Purchase Order Line</v>
      </c>
      <c r="E520" t="str">
        <f>VLOOKUP(Tabulation!$B520,Constants!$A:$C,3,FALSE)</f>
        <v>Medium Volume</v>
      </c>
    </row>
    <row r="521" spans="1:5">
      <c r="A521" t="s">
        <v>555</v>
      </c>
      <c r="B521" t="s">
        <v>493</v>
      </c>
      <c r="C521" s="8">
        <v>0</v>
      </c>
      <c r="D521" t="str">
        <f>VLOOKUP(Tabulation!$B521,Constants!$A:$C,2,FALSE)</f>
        <v>Functional Process</v>
      </c>
      <c r="E521" t="str">
        <f>VLOOKUP(Tabulation!$B521,Constants!$A:$C,3,FALSE)</f>
        <v>Medium Volume</v>
      </c>
    </row>
    <row r="522" spans="1:5">
      <c r="A522" t="s">
        <v>555</v>
      </c>
      <c r="B522" t="s">
        <v>495</v>
      </c>
      <c r="C522" s="8">
        <v>0</v>
      </c>
      <c r="D522" t="str">
        <f>VLOOKUP(Tabulation!$B522,Constants!$A:$C,2,FALSE)</f>
        <v>Project</v>
      </c>
      <c r="E522" t="str">
        <f>VLOOKUP(Tabulation!$B522,Constants!$A:$C,3,FALSE)</f>
        <v>Medium Volume</v>
      </c>
    </row>
    <row r="523" spans="1:5">
      <c r="A523" t="s">
        <v>555</v>
      </c>
      <c r="B523" t="s">
        <v>497</v>
      </c>
      <c r="C523" s="8">
        <v>0</v>
      </c>
      <c r="D523" t="str">
        <f>VLOOKUP(Tabulation!$B523,Constants!$A:$C,2,FALSE)</f>
        <v>Purchase Requisition Header</v>
      </c>
      <c r="E523" t="str">
        <f>VLOOKUP(Tabulation!$B523,Constants!$A:$C,3,FALSE)</f>
        <v>Medium Volume</v>
      </c>
    </row>
    <row r="524" spans="1:5">
      <c r="A524" t="s">
        <v>555</v>
      </c>
      <c r="B524" t="s">
        <v>499</v>
      </c>
      <c r="C524" s="8">
        <v>0</v>
      </c>
      <c r="D524" t="str">
        <f>VLOOKUP(Tabulation!$B524,Constants!$A:$C,2,FALSE)</f>
        <v>Purchase Requisition Line</v>
      </c>
      <c r="E524" t="str">
        <f>VLOOKUP(Tabulation!$B524,Constants!$A:$C,3,FALSE)</f>
        <v>Medium Volume</v>
      </c>
    </row>
    <row r="525" spans="1:5">
      <c r="A525" t="s">
        <v>555</v>
      </c>
      <c r="B525" t="s">
        <v>501</v>
      </c>
      <c r="C525" s="8">
        <v>0</v>
      </c>
      <c r="D525" t="str">
        <f>VLOOKUP(Tabulation!$B525,Constants!$A:$C,2,FALSE)</f>
        <v>Receipt Header</v>
      </c>
      <c r="E525" t="str">
        <f>VLOOKUP(Tabulation!$B525,Constants!$A:$C,3,FALSE)</f>
        <v>Medium Volume</v>
      </c>
    </row>
    <row r="526" spans="1:5">
      <c r="A526" t="s">
        <v>555</v>
      </c>
      <c r="B526" t="s">
        <v>503</v>
      </c>
      <c r="C526" s="8">
        <v>0</v>
      </c>
      <c r="D526" t="str">
        <f>VLOOKUP(Tabulation!$B526,Constants!$A:$C,2,FALSE)</f>
        <v>Receipt Line</v>
      </c>
      <c r="E526" t="str">
        <f>VLOOKUP(Tabulation!$B526,Constants!$A:$C,3,FALSE)</f>
        <v>Medium Volume</v>
      </c>
    </row>
    <row r="527" spans="1:5">
      <c r="A527" t="s">
        <v>555</v>
      </c>
      <c r="B527" t="s">
        <v>505</v>
      </c>
      <c r="C527" s="8">
        <v>0</v>
      </c>
      <c r="D527" t="str">
        <f>VLOOKUP(Tabulation!$B527,Constants!$A:$C,2,FALSE)</f>
        <v>Report Queue</v>
      </c>
      <c r="E527" t="str">
        <f>VLOOKUP(Tabulation!$B527,Constants!$A:$C,3,FALSE)</f>
        <v>Medium Volume</v>
      </c>
    </row>
    <row r="528" spans="1:5">
      <c r="A528" t="s">
        <v>555</v>
      </c>
      <c r="B528" t="s">
        <v>507</v>
      </c>
      <c r="C528" s="8">
        <v>0</v>
      </c>
      <c r="D528" t="str">
        <f>VLOOKUP(Tabulation!$B528,Constants!$A:$C,2,FALSE)</f>
        <v>Resource Type</v>
      </c>
      <c r="E528" t="str">
        <f>VLOOKUP(Tabulation!$B528,Constants!$A:$C,3,FALSE)</f>
        <v>Medium Volume</v>
      </c>
    </row>
    <row r="529" spans="1:5">
      <c r="A529" t="s">
        <v>555</v>
      </c>
      <c r="B529" t="s">
        <v>509</v>
      </c>
      <c r="C529" s="8">
        <v>0</v>
      </c>
      <c r="D529" t="str">
        <f>VLOOKUP(Tabulation!$B529,Constants!$A:$C,2,FALSE)</f>
        <v>Reorder Review</v>
      </c>
      <c r="E529" t="str">
        <f>VLOOKUP(Tabulation!$B529,Constants!$A:$C,3,FALSE)</f>
        <v>Medium Volume</v>
      </c>
    </row>
    <row r="530" spans="1:5">
      <c r="A530" t="s">
        <v>555</v>
      </c>
      <c r="B530" t="s">
        <v>511</v>
      </c>
      <c r="C530" s="8">
        <v>0</v>
      </c>
      <c r="D530" t="str">
        <f>VLOOKUP(Tabulation!$B530,Constants!$A:$C,2,FALSE)</f>
        <v>Return Line</v>
      </c>
      <c r="E530" t="str">
        <f>VLOOKUP(Tabulation!$B530,Constants!$A:$C,3,FALSE)</f>
        <v>Medium Volume</v>
      </c>
    </row>
    <row r="531" spans="1:5">
      <c r="A531" t="s">
        <v>555</v>
      </c>
      <c r="B531" t="s">
        <v>513</v>
      </c>
      <c r="C531" s="8">
        <v>0</v>
      </c>
      <c r="D531" t="str">
        <f>VLOOKUP(Tabulation!$B531,Constants!$A:$C,2,FALSE)</f>
        <v>Shift Weekly Template</v>
      </c>
      <c r="E531" t="str">
        <f>VLOOKUP(Tabulation!$B531,Constants!$A:$C,3,FALSE)</f>
        <v>Medium Volume</v>
      </c>
    </row>
    <row r="532" spans="1:5">
      <c r="A532" t="s">
        <v>555</v>
      </c>
      <c r="B532" t="s">
        <v>515</v>
      </c>
      <c r="C532" s="8">
        <v>0</v>
      </c>
      <c r="D532" t="str">
        <f>VLOOKUP(Tabulation!$B532,Constants!$A:$C,2,FALSE)</f>
        <v>Shipping Line</v>
      </c>
      <c r="E532" t="str">
        <f>VLOOKUP(Tabulation!$B532,Constants!$A:$C,3,FALSE)</f>
        <v>Medium Volume</v>
      </c>
    </row>
    <row r="533" spans="1:5">
      <c r="A533" t="s">
        <v>555</v>
      </c>
      <c r="B533" t="s">
        <v>517</v>
      </c>
      <c r="C533" s="8">
        <v>0</v>
      </c>
      <c r="D533" t="str">
        <f>VLOOKUP(Tabulation!$B533,Constants!$A:$C,2,FALSE)</f>
        <v>Shipping Memo</v>
      </c>
      <c r="E533" t="str">
        <f>VLOOKUP(Tabulation!$B533,Constants!$A:$C,3,FALSE)</f>
        <v>Medium Volume</v>
      </c>
    </row>
    <row r="534" spans="1:5">
      <c r="A534" t="s">
        <v>555</v>
      </c>
      <c r="B534" t="s">
        <v>519</v>
      </c>
      <c r="C534" s="8">
        <v>0</v>
      </c>
      <c r="D534" t="str">
        <f>VLOOKUP(Tabulation!$B534,Constants!$A:$C,2,FALSE)</f>
        <v>Stock Item Detail</v>
      </c>
      <c r="E534" t="str">
        <f>VLOOKUP(Tabulation!$B534,Constants!$A:$C,3,FALSE)</f>
        <v>Medium Volume</v>
      </c>
    </row>
    <row r="535" spans="1:5">
      <c r="A535" t="s">
        <v>555</v>
      </c>
      <c r="B535" t="s">
        <v>521</v>
      </c>
      <c r="C535" s="8">
        <v>0</v>
      </c>
      <c r="D535" t="str">
        <f>VLOOKUP(Tabulation!$B535,Constants!$A:$C,2,FALSE)</f>
        <v>Stock Transaction</v>
      </c>
      <c r="E535" t="str">
        <f>VLOOKUP(Tabulation!$B535,Constants!$A:$C,3,FALSE)</f>
        <v>Medium Volume</v>
      </c>
    </row>
    <row r="536" spans="1:5">
      <c r="A536" t="s">
        <v>555</v>
      </c>
      <c r="B536" t="s">
        <v>523</v>
      </c>
      <c r="C536" s="8">
        <v>0</v>
      </c>
      <c r="D536" t="str">
        <f>VLOOKUP(Tabulation!$B536,Constants!$A:$C,2,FALSE)</f>
        <v>Service History</v>
      </c>
      <c r="E536" t="str">
        <f>VLOOKUP(Tabulation!$B536,Constants!$A:$C,3,FALSE)</f>
        <v>Medium Volume</v>
      </c>
    </row>
    <row r="537" spans="1:5">
      <c r="A537" t="s">
        <v>555</v>
      </c>
      <c r="B537" t="s">
        <v>525</v>
      </c>
      <c r="C537" s="8">
        <v>0</v>
      </c>
      <c r="D537" t="str">
        <f>VLOOKUP(Tabulation!$B537,Constants!$A:$C,2,FALSE)</f>
        <v>Timesheet</v>
      </c>
      <c r="E537" t="str">
        <f>VLOOKUP(Tabulation!$B537,Constants!$A:$C,3,FALSE)</f>
        <v>Medium Volume</v>
      </c>
    </row>
    <row r="538" spans="1:5">
      <c r="A538" t="s">
        <v>555</v>
      </c>
      <c r="B538" t="s">
        <v>527</v>
      </c>
      <c r="C538" s="8">
        <v>0</v>
      </c>
      <c r="D538" t="str">
        <f>VLOOKUP(Tabulation!$B538,Constants!$A:$C,2,FALSE)</f>
        <v>Timesheet Detail</v>
      </c>
      <c r="E538" t="str">
        <f>VLOOKUP(Tabulation!$B538,Constants!$A:$C,3,FALSE)</f>
        <v>Medium Volume</v>
      </c>
    </row>
    <row r="539" spans="1:5">
      <c r="A539" t="s">
        <v>555</v>
      </c>
      <c r="B539" t="s">
        <v>529</v>
      </c>
      <c r="C539" s="8">
        <v>0</v>
      </c>
      <c r="D539" t="str">
        <f>VLOOKUP(Tabulation!$B539,Constants!$A:$C,2,FALSE)</f>
        <v>Template Activity</v>
      </c>
      <c r="E539" t="str">
        <f>VLOOKUP(Tabulation!$B539,Constants!$A:$C,3,FALSE)</f>
        <v>Medium Volume</v>
      </c>
    </row>
    <row r="540" spans="1:5">
      <c r="A540" t="s">
        <v>555</v>
      </c>
      <c r="B540" t="s">
        <v>531</v>
      </c>
      <c r="C540" s="8">
        <v>0</v>
      </c>
      <c r="D540" t="str">
        <f>VLOOKUP(Tabulation!$B540,Constants!$A:$C,2,FALSE)</f>
        <v>Template Activity Resource</v>
      </c>
      <c r="E540" t="str">
        <f>VLOOKUP(Tabulation!$B540,Constants!$A:$C,3,FALSE)</f>
        <v>Medium Volume</v>
      </c>
    </row>
    <row r="541" spans="1:5">
      <c r="A541" t="s">
        <v>555</v>
      </c>
      <c r="B541" t="s">
        <v>533</v>
      </c>
      <c r="C541" s="8">
        <v>0</v>
      </c>
      <c r="D541" t="str">
        <f>VLOOKUP(Tabulation!$B541,Constants!$A:$C,2,FALSE)</f>
        <v>Template Work Order</v>
      </c>
      <c r="E541" t="str">
        <f>VLOOKUP(Tabulation!$B541,Constants!$A:$C,3,FALSE)</f>
        <v>Medium Volume</v>
      </c>
    </row>
    <row r="542" spans="1:5">
      <c r="A542" t="s">
        <v>555</v>
      </c>
      <c r="B542" t="s">
        <v>535</v>
      </c>
      <c r="C542" s="8">
        <v>0</v>
      </c>
      <c r="D542" t="str">
        <f>VLOOKUP(Tabulation!$B542,Constants!$A:$C,2,FALSE)</f>
        <v>Vendor</v>
      </c>
      <c r="E542" t="str">
        <f>VLOOKUP(Tabulation!$B542,Constants!$A:$C,3,FALSE)</f>
        <v>Medium Volume</v>
      </c>
    </row>
    <row r="543" spans="1:5">
      <c r="A543" t="s">
        <v>555</v>
      </c>
      <c r="B543" t="s">
        <v>537</v>
      </c>
      <c r="C543" s="8">
        <v>0</v>
      </c>
      <c r="D543" t="str">
        <f>VLOOKUP(Tabulation!$B543,Constants!$A:$C,2,FALSE)</f>
        <v>Vendor Location</v>
      </c>
      <c r="E543" t="str">
        <f>VLOOKUP(Tabulation!$B543,Constants!$A:$C,3,FALSE)</f>
        <v>Medium Volume</v>
      </c>
    </row>
    <row r="544" spans="1:5">
      <c r="A544" t="s">
        <v>555</v>
      </c>
      <c r="B544" t="s">
        <v>539</v>
      </c>
      <c r="C544" s="8">
        <v>0</v>
      </c>
      <c r="D544" t="str">
        <f>VLOOKUP(Tabulation!$B544,Constants!$A:$C,2,FALSE)</f>
        <v>Warranty</v>
      </c>
      <c r="E544" t="str">
        <f>VLOOKUP(Tabulation!$B544,Constants!$A:$C,3,FALSE)</f>
        <v>Medium Volume</v>
      </c>
    </row>
    <row r="545" spans="1:5">
      <c r="A545" t="s">
        <v>555</v>
      </c>
      <c r="B545" t="s">
        <v>541</v>
      </c>
      <c r="C545" s="8">
        <v>0</v>
      </c>
      <c r="D545" t="str">
        <f>VLOOKUP(Tabulation!$B545,Constants!$A:$C,2,FALSE)</f>
        <v>Work Order</v>
      </c>
      <c r="E545" t="str">
        <f>VLOOKUP(Tabulation!$B545,Constants!$A:$C,3,FALSE)</f>
        <v>Medium Volume</v>
      </c>
    </row>
    <row r="546" spans="1:5">
      <c r="A546" t="s">
        <v>555</v>
      </c>
      <c r="B546" t="s">
        <v>543</v>
      </c>
      <c r="C546" s="8">
        <v>0</v>
      </c>
      <c r="D546" t="str">
        <f>VLOOKUP(Tabulation!$B546,Constants!$A:$C,2,FALSE)</f>
        <v>Work Design</v>
      </c>
      <c r="E546" t="str">
        <f>VLOOKUP(Tabulation!$B546,Constants!$A:$C,3,FALSE)</f>
        <v>Medium Volume</v>
      </c>
    </row>
    <row r="547" spans="1:5">
      <c r="A547" t="s">
        <v>555</v>
      </c>
      <c r="B547" t="s">
        <v>545</v>
      </c>
      <c r="C547" s="8">
        <v>0</v>
      </c>
      <c r="D547" t="str">
        <f>VLOOKUP(Tabulation!$B547,Constants!$A:$C,2,FALSE)</f>
        <v>Work Location</v>
      </c>
      <c r="E547" t="str">
        <f>VLOOKUP(Tabulation!$B547,Constants!$A:$C,3,FALSE)</f>
        <v>Medium Volume</v>
      </c>
    </row>
    <row r="548" spans="1:5">
      <c r="A548" t="s">
        <v>555</v>
      </c>
      <c r="B548" t="s">
        <v>547</v>
      </c>
      <c r="C548" s="8">
        <v>0</v>
      </c>
      <c r="D548" t="str">
        <f>VLOOKUP(Tabulation!$B548,Constants!$A:$C,2,FALSE)</f>
        <v>Work Request</v>
      </c>
      <c r="E548" t="str">
        <f>VLOOKUP(Tabulation!$B548,Constants!$A:$C,3,FALSE)</f>
        <v>Medium Volume</v>
      </c>
    </row>
    <row r="549" spans="1:5">
      <c r="A549" t="s">
        <v>556</v>
      </c>
      <c r="B549" t="s">
        <v>3</v>
      </c>
      <c r="C549" s="8">
        <v>0</v>
      </c>
      <c r="D549" t="str">
        <f>VLOOKUP(Tabulation!$B549,Constants!$A:$C,2,FALSE)</f>
        <v>Financial Transaction GL Monthly Aggregate</v>
      </c>
      <c r="E549" t="str">
        <f>VLOOKUP(Tabulation!$B549,Constants!$A:$C,3,FALSE)</f>
        <v>Medium Volume</v>
      </c>
    </row>
    <row r="550" spans="1:5">
      <c r="A550" t="s">
        <v>556</v>
      </c>
      <c r="B550" t="s">
        <v>6</v>
      </c>
      <c r="C550" s="8">
        <v>0</v>
      </c>
      <c r="D550" t="str">
        <f>VLOOKUP(Tabulation!$B550,Constants!$A:$C,2,FALSE)</f>
        <v>Financial Transaction Monthly Aggregate</v>
      </c>
      <c r="E550" t="str">
        <f>VLOOKUP(Tabulation!$B550,Constants!$A:$C,3,FALSE)</f>
        <v>Medium Volume</v>
      </c>
    </row>
    <row r="551" spans="1:5">
      <c r="A551" t="s">
        <v>556</v>
      </c>
      <c r="B551" t="s">
        <v>8</v>
      </c>
      <c r="C551" s="8">
        <v>500256</v>
      </c>
      <c r="D551" t="str">
        <f>VLOOKUP(Tabulation!$B551,Constants!$A:$C,2,FALSE)</f>
        <v>SA Arrears Snapshot</v>
      </c>
      <c r="E551" t="str">
        <f>VLOOKUP(Tabulation!$B551,Constants!$A:$C,3,FALSE)</f>
        <v>Medium Volume</v>
      </c>
    </row>
    <row r="552" spans="1:5">
      <c r="A552" t="s">
        <v>556</v>
      </c>
      <c r="B552" t="s">
        <v>10</v>
      </c>
      <c r="C552" s="8">
        <v>0</v>
      </c>
      <c r="D552" t="str">
        <f>VLOOKUP(Tabulation!$B552,Constants!$A:$C,2,FALSE)</f>
        <v>Consumer Contract</v>
      </c>
      <c r="E552" t="str">
        <f>VLOOKUP(Tabulation!$B552,Constants!$A:$C,3,FALSE)</f>
        <v>Medium Volume</v>
      </c>
    </row>
    <row r="553" spans="1:5">
      <c r="A553" t="s">
        <v>556</v>
      </c>
      <c r="B553" t="s">
        <v>12</v>
      </c>
      <c r="C553" s="8">
        <v>7504</v>
      </c>
      <c r="D553" t="str">
        <f>VLOOKUP(Tabulation!$B553,Constants!$A:$C,2,FALSE)</f>
        <v>Customer Service Request</v>
      </c>
      <c r="E553" t="str">
        <f>VLOOKUP(Tabulation!$B553,Constants!$A:$C,3,FALSE)</f>
        <v>Medium Volume</v>
      </c>
    </row>
    <row r="554" spans="1:5">
      <c r="A554" t="s">
        <v>556</v>
      </c>
      <c r="B554" t="s">
        <v>14</v>
      </c>
      <c r="C554" s="8">
        <v>6151</v>
      </c>
      <c r="D554" t="str">
        <f>VLOOKUP(Tabulation!$B554,Constants!$A:$C,2,FALSE)</f>
        <v>Customer Service Request Account</v>
      </c>
      <c r="E554" t="str">
        <f>VLOOKUP(Tabulation!$B554,Constants!$A:$C,3,FALSE)</f>
        <v>Medium Volume</v>
      </c>
    </row>
    <row r="555" spans="1:5">
      <c r="A555" t="s">
        <v>556</v>
      </c>
      <c r="B555" t="s">
        <v>16</v>
      </c>
      <c r="C555" s="8">
        <v>0</v>
      </c>
      <c r="D555" t="str">
        <f>VLOOKUP(Tabulation!$B555,Constants!$A:$C,2,FALSE)</f>
        <v>Customer Service Request Consumer Contract</v>
      </c>
      <c r="E555" t="str">
        <f>VLOOKUP(Tabulation!$B555,Constants!$A:$C,3,FALSE)</f>
        <v>Medium Volume</v>
      </c>
    </row>
    <row r="556" spans="1:5">
      <c r="A556" t="s">
        <v>556</v>
      </c>
      <c r="B556" t="s">
        <v>18</v>
      </c>
      <c r="C556" s="8">
        <v>0</v>
      </c>
      <c r="D556" t="str">
        <f>VLOOKUP(Tabulation!$B556,Constants!$A:$C,2,FALSE)</f>
        <v>Customer Service Request Contract Product</v>
      </c>
      <c r="E556" t="str">
        <f>VLOOKUP(Tabulation!$B556,Constants!$A:$C,3,FALSE)</f>
        <v>Medium Volume</v>
      </c>
    </row>
    <row r="557" spans="1:5">
      <c r="A557" t="s">
        <v>556</v>
      </c>
      <c r="B557" t="s">
        <v>20</v>
      </c>
      <c r="C557" s="8">
        <v>5557</v>
      </c>
      <c r="D557" t="str">
        <f>VLOOKUP(Tabulation!$B557,Constants!$A:$C,2,FALSE)</f>
        <v>Customer Service Request Person</v>
      </c>
      <c r="E557" t="str">
        <f>VLOOKUP(Tabulation!$B557,Constants!$A:$C,3,FALSE)</f>
        <v>Medium Volume</v>
      </c>
    </row>
    <row r="558" spans="1:5">
      <c r="A558" t="s">
        <v>556</v>
      </c>
      <c r="B558" t="s">
        <v>22</v>
      </c>
      <c r="C558" s="8">
        <v>5421</v>
      </c>
      <c r="D558" t="str">
        <f>VLOOKUP(Tabulation!$B558,Constants!$A:$C,2,FALSE)</f>
        <v>Customer Service Request Premise</v>
      </c>
      <c r="E558" t="str">
        <f>VLOOKUP(Tabulation!$B558,Constants!$A:$C,3,FALSE)</f>
        <v>Medium Volume</v>
      </c>
    </row>
    <row r="559" spans="1:5">
      <c r="A559" t="s">
        <v>556</v>
      </c>
      <c r="B559" t="s">
        <v>24</v>
      </c>
      <c r="C559" s="8">
        <v>18037</v>
      </c>
      <c r="D559" t="str">
        <f>VLOOKUP(Tabulation!$B559,Constants!$A:$C,2,FALSE)</f>
        <v>Customer Service Request SA</v>
      </c>
      <c r="E559" t="str">
        <f>VLOOKUP(Tabulation!$B559,Constants!$A:$C,3,FALSE)</f>
        <v>Medium Volume</v>
      </c>
    </row>
    <row r="560" spans="1:5">
      <c r="A560" t="s">
        <v>556</v>
      </c>
      <c r="B560" t="s">
        <v>26</v>
      </c>
      <c r="C560" s="8">
        <v>0</v>
      </c>
      <c r="D560" t="str">
        <f>VLOOKUP(Tabulation!$B560,Constants!$A:$C,2,FALSE)</f>
        <v>Customer Service Request Service Location</v>
      </c>
      <c r="E560" t="str">
        <f>VLOOKUP(Tabulation!$B560,Constants!$A:$C,3,FALSE)</f>
        <v>Medium Volume</v>
      </c>
    </row>
    <row r="561" spans="1:5">
      <c r="A561" t="s">
        <v>556</v>
      </c>
      <c r="B561" t="s">
        <v>28</v>
      </c>
      <c r="C561" s="8">
        <v>0</v>
      </c>
      <c r="D561" t="str">
        <f>VLOOKUP(Tabulation!$B561,Constants!$A:$C,2,FALSE)</f>
        <v>Customer Relationship Request</v>
      </c>
      <c r="E561" t="str">
        <f>VLOOKUP(Tabulation!$B561,Constants!$A:$C,3,FALSE)</f>
        <v>Medium Volume</v>
      </c>
    </row>
    <row r="562" spans="1:5">
      <c r="A562" t="s">
        <v>556</v>
      </c>
      <c r="B562" t="s">
        <v>30</v>
      </c>
      <c r="C562" s="8">
        <v>0</v>
      </c>
      <c r="D562" t="str">
        <f>VLOOKUP(Tabulation!$B562,Constants!$A:$C,2,FALSE)</f>
        <v>Lead</v>
      </c>
      <c r="E562" t="str">
        <f>VLOOKUP(Tabulation!$B562,Constants!$A:$C,3,FALSE)</f>
        <v>Medium Volume</v>
      </c>
    </row>
    <row r="563" spans="1:5">
      <c r="A563" t="s">
        <v>556</v>
      </c>
      <c r="B563" t="s">
        <v>32</v>
      </c>
      <c r="C563" s="8">
        <v>0</v>
      </c>
      <c r="D563" t="str">
        <f>VLOOKUP(Tabulation!$B563,Constants!$A:$C,2,FALSE)</f>
        <v>Lead Event</v>
      </c>
      <c r="E563" t="str">
        <f>VLOOKUP(Tabulation!$B563,Constants!$A:$C,3,FALSE)</f>
        <v>Medium Volume</v>
      </c>
    </row>
    <row r="564" spans="1:5">
      <c r="A564" t="s">
        <v>556</v>
      </c>
      <c r="B564" t="s">
        <v>34</v>
      </c>
      <c r="C564" s="8">
        <v>0</v>
      </c>
      <c r="D564" t="str">
        <f>VLOOKUP(Tabulation!$B564,Constants!$A:$C,2,FALSE)</f>
        <v>Market Charge</v>
      </c>
      <c r="E564" t="str">
        <f>VLOOKUP(Tabulation!$B564,Constants!$A:$C,3,FALSE)</f>
        <v>Medium Volume</v>
      </c>
    </row>
    <row r="565" spans="1:5">
      <c r="A565" t="s">
        <v>556</v>
      </c>
      <c r="B565" t="s">
        <v>36</v>
      </c>
      <c r="C565" s="8">
        <v>0</v>
      </c>
      <c r="D565" t="str">
        <f>VLOOKUP(Tabulation!$B565,Constants!$A:$C,2,FALSE)</f>
        <v>Market Payment</v>
      </c>
      <c r="E565" t="str">
        <f>VLOOKUP(Tabulation!$B565,Constants!$A:$C,3,FALSE)</f>
        <v>Medium Volume</v>
      </c>
    </row>
    <row r="566" spans="1:5">
      <c r="A566" t="s">
        <v>556</v>
      </c>
      <c r="B566" t="s">
        <v>38</v>
      </c>
      <c r="C566" s="8">
        <v>0</v>
      </c>
      <c r="D566" t="str">
        <f>VLOOKUP(Tabulation!$B566,Constants!$A:$C,2,FALSE)</f>
        <v>Market Usage</v>
      </c>
      <c r="E566" t="str">
        <f>VLOOKUP(Tabulation!$B566,Constants!$A:$C,3,FALSE)</f>
        <v>Medium Volume</v>
      </c>
    </row>
    <row r="567" spans="1:5">
      <c r="A567" t="s">
        <v>556</v>
      </c>
      <c r="B567" t="s">
        <v>40</v>
      </c>
      <c r="C567" s="8">
        <v>0</v>
      </c>
      <c r="D567" t="str">
        <f>VLOOKUP(Tabulation!$B567,Constants!$A:$C,2,FALSE)</f>
        <v>Registration Point</v>
      </c>
      <c r="E567" t="str">
        <f>VLOOKUP(Tabulation!$B567,Constants!$A:$C,3,FALSE)</f>
        <v>Medium Volume</v>
      </c>
    </row>
    <row r="568" spans="1:5">
      <c r="A568" t="s">
        <v>556</v>
      </c>
      <c r="B568" t="s">
        <v>42</v>
      </c>
      <c r="C568" s="8">
        <v>0</v>
      </c>
      <c r="D568" t="str">
        <f>VLOOKUP(Tabulation!$B568,Constants!$A:$C,2,FALSE)</f>
        <v>Communication Preference</v>
      </c>
      <c r="E568" t="str">
        <f>VLOOKUP(Tabulation!$B568,Constants!$A:$C,3,FALSE)</f>
        <v>Medium Volume</v>
      </c>
    </row>
    <row r="569" spans="1:5">
      <c r="A569" t="s">
        <v>556</v>
      </c>
      <c r="B569" t="s">
        <v>44</v>
      </c>
      <c r="C569" s="8">
        <v>36816</v>
      </c>
      <c r="D569" t="str">
        <f>VLOOKUP(Tabulation!$B569,Constants!$A:$C,2,FALSE)</f>
        <v>Off Cycle Bill Generator</v>
      </c>
      <c r="E569" t="str">
        <f>VLOOKUP(Tabulation!$B569,Constants!$A:$C,3,FALSE)</f>
        <v>Medium Volume</v>
      </c>
    </row>
    <row r="570" spans="1:5">
      <c r="A570" t="s">
        <v>556</v>
      </c>
      <c r="B570" t="s">
        <v>46</v>
      </c>
      <c r="C570" s="8">
        <v>0</v>
      </c>
      <c r="D570" t="str">
        <f>VLOOKUP(Tabulation!$B570,Constants!$A:$C,2,FALSE)</f>
        <v>Payment Arrangement Request</v>
      </c>
      <c r="E570" t="str">
        <f>VLOOKUP(Tabulation!$B570,Constants!$A:$C,3,FALSE)</f>
        <v>Medium Volume</v>
      </c>
    </row>
    <row r="571" spans="1:5">
      <c r="A571" t="s">
        <v>556</v>
      </c>
      <c r="B571" t="s">
        <v>50</v>
      </c>
      <c r="C571" s="8">
        <v>445035</v>
      </c>
      <c r="D571" t="str">
        <f>VLOOKUP(Tabulation!$B571,Constants!$A:$C,2,FALSE)</f>
        <v>Usage</v>
      </c>
      <c r="E571" t="str">
        <f>VLOOKUP(Tabulation!$B571,Constants!$A:$C,3,FALSE)</f>
        <v>Medium Volume</v>
      </c>
    </row>
    <row r="572" spans="1:5">
      <c r="A572" t="s">
        <v>556</v>
      </c>
      <c r="B572" t="s">
        <v>52</v>
      </c>
      <c r="C572" s="8">
        <v>0</v>
      </c>
      <c r="D572" t="str">
        <f>VLOOKUP(Tabulation!$B572,Constants!$A:$C,2,FALSE)</f>
        <v>Web User</v>
      </c>
      <c r="E572" t="str">
        <f>VLOOKUP(Tabulation!$B572,Constants!$A:$C,3,FALSE)</f>
        <v>Medium Volume</v>
      </c>
    </row>
    <row r="573" spans="1:5">
      <c r="A573" t="s">
        <v>556</v>
      </c>
      <c r="B573" t="s">
        <v>54</v>
      </c>
      <c r="C573" s="8">
        <v>0</v>
      </c>
      <c r="D573" t="str">
        <f>VLOOKUP(Tabulation!$B573,Constants!$A:$C,2,FALSE)</f>
        <v>Web User Account</v>
      </c>
      <c r="E573" t="str">
        <f>VLOOKUP(Tabulation!$B573,Constants!$A:$C,3,FALSE)</f>
        <v>Medium Volume</v>
      </c>
    </row>
    <row r="574" spans="1:5">
      <c r="A574" t="s">
        <v>556</v>
      </c>
      <c r="B574" t="s">
        <v>56</v>
      </c>
      <c r="C574" s="8">
        <v>90087</v>
      </c>
      <c r="D574" t="str">
        <f>VLOOKUP(Tabulation!$B574,Constants!$A:$C,2,FALSE)</f>
        <v>Account</v>
      </c>
      <c r="E574" t="str">
        <f>VLOOKUP(Tabulation!$B574,Constants!$A:$C,3,FALSE)</f>
        <v>Medium Volume</v>
      </c>
    </row>
    <row r="575" spans="1:5">
      <c r="A575" t="s">
        <v>556</v>
      </c>
      <c r="B575" t="s">
        <v>58</v>
      </c>
      <c r="C575" s="8">
        <v>328670</v>
      </c>
      <c r="D575" t="str">
        <f>VLOOKUP(Tabulation!$B575,Constants!$A:$C,2,FALSE)</f>
        <v>Adjustment</v>
      </c>
      <c r="E575" t="str">
        <f>VLOOKUP(Tabulation!$B575,Constants!$A:$C,3,FALSE)</f>
        <v>Medium Volume</v>
      </c>
    </row>
    <row r="576" spans="1:5">
      <c r="A576" t="s">
        <v>556</v>
      </c>
      <c r="B576" t="s">
        <v>60</v>
      </c>
      <c r="C576" s="8">
        <v>1</v>
      </c>
      <c r="D576" t="str">
        <f>VLOOKUP(Tabulation!$B576,Constants!$A:$C,2,FALSE)</f>
        <v>Adjustment Staging Control</v>
      </c>
      <c r="E576" t="str">
        <f>VLOOKUP(Tabulation!$B576,Constants!$A:$C,3,FALSE)</f>
        <v>Medium Volume</v>
      </c>
    </row>
    <row r="577" spans="1:5">
      <c r="A577" t="s">
        <v>556</v>
      </c>
      <c r="B577" t="s">
        <v>62</v>
      </c>
      <c r="C577" s="8">
        <v>1452</v>
      </c>
      <c r="D577" t="str">
        <f>VLOOKUP(Tabulation!$B577,Constants!$A:$C,2,FALSE)</f>
        <v>Adjustment Upload</v>
      </c>
      <c r="E577" t="str">
        <f>VLOOKUP(Tabulation!$B577,Constants!$A:$C,3,FALSE)</f>
        <v>Medium Volume</v>
      </c>
    </row>
    <row r="578" spans="1:5">
      <c r="A578" t="s">
        <v>556</v>
      </c>
      <c r="B578" t="s">
        <v>64</v>
      </c>
      <c r="C578" s="8">
        <v>0</v>
      </c>
      <c r="D578" t="str">
        <f>VLOOKUP(Tabulation!$B578,Constants!$A:$C,2,FALSE)</f>
        <v>Activity Request</v>
      </c>
      <c r="E578" t="str">
        <f>VLOOKUP(Tabulation!$B578,Constants!$A:$C,3,FALSE)</f>
        <v>Medium Volume</v>
      </c>
    </row>
    <row r="579" spans="1:5">
      <c r="A579" t="s">
        <v>556</v>
      </c>
      <c r="B579" t="s">
        <v>66</v>
      </c>
      <c r="C579" s="8">
        <v>8818</v>
      </c>
      <c r="D579" t="str">
        <f>VLOOKUP(Tabulation!$B579,Constants!$A:$C,2,FALSE)</f>
        <v>Approval Request</v>
      </c>
      <c r="E579" t="str">
        <f>VLOOKUP(Tabulation!$B579,Constants!$A:$C,3,FALSE)</f>
        <v>Medium Volume</v>
      </c>
    </row>
    <row r="580" spans="1:5">
      <c r="A580" t="s">
        <v>556</v>
      </c>
      <c r="B580" t="s">
        <v>68</v>
      </c>
      <c r="C580" s="8">
        <v>0</v>
      </c>
      <c r="D580" t="str">
        <f>VLOOKUP(Tabulation!$B580,Constants!$A:$C,2,FALSE)</f>
        <v>Audit</v>
      </c>
      <c r="E580" t="str">
        <f>VLOOKUP(Tabulation!$B580,Constants!$A:$C,3,FALSE)</f>
        <v>Medium Volume</v>
      </c>
    </row>
    <row r="581" spans="1:5">
      <c r="A581" t="s">
        <v>556</v>
      </c>
      <c r="B581" t="s">
        <v>70</v>
      </c>
      <c r="C581" s="8">
        <v>15</v>
      </c>
      <c r="D581" t="str">
        <f>VLOOKUP(Tabulation!$B581,Constants!$A:$C,2,FALSE)</f>
        <v>Balance Control Group</v>
      </c>
      <c r="E581" t="str">
        <f>VLOOKUP(Tabulation!$B581,Constants!$A:$C,3,FALSE)</f>
        <v>Medium Volume</v>
      </c>
    </row>
    <row r="582" spans="1:5">
      <c r="A582" t="s">
        <v>556</v>
      </c>
      <c r="B582" t="s">
        <v>72</v>
      </c>
      <c r="C582" s="8">
        <v>1329</v>
      </c>
      <c r="D582" t="str">
        <f>VLOOKUP(Tabulation!$B582,Constants!$A:$C,2,FALSE)</f>
        <v>Batch Job Ad-Hoc Queues</v>
      </c>
      <c r="E582" t="str">
        <f>VLOOKUP(Tabulation!$B582,Constants!$A:$C,3,FALSE)</f>
        <v>Medium Volume</v>
      </c>
    </row>
    <row r="583" spans="1:5">
      <c r="A583" t="s">
        <v>556</v>
      </c>
      <c r="B583" t="s">
        <v>74</v>
      </c>
      <c r="C583" s="8">
        <v>394785</v>
      </c>
      <c r="D583" t="str">
        <f>VLOOKUP(Tabulation!$B583,Constants!$A:$C,2,FALSE)</f>
        <v>Batch Run</v>
      </c>
      <c r="E583" t="str">
        <f>VLOOKUP(Tabulation!$B583,Constants!$A:$C,3,FALSE)</f>
        <v>Medium Volume</v>
      </c>
    </row>
    <row r="584" spans="1:5">
      <c r="A584" t="s">
        <v>556</v>
      </c>
      <c r="B584" t="s">
        <v>76</v>
      </c>
      <c r="C584" s="8">
        <v>0</v>
      </c>
      <c r="D584" t="str">
        <f>VLOOKUP(Tabulation!$B584,Constants!$A:$C,2,FALSE)</f>
        <v>Billable Charge Upload</v>
      </c>
      <c r="E584" t="str">
        <f>VLOOKUP(Tabulation!$B584,Constants!$A:$C,3,FALSE)</f>
        <v>Medium Volume</v>
      </c>
    </row>
    <row r="585" spans="1:5">
      <c r="A585" t="s">
        <v>556</v>
      </c>
      <c r="B585" t="s">
        <v>78</v>
      </c>
      <c r="C585" s="8">
        <v>538151</v>
      </c>
      <c r="D585" t="str">
        <f>VLOOKUP(Tabulation!$B585,Constants!$A:$C,2,FALSE)</f>
        <v>Bill Header</v>
      </c>
      <c r="E585" t="str">
        <f>VLOOKUP(Tabulation!$B585,Constants!$A:$C,3,FALSE)</f>
        <v>Medium Volume</v>
      </c>
    </row>
    <row r="586" spans="1:5">
      <c r="A586" t="s">
        <v>556</v>
      </c>
      <c r="B586" t="s">
        <v>80</v>
      </c>
      <c r="C586" s="8">
        <v>18110</v>
      </c>
      <c r="D586" t="str">
        <f>VLOOKUP(Tabulation!$B586,Constants!$A:$C,2,FALSE)</f>
        <v>Billable Charge</v>
      </c>
      <c r="E586" t="str">
        <f>VLOOKUP(Tabulation!$B586,Constants!$A:$C,3,FALSE)</f>
        <v>Medium Volume</v>
      </c>
    </row>
    <row r="587" spans="1:5">
      <c r="A587" t="s">
        <v>556</v>
      </c>
      <c r="B587" t="s">
        <v>82</v>
      </c>
      <c r="C587" s="8">
        <v>0</v>
      </c>
      <c r="D587" t="str">
        <f>VLOOKUP(Tabulation!$B587,Constants!$A:$C,2,FALSE)</f>
        <v>Bill Review Schedule</v>
      </c>
      <c r="E587" t="str">
        <f>VLOOKUP(Tabulation!$B587,Constants!$A:$C,3,FALSE)</f>
        <v>Medium Volume</v>
      </c>
    </row>
    <row r="588" spans="1:5">
      <c r="A588" t="s">
        <v>556</v>
      </c>
      <c r="B588" t="s">
        <v>84</v>
      </c>
      <c r="C588" s="8">
        <v>0</v>
      </c>
      <c r="D588" t="str">
        <f>VLOOKUP(Tabulation!$B588,Constants!$A:$C,2,FALSE)</f>
        <v>Bill Print Group</v>
      </c>
      <c r="E588" t="str">
        <f>VLOOKUP(Tabulation!$B588,Constants!$A:$C,3,FALSE)</f>
        <v>Medium Volume</v>
      </c>
    </row>
    <row r="589" spans="1:5">
      <c r="A589" t="s">
        <v>556</v>
      </c>
      <c r="B589" t="s">
        <v>86</v>
      </c>
      <c r="C589" s="8">
        <v>1836637</v>
      </c>
      <c r="D589" t="str">
        <f>VLOOKUP(Tabulation!$B589,Constants!$A:$C,2,FALSE)</f>
        <v>Bill Segment</v>
      </c>
      <c r="E589" t="str">
        <f>VLOOKUP(Tabulation!$B589,Constants!$A:$C,3,FALSE)</f>
        <v>Medium Volume</v>
      </c>
    </row>
    <row r="590" spans="1:5">
      <c r="A590" t="s">
        <v>556</v>
      </c>
      <c r="B590" t="s">
        <v>88</v>
      </c>
      <c r="C590" s="8">
        <v>978</v>
      </c>
      <c r="D590" t="str">
        <f>VLOOKUP(Tabulation!$B590,Constants!$A:$C,2,FALSE)</f>
        <v>Budget Review</v>
      </c>
      <c r="E590" t="str">
        <f>VLOOKUP(Tabulation!$B590,Constants!$A:$C,3,FALSE)</f>
        <v>Medium Volume</v>
      </c>
    </row>
    <row r="591" spans="1:5">
      <c r="A591" t="s">
        <v>556</v>
      </c>
      <c r="B591" t="s">
        <v>90</v>
      </c>
      <c r="C591" s="8">
        <v>0</v>
      </c>
      <c r="D591" t="str">
        <f>VLOOKUP(Tabulation!$B591,Constants!$A:$C,2,FALSE)</f>
        <v>Case</v>
      </c>
      <c r="E591" t="str">
        <f>VLOOKUP(Tabulation!$B591,Constants!$A:$C,3,FALSE)</f>
        <v>Medium Volume</v>
      </c>
    </row>
    <row r="592" spans="1:5">
      <c r="A592" t="s">
        <v>556</v>
      </c>
      <c r="B592" t="s">
        <v>92</v>
      </c>
      <c r="C592" s="8">
        <v>96066</v>
      </c>
      <c r="D592" t="str">
        <f>VLOOKUP(Tabulation!$B592,Constants!$A:$C,2,FALSE)</f>
        <v>Customer Contact</v>
      </c>
      <c r="E592" t="str">
        <f>VLOOKUP(Tabulation!$B592,Constants!$A:$C,3,FALSE)</f>
        <v>Medium Volume</v>
      </c>
    </row>
    <row r="593" spans="1:5">
      <c r="A593" t="s">
        <v>556</v>
      </c>
      <c r="B593" t="s">
        <v>94</v>
      </c>
      <c r="C593" s="8">
        <v>2213</v>
      </c>
      <c r="D593" t="str">
        <f>VLOOKUP(Tabulation!$B593,Constants!$A:$C,2,FALSE)</f>
        <v>Collection Agency Referral</v>
      </c>
      <c r="E593" t="str">
        <f>VLOOKUP(Tabulation!$B593,Constants!$A:$C,3,FALSE)</f>
        <v>Medium Volume</v>
      </c>
    </row>
    <row r="594" spans="1:5">
      <c r="A594" t="s">
        <v>556</v>
      </c>
      <c r="B594" t="s">
        <v>96</v>
      </c>
      <c r="C594" s="8">
        <v>32502</v>
      </c>
      <c r="D594" t="str">
        <f>VLOOKUP(Tabulation!$B594,Constants!$A:$C,2,FALSE)</f>
        <v>Collection Process</v>
      </c>
      <c r="E594" t="str">
        <f>VLOOKUP(Tabulation!$B594,Constants!$A:$C,3,FALSE)</f>
        <v>Medium Volume</v>
      </c>
    </row>
    <row r="595" spans="1:5">
      <c r="A595" t="s">
        <v>556</v>
      </c>
      <c r="B595" t="s">
        <v>98</v>
      </c>
      <c r="C595" s="8">
        <v>0</v>
      </c>
      <c r="D595" t="str">
        <f>VLOOKUP(Tabulation!$B595,Constants!$A:$C,2,FALSE)</f>
        <v xml:space="preserve">Contract Option  </v>
      </c>
      <c r="E595" t="str">
        <f>VLOOKUP(Tabulation!$B595,Constants!$A:$C,3,FALSE)</f>
        <v>Medium Volume</v>
      </c>
    </row>
    <row r="596" spans="1:5">
      <c r="A596" t="s">
        <v>556</v>
      </c>
      <c r="B596" t="s">
        <v>100</v>
      </c>
      <c r="C596" s="8">
        <v>0</v>
      </c>
      <c r="D596" t="str">
        <f>VLOOKUP(Tabulation!$B596,Constants!$A:$C,2,FALSE)</f>
        <v>Contract Option Event</v>
      </c>
      <c r="E596" t="str">
        <f>VLOOKUP(Tabulation!$B596,Constants!$A:$C,3,FALSE)</f>
        <v>Medium Volume</v>
      </c>
    </row>
    <row r="597" spans="1:5">
      <c r="A597" t="s">
        <v>556</v>
      </c>
      <c r="B597" t="s">
        <v>102</v>
      </c>
      <c r="C597" s="8">
        <v>0</v>
      </c>
      <c r="D597" t="str">
        <f>VLOOKUP(Tabulation!$B597,Constants!$A:$C,2,FALSE)</f>
        <v>Cut Process</v>
      </c>
      <c r="E597" t="str">
        <f>VLOOKUP(Tabulation!$B597,Constants!$A:$C,3,FALSE)</f>
        <v>Medium Volume</v>
      </c>
    </row>
    <row r="598" spans="1:5">
      <c r="A598" t="s">
        <v>556</v>
      </c>
      <c r="B598" t="s">
        <v>104</v>
      </c>
      <c r="C598" s="8">
        <v>0</v>
      </c>
      <c r="D598" t="str">
        <f>VLOOKUP(Tabulation!$B598,Constants!$A:$C,2,FALSE)</f>
        <v>Declaration</v>
      </c>
      <c r="E598" t="str">
        <f>VLOOKUP(Tabulation!$B598,Constants!$A:$C,3,FALSE)</f>
        <v>Medium Volume</v>
      </c>
    </row>
    <row r="599" spans="1:5">
      <c r="A599" t="s">
        <v>556</v>
      </c>
      <c r="B599" t="s">
        <v>106</v>
      </c>
      <c r="C599" s="8">
        <v>1421</v>
      </c>
      <c r="D599" t="str">
        <f>VLOOKUP(Tabulation!$B599,Constants!$A:$C,2,FALSE)</f>
        <v>Deposit Control</v>
      </c>
      <c r="E599" t="str">
        <f>VLOOKUP(Tabulation!$B599,Constants!$A:$C,3,FALSE)</f>
        <v>Medium Volume</v>
      </c>
    </row>
    <row r="600" spans="1:5">
      <c r="A600" t="s">
        <v>556</v>
      </c>
      <c r="B600" t="s">
        <v>108</v>
      </c>
      <c r="C600" s="8">
        <v>53</v>
      </c>
      <c r="D600" t="str">
        <f>VLOOKUP(Tabulation!$B600,Constants!$A:$C,2,FALSE)</f>
        <v>Deposit Control Staging</v>
      </c>
      <c r="E600" t="str">
        <f>VLOOKUP(Tabulation!$B600,Constants!$A:$C,3,FALSE)</f>
        <v>Medium Volume</v>
      </c>
    </row>
    <row r="601" spans="1:5">
      <c r="A601" t="s">
        <v>556</v>
      </c>
      <c r="B601" t="s">
        <v>110</v>
      </c>
      <c r="C601" s="8">
        <v>0</v>
      </c>
      <c r="D601" t="str">
        <f>VLOOKUP(Tabulation!$B601,Constants!$A:$C,2,FALSE)</f>
        <v>Deposit Review</v>
      </c>
      <c r="E601" t="str">
        <f>VLOOKUP(Tabulation!$B601,Constants!$A:$C,3,FALSE)</f>
        <v>Medium Volume</v>
      </c>
    </row>
    <row r="602" spans="1:5">
      <c r="A602" t="s">
        <v>556</v>
      </c>
      <c r="B602" t="s">
        <v>112</v>
      </c>
      <c r="C602" s="8">
        <v>0</v>
      </c>
      <c r="D602" t="str">
        <f>VLOOKUP(Tabulation!$B602,Constants!$A:$C,2,FALSE)</f>
        <v>Device Test</v>
      </c>
      <c r="E602" t="str">
        <f>VLOOKUP(Tabulation!$B602,Constants!$A:$C,3,FALSE)</f>
        <v>Medium Volume</v>
      </c>
    </row>
    <row r="603" spans="1:5">
      <c r="A603" t="s">
        <v>556</v>
      </c>
      <c r="B603" t="s">
        <v>114</v>
      </c>
      <c r="C603" s="8">
        <v>0</v>
      </c>
      <c r="D603" t="str">
        <f>VLOOKUP(Tabulation!$B603,Constants!$A:$C,2,FALSE)</f>
        <v>Device Test Selection</v>
      </c>
      <c r="E603" t="str">
        <f>VLOOKUP(Tabulation!$B603,Constants!$A:$C,3,FALSE)</f>
        <v>Medium Volume</v>
      </c>
    </row>
    <row r="604" spans="1:5">
      <c r="A604" t="s">
        <v>556</v>
      </c>
      <c r="B604" t="s">
        <v>116</v>
      </c>
      <c r="C604" s="8">
        <v>0</v>
      </c>
      <c r="D604" t="str">
        <f>VLOOKUP(Tabulation!$B604,Constants!$A:$C,2,FALSE)</f>
        <v>Order</v>
      </c>
      <c r="E604" t="str">
        <f>VLOOKUP(Tabulation!$B604,Constants!$A:$C,3,FALSE)</f>
        <v>Medium Volume</v>
      </c>
    </row>
    <row r="605" spans="1:5">
      <c r="A605" t="s">
        <v>556</v>
      </c>
      <c r="B605" t="s">
        <v>118</v>
      </c>
      <c r="C605" s="8">
        <v>38063</v>
      </c>
      <c r="D605" t="str">
        <f>VLOOKUP(Tabulation!$B605,Constants!$A:$C,2,FALSE)</f>
        <v>Field Activity</v>
      </c>
      <c r="E605" t="str">
        <f>VLOOKUP(Tabulation!$B605,Constants!$A:$C,3,FALSE)</f>
        <v>Medium Volume</v>
      </c>
    </row>
    <row r="606" spans="1:5">
      <c r="A606" t="s">
        <v>556</v>
      </c>
      <c r="B606" t="s">
        <v>120</v>
      </c>
      <c r="C606" s="8">
        <v>0</v>
      </c>
      <c r="D606" t="str">
        <f>VLOOKUP(Tabulation!$B606,Constants!$A:$C,2,FALSE)</f>
        <v>FA Upload Staging</v>
      </c>
      <c r="E606" t="str">
        <f>VLOOKUP(Tabulation!$B606,Constants!$A:$C,3,FALSE)</f>
        <v>Medium Volume</v>
      </c>
    </row>
    <row r="607" spans="1:5">
      <c r="A607" t="s">
        <v>556</v>
      </c>
      <c r="B607" t="s">
        <v>122</v>
      </c>
      <c r="C607" s="8">
        <v>0</v>
      </c>
      <c r="D607" t="str">
        <f>VLOOKUP(Tabulation!$B607,Constants!$A:$C,2,FALSE)</f>
        <v>Field Order</v>
      </c>
      <c r="E607" t="str">
        <f>VLOOKUP(Tabulation!$B607,Constants!$A:$C,3,FALSE)</f>
        <v>Medium Volume</v>
      </c>
    </row>
    <row r="608" spans="1:5">
      <c r="A608" t="s">
        <v>556</v>
      </c>
      <c r="B608" t="s">
        <v>124</v>
      </c>
      <c r="C608" s="8">
        <v>0</v>
      </c>
      <c r="D608" t="str">
        <f>VLOOKUP(Tabulation!$B608,Constants!$A:$C,2,FALSE)</f>
        <v>Field Order Download Staging</v>
      </c>
      <c r="E608" t="str">
        <f>VLOOKUP(Tabulation!$B608,Constants!$A:$C,3,FALSE)</f>
        <v>Medium Volume</v>
      </c>
    </row>
    <row r="609" spans="1:5">
      <c r="A609" t="s">
        <v>556</v>
      </c>
      <c r="B609" t="s">
        <v>126</v>
      </c>
      <c r="C609" s="8">
        <v>3985463</v>
      </c>
      <c r="D609" t="str">
        <f>VLOOKUP(Tabulation!$B609,Constants!$A:$C,2,FALSE)</f>
        <v>Financial Transaction</v>
      </c>
      <c r="E609" t="str">
        <f>VLOOKUP(Tabulation!$B609,Constants!$A:$C,3,FALSE)</f>
        <v>Medium Volume</v>
      </c>
    </row>
    <row r="610" spans="1:5">
      <c r="A610" t="s">
        <v>556</v>
      </c>
      <c r="B610" t="s">
        <v>128</v>
      </c>
      <c r="C610" s="8">
        <v>0</v>
      </c>
      <c r="D610" t="str">
        <f>VLOOKUP(Tabulation!$B610,Constants!$A:$C,2,FALSE)</f>
        <v>Interval Data Set</v>
      </c>
      <c r="E610" t="str">
        <f>VLOOKUP(Tabulation!$B610,Constants!$A:$C,3,FALSE)</f>
        <v>Medium Volume</v>
      </c>
    </row>
    <row r="611" spans="1:5">
      <c r="A611" t="s">
        <v>556</v>
      </c>
      <c r="B611" t="s">
        <v>130</v>
      </c>
      <c r="C611" s="8">
        <v>0</v>
      </c>
      <c r="D611" t="str">
        <f>VLOOKUP(Tabulation!$B611,Constants!$A:$C,2,FALSE)</f>
        <v>Interval Data Profile</v>
      </c>
      <c r="E611" t="str">
        <f>VLOOKUP(Tabulation!$B611,Constants!$A:$C,3,FALSE)</f>
        <v>Medium Volume</v>
      </c>
    </row>
    <row r="612" spans="1:5">
      <c r="A612" t="s">
        <v>556</v>
      </c>
      <c r="B612" t="s">
        <v>132</v>
      </c>
      <c r="C612" s="8">
        <v>0</v>
      </c>
      <c r="D612" t="str">
        <f>VLOOKUP(Tabulation!$B612,Constants!$A:$C,2,FALSE)</f>
        <v>Interval Value Set</v>
      </c>
      <c r="E612" t="str">
        <f>VLOOKUP(Tabulation!$B612,Constants!$A:$C,3,FALSE)</f>
        <v>Medium Volume</v>
      </c>
    </row>
    <row r="613" spans="1:5">
      <c r="A613" t="s">
        <v>556</v>
      </c>
      <c r="B613" t="s">
        <v>134</v>
      </c>
      <c r="C613" s="8">
        <v>0</v>
      </c>
      <c r="D613" t="str">
        <f>VLOOKUP(Tabulation!$B613,Constants!$A:$C,2,FALSE)</f>
        <v>Item</v>
      </c>
      <c r="E613" t="str">
        <f>VLOOKUP(Tabulation!$B613,Constants!$A:$C,3,FALSE)</f>
        <v>Medium Volume</v>
      </c>
    </row>
    <row r="614" spans="1:5">
      <c r="A614" t="s">
        <v>556</v>
      </c>
      <c r="B614" t="s">
        <v>136</v>
      </c>
      <c r="C614" s="8">
        <v>0</v>
      </c>
      <c r="D614" t="str">
        <f>VLOOKUP(Tabulation!$B614,Constants!$A:$C,2,FALSE)</f>
        <v>Item Type SQ Estimate</v>
      </c>
      <c r="E614" t="str">
        <f>VLOOKUP(Tabulation!$B614,Constants!$A:$C,3,FALSE)</f>
        <v>Medium Volume</v>
      </c>
    </row>
    <row r="615" spans="1:5">
      <c r="A615" t="s">
        <v>556</v>
      </c>
      <c r="B615" t="s">
        <v>138</v>
      </c>
      <c r="C615" s="8">
        <v>2423</v>
      </c>
      <c r="D615" t="str">
        <f>VLOOKUP(Tabulation!$B615,Constants!$A:$C,2,FALSE)</f>
        <v>Landlord Agreement</v>
      </c>
      <c r="E615" t="str">
        <f>VLOOKUP(Tabulation!$B615,Constants!$A:$C,3,FALSE)</f>
        <v>Medium Volume</v>
      </c>
    </row>
    <row r="616" spans="1:5">
      <c r="A616" t="s">
        <v>556</v>
      </c>
      <c r="B616" t="s">
        <v>140</v>
      </c>
      <c r="C616" s="8">
        <v>0</v>
      </c>
      <c r="D616" t="str">
        <f>VLOOKUP(Tabulation!$B616,Constants!$A:$C,2,FALSE)</f>
        <v>Match Event</v>
      </c>
      <c r="E616" t="str">
        <f>VLOOKUP(Tabulation!$B616,Constants!$A:$C,3,FALSE)</f>
        <v>Medium Volume</v>
      </c>
    </row>
    <row r="617" spans="1:5">
      <c r="A617" t="s">
        <v>556</v>
      </c>
      <c r="B617" t="s">
        <v>142</v>
      </c>
      <c r="C617" s="8">
        <v>0</v>
      </c>
      <c r="D617" t="str">
        <f>VLOOKUP(Tabulation!$B617,Constants!$A:$C,2,FALSE)</f>
        <v>Meter Read</v>
      </c>
      <c r="E617" t="str">
        <f>VLOOKUP(Tabulation!$B617,Constants!$A:$C,3,FALSE)</f>
        <v>Medium Volume</v>
      </c>
    </row>
    <row r="618" spans="1:5">
      <c r="A618" t="s">
        <v>556</v>
      </c>
      <c r="B618" t="s">
        <v>144</v>
      </c>
      <c r="C618" s="8">
        <v>0</v>
      </c>
      <c r="D618" t="str">
        <f>VLOOKUP(Tabulation!$B618,Constants!$A:$C,2,FALSE)</f>
        <v>Meter Read Download Staging</v>
      </c>
      <c r="E618" t="str">
        <f>VLOOKUP(Tabulation!$B618,Constants!$A:$C,3,FALSE)</f>
        <v>Medium Volume</v>
      </c>
    </row>
    <row r="619" spans="1:5">
      <c r="A619" t="s">
        <v>556</v>
      </c>
      <c r="B619" t="s">
        <v>146</v>
      </c>
      <c r="C619" s="8">
        <v>0</v>
      </c>
      <c r="D619" t="str">
        <f>VLOOKUP(Tabulation!$B619,Constants!$A:$C,2,FALSE)</f>
        <v>Meter Read Upload Staging</v>
      </c>
      <c r="E619" t="str">
        <f>VLOOKUP(Tabulation!$B619,Constants!$A:$C,3,FALSE)</f>
        <v>Medium Volume</v>
      </c>
    </row>
    <row r="620" spans="1:5">
      <c r="A620" t="s">
        <v>556</v>
      </c>
      <c r="B620" t="s">
        <v>148</v>
      </c>
      <c r="C620" s="8">
        <v>815772</v>
      </c>
      <c r="D620" t="str">
        <f>VLOOKUP(Tabulation!$B620,Constants!$A:$C,2,FALSE)</f>
        <v>Message Log</v>
      </c>
      <c r="E620" t="str">
        <f>VLOOKUP(Tabulation!$B620,Constants!$A:$C,3,FALSE)</f>
        <v>Medium Volume</v>
      </c>
    </row>
    <row r="621" spans="1:5">
      <c r="A621" t="s">
        <v>556</v>
      </c>
      <c r="B621" t="s">
        <v>150</v>
      </c>
      <c r="C621" s="8">
        <v>0</v>
      </c>
      <c r="D621" t="str">
        <f>VLOOKUP(Tabulation!$B621,Constants!$A:$C,2,FALSE)</f>
        <v>Meter</v>
      </c>
      <c r="E621" t="str">
        <f>VLOOKUP(Tabulation!$B621,Constants!$A:$C,3,FALSE)</f>
        <v>Medium Volume</v>
      </c>
    </row>
    <row r="622" spans="1:5">
      <c r="A622" t="s">
        <v>556</v>
      </c>
      <c r="B622" t="s">
        <v>152</v>
      </c>
      <c r="C622" s="8">
        <v>0</v>
      </c>
      <c r="D622" t="str">
        <f>VLOOKUP(Tabulation!$B622,Constants!$A:$C,2,FALSE)</f>
        <v>Meter Configuration</v>
      </c>
      <c r="E622" t="str">
        <f>VLOOKUP(Tabulation!$B622,Constants!$A:$C,3,FALSE)</f>
        <v>Medium Volume</v>
      </c>
    </row>
    <row r="623" spans="1:5">
      <c r="A623" t="s">
        <v>556</v>
      </c>
      <c r="B623" t="s">
        <v>154</v>
      </c>
      <c r="C623" s="8">
        <v>0</v>
      </c>
      <c r="D623" t="str">
        <f>VLOOKUP(Tabulation!$B623,Constants!$A:$C,2,FALSE)</f>
        <v>Notification Download Staging</v>
      </c>
      <c r="E623" t="str">
        <f>VLOOKUP(Tabulation!$B623,Constants!$A:$C,3,FALSE)</f>
        <v>Medium Volume</v>
      </c>
    </row>
    <row r="624" spans="1:5">
      <c r="A624" t="s">
        <v>556</v>
      </c>
      <c r="B624" t="s">
        <v>156</v>
      </c>
      <c r="C624" s="8">
        <v>0</v>
      </c>
      <c r="D624" t="str">
        <f>VLOOKUP(Tabulation!$B624,Constants!$A:$C,2,FALSE)</f>
        <v>Notification Upload Staging</v>
      </c>
      <c r="E624" t="str">
        <f>VLOOKUP(Tabulation!$B624,Constants!$A:$C,3,FALSE)</f>
        <v>Medium Volume</v>
      </c>
    </row>
    <row r="625" spans="1:5">
      <c r="A625" t="s">
        <v>556</v>
      </c>
      <c r="B625" t="s">
        <v>158</v>
      </c>
      <c r="C625" s="8">
        <v>0</v>
      </c>
      <c r="D625" t="str">
        <f>VLOOKUP(Tabulation!$B625,Constants!$A:$C,2,FALSE)</f>
        <v>NT Upload Staging Extension Sample</v>
      </c>
      <c r="E625" t="str">
        <f>VLOOKUP(Tabulation!$B625,Constants!$A:$C,3,FALSE)</f>
        <v>Medium Volume</v>
      </c>
    </row>
    <row r="626" spans="1:5">
      <c r="A626" t="s">
        <v>556</v>
      </c>
      <c r="B626" t="s">
        <v>160</v>
      </c>
      <c r="C626" s="8">
        <v>0</v>
      </c>
      <c r="D626" t="str">
        <f>VLOOKUP(Tabulation!$B626,Constants!$A:$C,2,FALSE)</f>
        <v>Overdue Process</v>
      </c>
      <c r="E626" t="str">
        <f>VLOOKUP(Tabulation!$B626,Constants!$A:$C,3,FALSE)</f>
        <v>Medium Volume</v>
      </c>
    </row>
    <row r="627" spans="1:5">
      <c r="A627" t="s">
        <v>556</v>
      </c>
      <c r="B627" t="s">
        <v>162</v>
      </c>
      <c r="C627" s="8">
        <v>537659</v>
      </c>
      <c r="D627" t="str">
        <f>VLOOKUP(Tabulation!$B627,Constants!$A:$C,2,FALSE)</f>
        <v>Payment Header</v>
      </c>
      <c r="E627" t="str">
        <f>VLOOKUP(Tabulation!$B627,Constants!$A:$C,3,FALSE)</f>
        <v>Medium Volume</v>
      </c>
    </row>
    <row r="628" spans="1:5">
      <c r="A628" t="s">
        <v>556</v>
      </c>
      <c r="B628" t="s">
        <v>164</v>
      </c>
      <c r="C628" s="8">
        <v>537390</v>
      </c>
      <c r="D628" t="str">
        <f>VLOOKUP(Tabulation!$B628,Constants!$A:$C,2,FALSE)</f>
        <v>Payment Event</v>
      </c>
      <c r="E628" t="str">
        <f>VLOOKUP(Tabulation!$B628,Constants!$A:$C,3,FALSE)</f>
        <v>Medium Volume</v>
      </c>
    </row>
    <row r="629" spans="1:5">
      <c r="A629" t="s">
        <v>556</v>
      </c>
      <c r="B629" t="s">
        <v>166</v>
      </c>
      <c r="C629" s="8">
        <v>1754</v>
      </c>
      <c r="D629" t="str">
        <f>VLOOKUP(Tabulation!$B629,Constants!$A:$C,2,FALSE)</f>
        <v>Payment Tender Staging</v>
      </c>
      <c r="E629" t="str">
        <f>VLOOKUP(Tabulation!$B629,Constants!$A:$C,3,FALSE)</f>
        <v>Medium Volume</v>
      </c>
    </row>
    <row r="630" spans="1:5">
      <c r="A630" t="s">
        <v>556</v>
      </c>
      <c r="B630" t="s">
        <v>168</v>
      </c>
      <c r="C630" s="8">
        <v>49261</v>
      </c>
      <c r="D630" t="str">
        <f>VLOOKUP(Tabulation!$B630,Constants!$A:$C,2,FALSE)</f>
        <v>Person</v>
      </c>
      <c r="E630" t="str">
        <f>VLOOKUP(Tabulation!$B630,Constants!$A:$C,3,FALSE)</f>
        <v>Medium Volume</v>
      </c>
    </row>
    <row r="631" spans="1:5">
      <c r="A631" t="s">
        <v>556</v>
      </c>
      <c r="B631" t="s">
        <v>170</v>
      </c>
      <c r="C631" s="8">
        <v>0</v>
      </c>
      <c r="D631" t="str">
        <f>VLOOKUP(Tabulation!$B631,Constants!$A:$C,2,FALSE)</f>
        <v>Payment Event Upload Staging</v>
      </c>
      <c r="E631" t="str">
        <f>VLOOKUP(Tabulation!$B631,Constants!$A:$C,3,FALSE)</f>
        <v>Medium Volume</v>
      </c>
    </row>
    <row r="632" spans="1:5">
      <c r="A632" t="s">
        <v>556</v>
      </c>
      <c r="B632" t="s">
        <v>172</v>
      </c>
      <c r="C632" s="8">
        <v>4442</v>
      </c>
      <c r="D632" t="str">
        <f>VLOOKUP(Tabulation!$B632,Constants!$A:$C,2,FALSE)</f>
        <v>Pay Plan</v>
      </c>
      <c r="E632" t="str">
        <f>VLOOKUP(Tabulation!$B632,Constants!$A:$C,3,FALSE)</f>
        <v>Medium Volume</v>
      </c>
    </row>
    <row r="633" spans="1:5">
      <c r="A633" t="s">
        <v>556</v>
      </c>
      <c r="B633" t="s">
        <v>174</v>
      </c>
      <c r="C633" s="8">
        <v>12006</v>
      </c>
      <c r="D633" t="str">
        <f>VLOOKUP(Tabulation!$B633,Constants!$A:$C,2,FALSE)</f>
        <v>Premise</v>
      </c>
      <c r="E633" t="str">
        <f>VLOOKUP(Tabulation!$B633,Constants!$A:$C,3,FALSE)</f>
        <v>Medium Volume</v>
      </c>
    </row>
    <row r="634" spans="1:5">
      <c r="A634" t="s">
        <v>556</v>
      </c>
      <c r="B634" t="s">
        <v>176</v>
      </c>
      <c r="C634" s="8">
        <v>0</v>
      </c>
      <c r="D634" t="str">
        <f>VLOOKUP(Tabulation!$B634,Constants!$A:$C,2,FALSE)</f>
        <v>Quote</v>
      </c>
      <c r="E634" t="str">
        <f>VLOOKUP(Tabulation!$B634,Constants!$A:$C,3,FALSE)</f>
        <v>Medium Volume</v>
      </c>
    </row>
    <row r="635" spans="1:5">
      <c r="A635" t="s">
        <v>556</v>
      </c>
      <c r="B635" t="s">
        <v>178</v>
      </c>
      <c r="C635" s="8">
        <v>0</v>
      </c>
      <c r="D635" t="str">
        <f>VLOOKUP(Tabulation!$B635,Constants!$A:$C,2,FALSE)</f>
        <v>Rebate Claim</v>
      </c>
      <c r="E635" t="str">
        <f>VLOOKUP(Tabulation!$B635,Constants!$A:$C,3,FALSE)</f>
        <v>Medium Volume</v>
      </c>
    </row>
    <row r="636" spans="1:5">
      <c r="A636" t="s">
        <v>556</v>
      </c>
      <c r="B636" t="s">
        <v>180</v>
      </c>
      <c r="C636" s="8">
        <v>0</v>
      </c>
      <c r="D636" t="str">
        <f>VLOOKUP(Tabulation!$B636,Constants!$A:$C,2,FALSE)</f>
        <v>Rebate Claim Line</v>
      </c>
      <c r="E636" t="str">
        <f>VLOOKUP(Tabulation!$B636,Constants!$A:$C,3,FALSE)</f>
        <v>Medium Volume</v>
      </c>
    </row>
    <row r="637" spans="1:5">
      <c r="A637" t="s">
        <v>556</v>
      </c>
      <c r="B637" t="s">
        <v>182</v>
      </c>
      <c r="C637" s="8">
        <v>0</v>
      </c>
      <c r="D637" t="str">
        <f>VLOOKUP(Tabulation!$B637,Constants!$A:$C,2,FALSE)</f>
        <v>Interval Register Data Set</v>
      </c>
      <c r="E637" t="str">
        <f>VLOOKUP(Tabulation!$B637,Constants!$A:$C,3,FALSE)</f>
        <v>Medium Volume</v>
      </c>
    </row>
    <row r="638" spans="1:5">
      <c r="A638" t="s">
        <v>556</v>
      </c>
      <c r="B638" t="s">
        <v>184</v>
      </c>
      <c r="C638" s="8">
        <v>119294</v>
      </c>
      <c r="D638" t="str">
        <f>VLOOKUP(Tabulation!$B638,Constants!$A:$C,2,FALSE)</f>
        <v>SA (Service Agreement)</v>
      </c>
      <c r="E638" t="str">
        <f>VLOOKUP(Tabulation!$B638,Constants!$A:$C,3,FALSE)</f>
        <v>Medium Volume</v>
      </c>
    </row>
    <row r="639" spans="1:5">
      <c r="A639" t="s">
        <v>556</v>
      </c>
      <c r="B639" t="s">
        <v>186</v>
      </c>
      <c r="C639" s="8">
        <v>0</v>
      </c>
      <c r="D639" t="str">
        <f>VLOOKUP(Tabulation!$B639,Constants!$A:$C,2,FALSE)</f>
        <v>SA Relationship</v>
      </c>
      <c r="E639" t="str">
        <f>VLOOKUP(Tabulation!$B639,Constants!$A:$C,3,FALSE)</f>
        <v>Medium Volume</v>
      </c>
    </row>
    <row r="640" spans="1:5">
      <c r="A640" t="s">
        <v>556</v>
      </c>
      <c r="B640" t="s">
        <v>188</v>
      </c>
      <c r="C640" s="8">
        <v>0</v>
      </c>
      <c r="D640" t="str">
        <f>VLOOKUP(Tabulation!$B640,Constants!$A:$C,2,FALSE)</f>
        <v>Service Credit Membership</v>
      </c>
      <c r="E640" t="str">
        <f>VLOOKUP(Tabulation!$B640,Constants!$A:$C,3,FALSE)</f>
        <v>Medium Volume</v>
      </c>
    </row>
    <row r="641" spans="1:5">
      <c r="A641" t="s">
        <v>556</v>
      </c>
      <c r="B641" t="s">
        <v>190</v>
      </c>
      <c r="C641" s="8">
        <v>0</v>
      </c>
      <c r="D641" t="str">
        <f>VLOOKUP(Tabulation!$B641,Constants!$A:$C,2,FALSE)</f>
        <v>Service Credit Event</v>
      </c>
      <c r="E641" t="str">
        <f>VLOOKUP(Tabulation!$B641,Constants!$A:$C,3,FALSE)</f>
        <v>Medium Volume</v>
      </c>
    </row>
    <row r="642" spans="1:5">
      <c r="A642" t="s">
        <v>556</v>
      </c>
      <c r="B642" t="s">
        <v>192</v>
      </c>
      <c r="C642" s="8">
        <v>17041</v>
      </c>
      <c r="D642" t="str">
        <f>VLOOKUP(Tabulation!$B642,Constants!$A:$C,2,FALSE)</f>
        <v>Severance Process</v>
      </c>
      <c r="E642" t="str">
        <f>VLOOKUP(Tabulation!$B642,Constants!$A:$C,3,FALSE)</f>
        <v>Medium Volume</v>
      </c>
    </row>
    <row r="643" spans="1:5">
      <c r="A643" t="s">
        <v>556</v>
      </c>
      <c r="B643" t="s">
        <v>194</v>
      </c>
      <c r="C643" s="8">
        <v>32598</v>
      </c>
      <c r="D643" t="str">
        <f>VLOOKUP(Tabulation!$B643,Constants!$A:$C,2,FALSE)</f>
        <v>Service Point - CCB</v>
      </c>
      <c r="E643" t="str">
        <f>VLOOKUP(Tabulation!$B643,Constants!$A:$C,3,FALSE)</f>
        <v>Medium Volume</v>
      </c>
    </row>
    <row r="644" spans="1:5">
      <c r="A644" t="s">
        <v>556</v>
      </c>
      <c r="B644" t="s">
        <v>199</v>
      </c>
      <c r="C644" s="8">
        <v>0</v>
      </c>
      <c r="D644" t="str">
        <f>VLOOKUP(Tabulation!$B644,Constants!$A:$C,2,FALSE)</f>
        <v>SP Item History</v>
      </c>
      <c r="E644" t="str">
        <f>VLOOKUP(Tabulation!$B644,Constants!$A:$C,3,FALSE)</f>
        <v>Medium Volume</v>
      </c>
    </row>
    <row r="645" spans="1:5">
      <c r="A645" t="s">
        <v>556</v>
      </c>
      <c r="B645" t="s">
        <v>201</v>
      </c>
      <c r="C645" s="8">
        <v>0</v>
      </c>
      <c r="D645" t="str">
        <f>VLOOKUP(Tabulation!$B645,Constants!$A:$C,2,FALSE)</f>
        <v>SP/Meter History</v>
      </c>
      <c r="E645" t="str">
        <f>VLOOKUP(Tabulation!$B645,Constants!$A:$C,3,FALSE)</f>
        <v>Medium Volume</v>
      </c>
    </row>
    <row r="646" spans="1:5">
      <c r="A646" t="s">
        <v>556</v>
      </c>
      <c r="B646" t="s">
        <v>203</v>
      </c>
      <c r="C646" s="8">
        <v>0</v>
      </c>
      <c r="D646" t="str">
        <f>VLOOKUP(Tabulation!$B646,Constants!$A:$C,2,FALSE)</f>
        <v>Stock Location</v>
      </c>
      <c r="E646" t="str">
        <f>VLOOKUP(Tabulation!$B646,Constants!$A:$C,3,FALSE)</f>
        <v>Medium Volume</v>
      </c>
    </row>
    <row r="647" spans="1:5">
      <c r="A647" t="s">
        <v>556</v>
      </c>
      <c r="B647" t="s">
        <v>205</v>
      </c>
      <c r="C647" s="8">
        <v>0</v>
      </c>
      <c r="D647" t="str">
        <f>VLOOKUP(Tabulation!$B647,Constants!$A:$C,2,FALSE)</f>
        <v>Statement</v>
      </c>
      <c r="E647" t="str">
        <f>VLOOKUP(Tabulation!$B647,Constants!$A:$C,3,FALSE)</f>
        <v>Medium Volume</v>
      </c>
    </row>
    <row r="648" spans="1:5">
      <c r="A648" t="s">
        <v>556</v>
      </c>
      <c r="B648" t="s">
        <v>207</v>
      </c>
      <c r="C648" s="8">
        <v>0</v>
      </c>
      <c r="D648" t="str">
        <f>VLOOKUP(Tabulation!$B648,Constants!$A:$C,2,FALSE)</f>
        <v>Statement Construct</v>
      </c>
      <c r="E648" t="str">
        <f>VLOOKUP(Tabulation!$B648,Constants!$A:$C,3,FALSE)</f>
        <v>Medium Volume</v>
      </c>
    </row>
    <row r="649" spans="1:5">
      <c r="A649" t="s">
        <v>556</v>
      </c>
      <c r="B649" t="s">
        <v>209</v>
      </c>
      <c r="C649" s="8">
        <v>0</v>
      </c>
      <c r="D649" t="str">
        <f>VLOOKUP(Tabulation!$B649,Constants!$A:$C,2,FALSE)</f>
        <v>Service Route Download Staging</v>
      </c>
      <c r="E649" t="str">
        <f>VLOOKUP(Tabulation!$B649,Constants!$A:$C,3,FALSE)</f>
        <v>Medium Volume</v>
      </c>
    </row>
    <row r="650" spans="1:5">
      <c r="A650" t="s">
        <v>556</v>
      </c>
      <c r="B650" t="s">
        <v>211</v>
      </c>
      <c r="C650" s="8">
        <v>612099</v>
      </c>
      <c r="D650" t="str">
        <f>VLOOKUP(Tabulation!$B650,Constants!$A:$C,2,FALSE)</f>
        <v>To Do Entry</v>
      </c>
      <c r="E650" t="str">
        <f>VLOOKUP(Tabulation!$B650,Constants!$A:$C,3,FALSE)</f>
        <v>Medium Volume</v>
      </c>
    </row>
    <row r="651" spans="1:5">
      <c r="A651" t="s">
        <v>556</v>
      </c>
      <c r="B651" t="s">
        <v>213</v>
      </c>
      <c r="C651" s="8">
        <v>3156</v>
      </c>
      <c r="D651" t="str">
        <f>VLOOKUP(Tabulation!$B651,Constants!$A:$C,2,FALSE)</f>
        <v>Tender Control</v>
      </c>
      <c r="E651" t="str">
        <f>VLOOKUP(Tabulation!$B651,Constants!$A:$C,3,FALSE)</f>
        <v>Medium Volume</v>
      </c>
    </row>
    <row r="652" spans="1:5">
      <c r="A652" t="s">
        <v>556</v>
      </c>
      <c r="B652" t="s">
        <v>215</v>
      </c>
      <c r="C652" s="8">
        <v>0</v>
      </c>
      <c r="D652" t="str">
        <f>VLOOKUP(Tabulation!$B652,Constants!$A:$C,2,FALSE)</f>
        <v>Terms of Service</v>
      </c>
      <c r="E652" t="str">
        <f>VLOOKUP(Tabulation!$B652,Constants!$A:$C,3,FALSE)</f>
        <v>Medium Volume</v>
      </c>
    </row>
    <row r="653" spans="1:5">
      <c r="A653" t="s">
        <v>556</v>
      </c>
      <c r="B653" t="s">
        <v>217</v>
      </c>
      <c r="C653" s="8">
        <v>0</v>
      </c>
      <c r="D653" t="str">
        <f>VLOOKUP(Tabulation!$B653,Constants!$A:$C,2,FALSE)</f>
        <v>TOU Data Set</v>
      </c>
      <c r="E653" t="str">
        <f>VLOOKUP(Tabulation!$B653,Constants!$A:$C,3,FALSE)</f>
        <v>Medium Volume</v>
      </c>
    </row>
    <row r="654" spans="1:5">
      <c r="A654" t="s">
        <v>556</v>
      </c>
      <c r="B654" t="s">
        <v>219</v>
      </c>
      <c r="C654" s="8">
        <v>0</v>
      </c>
      <c r="D654" t="str">
        <f>VLOOKUP(Tabulation!$B654,Constants!$A:$C,2,FALSE)</f>
        <v>Time Of Use Map Classic</v>
      </c>
      <c r="E654" t="str">
        <f>VLOOKUP(Tabulation!$B654,Constants!$A:$C,3,FALSE)</f>
        <v>Medium Volume</v>
      </c>
    </row>
    <row r="655" spans="1:5">
      <c r="A655" t="s">
        <v>556</v>
      </c>
      <c r="B655" t="s">
        <v>221</v>
      </c>
      <c r="C655" s="8">
        <v>0</v>
      </c>
      <c r="D655" t="str">
        <f>VLOOKUP(Tabulation!$B655,Constants!$A:$C,2,FALSE)</f>
        <v>Trend</v>
      </c>
      <c r="E655" t="str">
        <f>VLOOKUP(Tabulation!$B655,Constants!$A:$C,3,FALSE)</f>
        <v>Medium Volume</v>
      </c>
    </row>
    <row r="656" spans="1:5">
      <c r="A656" t="s">
        <v>556</v>
      </c>
      <c r="B656" t="s">
        <v>223</v>
      </c>
      <c r="C656" s="8">
        <v>0</v>
      </c>
      <c r="D656" t="str">
        <f>VLOOKUP(Tabulation!$B656,Constants!$A:$C,2,FALSE)</f>
        <v>Umbrella Agreement</v>
      </c>
      <c r="E656" t="str">
        <f>VLOOKUP(Tabulation!$B656,Constants!$A:$C,3,FALSE)</f>
        <v>Medium Volume</v>
      </c>
    </row>
    <row r="657" spans="1:5">
      <c r="A657" t="s">
        <v>556</v>
      </c>
      <c r="B657" t="s">
        <v>225</v>
      </c>
      <c r="C657" s="8">
        <v>0</v>
      </c>
      <c r="D657" t="str">
        <f>VLOOKUP(Tabulation!$B657,Constants!$A:$C,2,FALSE)</f>
        <v>Validation Error</v>
      </c>
      <c r="E657" t="str">
        <f>VLOOKUP(Tabulation!$B657,Constants!$A:$C,3,FALSE)</f>
        <v>Medium Volume</v>
      </c>
    </row>
    <row r="658" spans="1:5">
      <c r="A658" t="s">
        <v>556</v>
      </c>
      <c r="B658" t="s">
        <v>227</v>
      </c>
      <c r="C658" s="8">
        <v>0</v>
      </c>
      <c r="D658" t="str">
        <f>VLOOKUP(Tabulation!$B658,Constants!$A:$C,2,FALSE)</f>
        <v>Validation Error Foreign Keys</v>
      </c>
      <c r="E658" t="str">
        <f>VLOOKUP(Tabulation!$B658,Constants!$A:$C,3,FALSE)</f>
        <v>Medium Volume</v>
      </c>
    </row>
    <row r="659" spans="1:5">
      <c r="A659" t="s">
        <v>556</v>
      </c>
      <c r="B659" t="s">
        <v>229</v>
      </c>
      <c r="C659" s="8">
        <v>0</v>
      </c>
      <c r="D659" t="str">
        <f>VLOOKUP(Tabulation!$B659,Constants!$A:$C,2,FALSE)</f>
        <v>WF Process</v>
      </c>
      <c r="E659" t="str">
        <f>VLOOKUP(Tabulation!$B659,Constants!$A:$C,3,FALSE)</f>
        <v>Medium Volume</v>
      </c>
    </row>
    <row r="660" spans="1:5">
      <c r="A660" t="s">
        <v>556</v>
      </c>
      <c r="B660" t="s">
        <v>231</v>
      </c>
      <c r="C660" s="8">
        <v>3303</v>
      </c>
      <c r="D660" t="str">
        <f>VLOOKUP(Tabulation!$B660,Constants!$A:$C,2,FALSE)</f>
        <v>Write Off Process</v>
      </c>
      <c r="E660" t="str">
        <f>VLOOKUP(Tabulation!$B660,Constants!$A:$C,3,FALSE)</f>
        <v>Medium Volume</v>
      </c>
    </row>
    <row r="661" spans="1:5">
      <c r="A661" t="s">
        <v>556</v>
      </c>
      <c r="B661" t="s">
        <v>233</v>
      </c>
      <c r="C661" s="8">
        <v>0</v>
      </c>
      <c r="D661" t="str">
        <f>VLOOKUP(Tabulation!$B661,Constants!$A:$C,2,FALSE)</f>
        <v>XAI Download</v>
      </c>
      <c r="E661" t="str">
        <f>VLOOKUP(Tabulation!$B661,Constants!$A:$C,3,FALSE)</f>
        <v>Medium Volume</v>
      </c>
    </row>
    <row r="662" spans="1:5">
      <c r="A662" t="s">
        <v>556</v>
      </c>
      <c r="B662" t="s">
        <v>235</v>
      </c>
      <c r="C662" s="8">
        <v>0</v>
      </c>
      <c r="D662" t="str">
        <f>VLOOKUP(Tabulation!$B662,Constants!$A:$C,2,FALSE)</f>
        <v>XAI Upload Staging</v>
      </c>
      <c r="E662" t="str">
        <f>VLOOKUP(Tabulation!$B662,Constants!$A:$C,3,FALSE)</f>
        <v>Medium Volume</v>
      </c>
    </row>
    <row r="663" spans="1:5">
      <c r="A663" t="s">
        <v>556</v>
      </c>
      <c r="B663" t="s">
        <v>237</v>
      </c>
      <c r="C663" s="8">
        <v>0</v>
      </c>
      <c r="D663" t="str">
        <f>VLOOKUP(Tabulation!$B663,Constants!$A:$C,2,FALSE)</f>
        <v>XAI Staging Control</v>
      </c>
      <c r="E663" t="str">
        <f>VLOOKUP(Tabulation!$B663,Constants!$A:$C,3,FALSE)</f>
        <v>Medium Volume</v>
      </c>
    </row>
    <row r="664" spans="1:5">
      <c r="A664" t="s">
        <v>556</v>
      </c>
      <c r="B664" t="s">
        <v>239</v>
      </c>
      <c r="C664" s="8">
        <v>449631</v>
      </c>
      <c r="D664" t="str">
        <f>VLOOKUP(Tabulation!$B664,Constants!$A:$C,2,FALSE)</f>
        <v>Activity</v>
      </c>
      <c r="E664" t="str">
        <f>VLOOKUP(Tabulation!$B664,Constants!$A:$C,3,FALSE)</f>
        <v>Medium Volume</v>
      </c>
    </row>
    <row r="665" spans="1:5">
      <c r="A665" t="s">
        <v>556</v>
      </c>
      <c r="B665" t="s">
        <v>241</v>
      </c>
      <c r="C665" s="8">
        <v>0</v>
      </c>
      <c r="D665" t="str">
        <f>VLOOKUP(Tabulation!$B665,Constants!$A:$C,2,FALSE)</f>
        <v>Attribute Data Snapshot</v>
      </c>
      <c r="E665" t="str">
        <f>VLOOKUP(Tabulation!$B665,Constants!$A:$C,3,FALSE)</f>
        <v>Medium Volume</v>
      </c>
    </row>
    <row r="666" spans="1:5">
      <c r="A666" t="s">
        <v>556</v>
      </c>
      <c r="B666" t="s">
        <v>243</v>
      </c>
      <c r="C666" s="8">
        <v>0</v>
      </c>
      <c r="D666" t="str">
        <f>VLOOKUP(Tabulation!$B666,Constants!$A:$C,2,FALSE)</f>
        <v>Aggregation Group Run</v>
      </c>
      <c r="E666" t="str">
        <f>VLOOKUP(Tabulation!$B666,Constants!$A:$C,3,FALSE)</f>
        <v>Medium Volume</v>
      </c>
    </row>
    <row r="667" spans="1:5">
      <c r="A667" t="s">
        <v>556</v>
      </c>
      <c r="B667" t="s">
        <v>245</v>
      </c>
      <c r="C667" s="8">
        <v>0</v>
      </c>
      <c r="D667" t="str">
        <f>VLOOKUP(Tabulation!$B667,Constants!$A:$C,2,FALSE)</f>
        <v>Aggregation Measurement</v>
      </c>
      <c r="E667" t="str">
        <f>VLOOKUP(Tabulation!$B667,Constants!$A:$C,3,FALSE)</f>
        <v>Medium Volume</v>
      </c>
    </row>
    <row r="668" spans="1:5">
      <c r="A668" t="s">
        <v>556</v>
      </c>
      <c r="B668" t="s">
        <v>247</v>
      </c>
      <c r="C668" s="8">
        <v>0</v>
      </c>
      <c r="D668" t="str">
        <f>VLOOKUP(Tabulation!$B668,Constants!$A:$C,2,FALSE)</f>
        <v>Attribute Values</v>
      </c>
      <c r="E668" t="str">
        <f>VLOOKUP(Tabulation!$B668,Constants!$A:$C,3,FALSE)</f>
        <v>Medium Volume</v>
      </c>
    </row>
    <row r="669" spans="1:5">
      <c r="A669" t="s">
        <v>556</v>
      </c>
      <c r="B669" t="s">
        <v>249</v>
      </c>
      <c r="C669" s="8">
        <v>8493</v>
      </c>
      <c r="D669" t="str">
        <f>VLOOKUP(Tabulation!$B669,Constants!$A:$C,2,FALSE)</f>
        <v>Communication In</v>
      </c>
      <c r="E669" t="str">
        <f>VLOOKUP(Tabulation!$B669,Constants!$A:$C,3,FALSE)</f>
        <v>Medium Volume</v>
      </c>
    </row>
    <row r="670" spans="1:5">
      <c r="A670" t="s">
        <v>556</v>
      </c>
      <c r="B670" t="s">
        <v>251</v>
      </c>
      <c r="C670" s="8">
        <v>17280</v>
      </c>
      <c r="D670" t="str">
        <f>VLOOKUP(Tabulation!$B670,Constants!$A:$C,2,FALSE)</f>
        <v>Communication Out</v>
      </c>
      <c r="E670" t="str">
        <f>VLOOKUP(Tabulation!$B670,Constants!$A:$C,3,FALSE)</f>
        <v>Medium Volume</v>
      </c>
    </row>
    <row r="671" spans="1:5">
      <c r="A671" t="s">
        <v>556</v>
      </c>
      <c r="B671" t="s">
        <v>253</v>
      </c>
      <c r="C671" s="8">
        <v>9230</v>
      </c>
      <c r="D671" t="str">
        <f>VLOOKUP(Tabulation!$B671,Constants!$A:$C,2,FALSE)</f>
        <v>Completion Event</v>
      </c>
      <c r="E671" t="str">
        <f>VLOOKUP(Tabulation!$B671,Constants!$A:$C,3,FALSE)</f>
        <v>Medium Volume</v>
      </c>
    </row>
    <row r="672" spans="1:5">
      <c r="A672" t="s">
        <v>556</v>
      </c>
      <c r="B672" t="s">
        <v>255</v>
      </c>
      <c r="C672" s="8">
        <v>49264</v>
      </c>
      <c r="D672" t="str">
        <f>VLOOKUP(Tabulation!$B672,Constants!$A:$C,2,FALSE)</f>
        <v>Contact</v>
      </c>
      <c r="E672" t="str">
        <f>VLOOKUP(Tabulation!$B672,Constants!$A:$C,3,FALSE)</f>
        <v>Low Volume</v>
      </c>
    </row>
    <row r="673" spans="1:5">
      <c r="A673" t="s">
        <v>556</v>
      </c>
      <c r="B673" t="s">
        <v>257</v>
      </c>
      <c r="C673" s="8">
        <v>50796</v>
      </c>
      <c r="D673" t="str">
        <f>VLOOKUP(Tabulation!$B673,Constants!$A:$C,2,FALSE)</f>
        <v>Device</v>
      </c>
      <c r="E673" t="str">
        <f>VLOOKUP(Tabulation!$B673,Constants!$A:$C,3,FALSE)</f>
        <v>Medium Volume</v>
      </c>
    </row>
    <row r="674" spans="1:5">
      <c r="A674" t="s">
        <v>556</v>
      </c>
      <c r="B674" t="s">
        <v>259</v>
      </c>
      <c r="C674" s="8">
        <v>24760</v>
      </c>
      <c r="D674" t="str">
        <f>VLOOKUP(Tabulation!$B674,Constants!$A:$C,2,FALSE)</f>
        <v>Device Configuration</v>
      </c>
      <c r="E674" t="str">
        <f>VLOOKUP(Tabulation!$B674,Constants!$A:$C,3,FALSE)</f>
        <v>Medium Volume</v>
      </c>
    </row>
    <row r="675" spans="1:5">
      <c r="A675" t="s">
        <v>556</v>
      </c>
      <c r="B675" t="s">
        <v>261</v>
      </c>
      <c r="C675" s="8">
        <v>2921</v>
      </c>
      <c r="D675" t="str">
        <f>VLOOKUP(Tabulation!$B675,Constants!$A:$C,2,FALSE)</f>
        <v>Device Event</v>
      </c>
      <c r="E675" t="str">
        <f>VLOOKUP(Tabulation!$B675,Constants!$A:$C,3,FALSE)</f>
        <v>Medium Volume</v>
      </c>
    </row>
    <row r="676" spans="1:5">
      <c r="A676" t="s">
        <v>556</v>
      </c>
      <c r="B676" t="s">
        <v>263</v>
      </c>
      <c r="C676" s="8">
        <v>0</v>
      </c>
      <c r="D676" t="str">
        <f>VLOOKUP(Tabulation!$B676,Constants!$A:$C,2,FALSE)</f>
        <v>Dynamic Option</v>
      </c>
      <c r="E676" t="str">
        <f>VLOOKUP(Tabulation!$B676,Constants!$A:$C,3,FALSE)</f>
        <v>Medium Volume</v>
      </c>
    </row>
    <row r="677" spans="1:5">
      <c r="A677" t="s">
        <v>556</v>
      </c>
      <c r="B677" t="s">
        <v>265</v>
      </c>
      <c r="C677" s="8">
        <v>0</v>
      </c>
      <c r="D677" t="str">
        <f>VLOOKUP(Tabulation!$B677,Constants!$A:$C,2,FALSE)</f>
        <v>Dynamic Option Event</v>
      </c>
      <c r="E677" t="str">
        <f>VLOOKUP(Tabulation!$B677,Constants!$A:$C,3,FALSE)</f>
        <v>Medium Volume</v>
      </c>
    </row>
    <row r="678" spans="1:5">
      <c r="A678" t="s">
        <v>556</v>
      </c>
      <c r="B678" t="s">
        <v>269</v>
      </c>
      <c r="C678" s="8">
        <v>0</v>
      </c>
      <c r="D678" t="str">
        <f>VLOOKUP(Tabulation!$B678,Constants!$A:$C,2,FALSE)</f>
        <v>Facility</v>
      </c>
      <c r="E678" t="str">
        <f>VLOOKUP(Tabulation!$B678,Constants!$A:$C,3,FALSE)</f>
        <v>Medium Volume</v>
      </c>
    </row>
    <row r="679" spans="1:5">
      <c r="A679" t="s">
        <v>556</v>
      </c>
      <c r="B679" t="s">
        <v>271</v>
      </c>
      <c r="C679" s="8">
        <v>442532</v>
      </c>
      <c r="D679" t="str">
        <f>VLOOKUP(Tabulation!$B679,Constants!$A:$C,2,FALSE)</f>
        <v>Initial Measurement Data</v>
      </c>
      <c r="E679" t="str">
        <f>VLOOKUP(Tabulation!$B679,Constants!$A:$C,3,FALSE)</f>
        <v>Medium Volume</v>
      </c>
    </row>
    <row r="680" spans="1:5">
      <c r="A680" t="s">
        <v>556</v>
      </c>
      <c r="B680" t="s">
        <v>273</v>
      </c>
      <c r="C680" s="8">
        <v>0</v>
      </c>
      <c r="D680" t="str">
        <f>VLOOKUP(Tabulation!$B680,Constants!$A:$C,2,FALSE)</f>
        <v>Initial Measurement Snapshot</v>
      </c>
      <c r="E680" t="str">
        <f>VLOOKUP(Tabulation!$B680,Constants!$A:$C,3,FALSE)</f>
        <v>Medium Volume</v>
      </c>
    </row>
    <row r="681" spans="1:5">
      <c r="A681" t="s">
        <v>556</v>
      </c>
      <c r="B681" t="s">
        <v>275</v>
      </c>
      <c r="C681" s="8">
        <v>23616</v>
      </c>
      <c r="D681" t="str">
        <f>VLOOKUP(Tabulation!$B681,Constants!$A:$C,2,FALSE)</f>
        <v>Install Event</v>
      </c>
      <c r="E681" t="str">
        <f>VLOOKUP(Tabulation!$B681,Constants!$A:$C,3,FALSE)</f>
        <v>Medium Volume</v>
      </c>
    </row>
    <row r="682" spans="1:5">
      <c r="A682" t="s">
        <v>556</v>
      </c>
      <c r="B682" t="s">
        <v>277</v>
      </c>
      <c r="C682" s="8">
        <v>0</v>
      </c>
      <c r="D682" t="str">
        <f>VLOOKUP(Tabulation!$B682,Constants!$A:$C,2,FALSE)</f>
        <v>Interval Snapshot Mapping</v>
      </c>
      <c r="E682" t="str">
        <f>VLOOKUP(Tabulation!$B682,Constants!$A:$C,3,FALSE)</f>
        <v>Medium Volume</v>
      </c>
    </row>
    <row r="683" spans="1:5">
      <c r="A683" t="s">
        <v>556</v>
      </c>
      <c r="B683" t="s">
        <v>279</v>
      </c>
      <c r="C683" s="8">
        <v>0</v>
      </c>
      <c r="D683" t="str">
        <f>VLOOKUP(Tabulation!$B683,Constants!$A:$C,2,FALSE)</f>
        <v>MC Comparison Period</v>
      </c>
      <c r="E683" t="str">
        <f>VLOOKUP(Tabulation!$B683,Constants!$A:$C,3,FALSE)</f>
        <v>Medium Volume</v>
      </c>
    </row>
    <row r="684" spans="1:5">
      <c r="A684" t="s">
        <v>556</v>
      </c>
      <c r="B684" t="s">
        <v>281</v>
      </c>
      <c r="C684" s="8">
        <v>0</v>
      </c>
      <c r="D684" t="str">
        <f>VLOOKUP(Tabulation!$B684,Constants!$A:$C,2,FALSE)</f>
        <v>Measurement Data Snapshot Interval</v>
      </c>
      <c r="E684" t="str">
        <f>VLOOKUP(Tabulation!$B684,Constants!$A:$C,3,FALSE)</f>
        <v>Medium Volume</v>
      </c>
    </row>
    <row r="685" spans="1:5">
      <c r="A685" t="s">
        <v>556</v>
      </c>
      <c r="B685" t="s">
        <v>283</v>
      </c>
      <c r="C685" s="8">
        <v>0</v>
      </c>
      <c r="D685" t="str">
        <f>VLOOKUP(Tabulation!$B685,Constants!$A:$C,2,FALSE)</f>
        <v>Measurement Data Snapshot Scalar</v>
      </c>
      <c r="E685" t="str">
        <f>VLOOKUP(Tabulation!$B685,Constants!$A:$C,3,FALSE)</f>
        <v>Medium Volume</v>
      </c>
    </row>
    <row r="686" spans="1:5">
      <c r="A686" t="s">
        <v>556</v>
      </c>
      <c r="B686" t="s">
        <v>285</v>
      </c>
      <c r="C686" s="8">
        <v>26177</v>
      </c>
      <c r="D686" t="str">
        <f>VLOOKUP(Tabulation!$B686,Constants!$A:$C,2,FALSE)</f>
        <v>Measuring Component</v>
      </c>
      <c r="E686" t="str">
        <f>VLOOKUP(Tabulation!$B686,Constants!$A:$C,3,FALSE)</f>
        <v>Medium Volume</v>
      </c>
    </row>
    <row r="687" spans="1:5">
      <c r="A687" t="s">
        <v>556</v>
      </c>
      <c r="B687" t="s">
        <v>287</v>
      </c>
      <c r="C687" s="8">
        <v>0</v>
      </c>
      <c r="D687" t="str">
        <f>VLOOKUP(Tabulation!$B687,Constants!$A:$C,2,FALSE)</f>
        <v>Market Award</v>
      </c>
      <c r="E687" t="str">
        <f>VLOOKUP(Tabulation!$B687,Constants!$A:$C,3,FALSE)</f>
        <v>Medium Volume</v>
      </c>
    </row>
    <row r="688" spans="1:5">
      <c r="A688" t="s">
        <v>556</v>
      </c>
      <c r="B688" t="s">
        <v>289</v>
      </c>
      <c r="C688" s="8">
        <v>0</v>
      </c>
      <c r="D688" t="str">
        <f>VLOOKUP(Tabulation!$B688,Constants!$A:$C,2,FALSE)</f>
        <v>Market Contract</v>
      </c>
      <c r="E688" t="str">
        <f>VLOOKUP(Tabulation!$B688,Constants!$A:$C,3,FALSE)</f>
        <v>Medium Volume</v>
      </c>
    </row>
    <row r="689" spans="1:5">
      <c r="A689" t="s">
        <v>556</v>
      </c>
      <c r="B689" t="s">
        <v>291</v>
      </c>
      <c r="C689" s="8">
        <v>0</v>
      </c>
      <c r="D689" t="str">
        <f>VLOOKUP(Tabulation!$B689,Constants!$A:$C,2,FALSE)</f>
        <v>Market Product</v>
      </c>
      <c r="E689" t="str">
        <f>VLOOKUP(Tabulation!$B689,Constants!$A:$C,3,FALSE)</f>
        <v>Medium Volume</v>
      </c>
    </row>
    <row r="690" spans="1:5">
      <c r="A690" t="s">
        <v>556</v>
      </c>
      <c r="B690" t="s">
        <v>293</v>
      </c>
      <c r="C690" s="8">
        <v>0</v>
      </c>
      <c r="D690" t="str">
        <f>VLOOKUP(Tabulation!$B690,Constants!$A:$C,2,FALSE)</f>
        <v>Registration Point</v>
      </c>
      <c r="E690" t="str">
        <f>VLOOKUP(Tabulation!$B690,Constants!$A:$C,3,FALSE)</f>
        <v>Medium Volume</v>
      </c>
    </row>
    <row r="691" spans="1:5">
      <c r="A691" t="s">
        <v>556</v>
      </c>
      <c r="B691" t="s">
        <v>294</v>
      </c>
      <c r="C691" s="8">
        <v>1437398</v>
      </c>
      <c r="D691" t="str">
        <f>VLOOKUP(Tabulation!$B691,Constants!$A:$C,2,FALSE)</f>
        <v>Measurement</v>
      </c>
      <c r="E691" t="str">
        <f>VLOOKUP(Tabulation!$B691,Constants!$A:$C,3,FALSE)</f>
        <v>Medium Volume</v>
      </c>
    </row>
    <row r="692" spans="1:5">
      <c r="A692" t="s">
        <v>556</v>
      </c>
      <c r="B692" t="s">
        <v>296</v>
      </c>
      <c r="C692" s="8">
        <v>13938</v>
      </c>
      <c r="D692" t="str">
        <f>VLOOKUP(Tabulation!$B692,Constants!$A:$C,2,FALSE)</f>
        <v>Measurement Log</v>
      </c>
      <c r="E692" t="str">
        <f>VLOOKUP(Tabulation!$B692,Constants!$A:$C,3,FALSE)</f>
        <v>Medium Volume</v>
      </c>
    </row>
    <row r="693" spans="1:5">
      <c r="A693" t="s">
        <v>556</v>
      </c>
      <c r="B693" t="s">
        <v>298</v>
      </c>
      <c r="C693" s="8">
        <v>0</v>
      </c>
      <c r="D693" t="str">
        <f>VLOOKUP(Tabulation!$B693,Constants!$A:$C,2,FALSE)</f>
        <v>Network Location</v>
      </c>
      <c r="E693" t="str">
        <f>VLOOKUP(Tabulation!$B693,Constants!$A:$C,3,FALSE)</f>
        <v>Medium Volume</v>
      </c>
    </row>
    <row r="694" spans="1:5">
      <c r="A694" t="s">
        <v>556</v>
      </c>
      <c r="B694" t="s">
        <v>300</v>
      </c>
      <c r="C694" s="8">
        <v>32598</v>
      </c>
      <c r="D694" t="str">
        <f>VLOOKUP(Tabulation!$B694,Constants!$A:$C,2,FALSE)</f>
        <v>Service Point - MDM</v>
      </c>
      <c r="E694" t="str">
        <f>VLOOKUP(Tabulation!$B694,Constants!$A:$C,3,FALSE)</f>
        <v>Medium Volume</v>
      </c>
    </row>
    <row r="695" spans="1:5">
      <c r="A695" t="s">
        <v>556</v>
      </c>
      <c r="B695" t="s">
        <v>302</v>
      </c>
      <c r="C695" s="8">
        <v>520916</v>
      </c>
      <c r="D695" t="str">
        <f>VLOOKUP(Tabulation!$B695,Constants!$A:$C,2,FALSE)</f>
        <v>SP/Measurement Cycle Schedule Route</v>
      </c>
      <c r="E695" t="str">
        <f>VLOOKUP(Tabulation!$B695,Constants!$A:$C,3,FALSE)</f>
        <v>Medium Volume</v>
      </c>
    </row>
    <row r="696" spans="1:5">
      <c r="A696" t="s">
        <v>556</v>
      </c>
      <c r="B696" t="s">
        <v>304</v>
      </c>
      <c r="C696" s="8">
        <v>0</v>
      </c>
      <c r="D696" t="str">
        <f>VLOOKUP(Tabulation!$B696,Constants!$A:$C,2,FALSE)</f>
        <v>Service Point Quantity</v>
      </c>
      <c r="E696" t="str">
        <f>VLOOKUP(Tabulation!$B696,Constants!$A:$C,3,FALSE)</f>
        <v>Medium Volume</v>
      </c>
    </row>
    <row r="697" spans="1:5">
      <c r="A697" t="s">
        <v>556</v>
      </c>
      <c r="B697" t="s">
        <v>306</v>
      </c>
      <c r="C697" s="8">
        <v>0</v>
      </c>
      <c r="D697" t="str">
        <f>VLOOKUP(Tabulation!$B697,Constants!$A:$C,2,FALSE)</f>
        <v>Service Pont Snapshot Download</v>
      </c>
      <c r="E697" t="str">
        <f>VLOOKUP(Tabulation!$B697,Constants!$A:$C,3,FALSE)</f>
        <v>Medium Volume</v>
      </c>
    </row>
    <row r="698" spans="1:5">
      <c r="A698" t="s">
        <v>556</v>
      </c>
      <c r="B698" t="s">
        <v>308</v>
      </c>
      <c r="C698" s="8">
        <v>0</v>
      </c>
      <c r="D698" t="str">
        <f>VLOOKUP(Tabulation!$B698,Constants!$A:$C,2,FALSE)</f>
        <v>SP Unreported Usage Snapshot Download</v>
      </c>
      <c r="E698" t="str">
        <f>VLOOKUP(Tabulation!$B698,Constants!$A:$C,3,FALSE)</f>
        <v>Medium Volume</v>
      </c>
    </row>
    <row r="699" spans="1:5">
      <c r="A699" t="s">
        <v>556</v>
      </c>
      <c r="B699" t="s">
        <v>310</v>
      </c>
      <c r="C699" s="8">
        <v>0</v>
      </c>
      <c r="D699" t="str">
        <f>VLOOKUP(Tabulation!$B699,Constants!$A:$C,2,FALSE)</f>
        <v>Service Point Usage Snapshot Download</v>
      </c>
      <c r="E699" t="str">
        <f>VLOOKUP(Tabulation!$B699,Constants!$A:$C,3,FALSE)</f>
        <v>Medium Volume</v>
      </c>
    </row>
    <row r="700" spans="1:5">
      <c r="A700" t="s">
        <v>556</v>
      </c>
      <c r="B700" t="s">
        <v>312</v>
      </c>
      <c r="C700" s="8">
        <v>0</v>
      </c>
      <c r="D700" t="str">
        <f>VLOOKUP(Tabulation!$B700,Constants!$A:$C,2,FALSE)</f>
        <v>SP VEE Exception Snapshot Download</v>
      </c>
      <c r="E700" t="str">
        <f>VLOOKUP(Tabulation!$B700,Constants!$A:$C,3,FALSE)</f>
        <v>Medium Volume</v>
      </c>
    </row>
    <row r="701" spans="1:5">
      <c r="A701" t="s">
        <v>556</v>
      </c>
      <c r="B701" t="s">
        <v>314</v>
      </c>
      <c r="C701" s="8">
        <v>54699</v>
      </c>
      <c r="D701" t="str">
        <f>VLOOKUP(Tabulation!$B701,Constants!$A:$C,2,FALSE)</f>
        <v>Usage Subscription</v>
      </c>
      <c r="E701" t="str">
        <f>VLOOKUP(Tabulation!$B701,Constants!$A:$C,3,FALSE)</f>
        <v>Medium Volume</v>
      </c>
    </row>
    <row r="702" spans="1:5">
      <c r="A702" t="s">
        <v>556</v>
      </c>
      <c r="B702" t="s">
        <v>316</v>
      </c>
      <c r="C702" s="8">
        <v>445119</v>
      </c>
      <c r="D702" t="str">
        <f>VLOOKUP(Tabulation!$B702,Constants!$A:$C,2,FALSE)</f>
        <v>Usage</v>
      </c>
      <c r="E702" t="str">
        <f>VLOOKUP(Tabulation!$B702,Constants!$A:$C,3,FALSE)</f>
        <v>Medium Volume</v>
      </c>
    </row>
    <row r="703" spans="1:5">
      <c r="A703" t="s">
        <v>556</v>
      </c>
      <c r="B703" t="s">
        <v>317</v>
      </c>
      <c r="C703" s="8">
        <v>325000</v>
      </c>
      <c r="D703" t="str">
        <f>VLOOKUP(Tabulation!$B703,Constants!$A:$C,2,FALSE)</f>
        <v>Usage Transaction Exception</v>
      </c>
      <c r="E703" t="str">
        <f>VLOOKUP(Tabulation!$B703,Constants!$A:$C,3,FALSE)</f>
        <v>Medium Volume</v>
      </c>
    </row>
    <row r="704" spans="1:5">
      <c r="A704" t="s">
        <v>556</v>
      </c>
      <c r="B704" t="s">
        <v>319</v>
      </c>
      <c r="C704" s="8">
        <v>0</v>
      </c>
      <c r="D704" t="str">
        <f>VLOOKUP(Tabulation!$B704,Constants!$A:$C,2,FALSE)</f>
        <v>Usage Subscription Market Participant</v>
      </c>
      <c r="E704" t="str">
        <f>VLOOKUP(Tabulation!$B704,Constants!$A:$C,3,FALSE)</f>
        <v>Medium Volume</v>
      </c>
    </row>
    <row r="705" spans="1:5">
      <c r="A705" t="s">
        <v>556</v>
      </c>
      <c r="B705" t="s">
        <v>321</v>
      </c>
      <c r="C705" s="8">
        <v>0</v>
      </c>
      <c r="D705" t="str">
        <f>VLOOKUP(Tabulation!$B705,Constants!$A:$C,2,FALSE)</f>
        <v>Usage Subscription Quantity</v>
      </c>
      <c r="E705" t="str">
        <f>VLOOKUP(Tabulation!$B705,Constants!$A:$C,3,FALSE)</f>
        <v>Medium Volume</v>
      </c>
    </row>
    <row r="706" spans="1:5">
      <c r="A706" t="s">
        <v>556</v>
      </c>
      <c r="B706" t="s">
        <v>323</v>
      </c>
      <c r="C706" s="8">
        <v>0</v>
      </c>
      <c r="D706" t="str">
        <f>VLOOKUP(Tabulation!$B706,Constants!$A:$C,2,FALSE)</f>
        <v>Usage Subscription Usage Group Download</v>
      </c>
      <c r="E706" t="str">
        <f>VLOOKUP(Tabulation!$B706,Constants!$A:$C,3,FALSE)</f>
        <v>Medium Volume</v>
      </c>
    </row>
    <row r="707" spans="1:5">
      <c r="A707" t="s">
        <v>556</v>
      </c>
      <c r="B707" t="s">
        <v>325</v>
      </c>
      <c r="C707" s="8">
        <v>1052463</v>
      </c>
      <c r="D707" t="str">
        <f>VLOOKUP(Tabulation!$B707,Constants!$A:$C,2,FALSE)</f>
        <v>VEE Exception</v>
      </c>
      <c r="E707" t="str">
        <f>VLOOKUP(Tabulation!$B707,Constants!$A:$C,3,FALSE)</f>
        <v>Medium Volume</v>
      </c>
    </row>
    <row r="708" spans="1:5">
      <c r="A708" t="s">
        <v>556</v>
      </c>
      <c r="B708" t="s">
        <v>327</v>
      </c>
      <c r="C708" s="8">
        <v>0</v>
      </c>
      <c r="D708" t="str">
        <f>VLOOKUP(Tabulation!$B708,Constants!$A:$C,2,FALSE)</f>
        <v>Attachment</v>
      </c>
      <c r="E708" t="str">
        <f>VLOOKUP(Tabulation!$B708,Constants!$A:$C,3,FALSE)</f>
        <v>Medium Volume</v>
      </c>
    </row>
    <row r="709" spans="1:5">
      <c r="A709" t="s">
        <v>556</v>
      </c>
      <c r="B709" t="s">
        <v>334</v>
      </c>
      <c r="C709" s="8">
        <v>5</v>
      </c>
      <c r="D709" t="str">
        <f>VLOOKUP(Tabulation!$B709,Constants!$A:$C,2,FALSE)</f>
        <v>Bundle</v>
      </c>
      <c r="E709" t="str">
        <f>VLOOKUP(Tabulation!$B709,Constants!$A:$C,3,FALSE)</f>
        <v>Medium Volume</v>
      </c>
    </row>
    <row r="710" spans="1:5">
      <c r="A710" t="s">
        <v>556</v>
      </c>
      <c r="B710" t="s">
        <v>336</v>
      </c>
      <c r="C710" s="8">
        <v>0</v>
      </c>
      <c r="D710" t="str">
        <f>VLOOKUP(Tabulation!$B710,Constants!$A:$C,2,FALSE)</f>
        <v>Business Event Log</v>
      </c>
      <c r="E710" t="str">
        <f>VLOOKUP(Tabulation!$B710,Constants!$A:$C,3,FALSE)</f>
        <v>Medium Volume</v>
      </c>
    </row>
    <row r="711" spans="1:5">
      <c r="A711" t="s">
        <v>556</v>
      </c>
      <c r="B711" t="s">
        <v>338</v>
      </c>
      <c r="C711" s="8">
        <v>0</v>
      </c>
      <c r="D711" t="str">
        <f>VLOOKUP(Tabulation!$B711,Constants!$A:$C,2,FALSE)</f>
        <v>Business Flag</v>
      </c>
      <c r="E711" t="str">
        <f>VLOOKUP(Tabulation!$B711,Constants!$A:$C,3,FALSE)</f>
        <v>Medium Volume</v>
      </c>
    </row>
    <row r="712" spans="1:5">
      <c r="A712" t="s">
        <v>556</v>
      </c>
      <c r="B712" t="s">
        <v>340</v>
      </c>
      <c r="C712" s="8">
        <v>0</v>
      </c>
      <c r="D712" t="str">
        <f>VLOOKUP(Tabulation!$B712,Constants!$A:$C,2,FALSE)</f>
        <v>Calendar Dimension</v>
      </c>
      <c r="E712" t="str">
        <f>VLOOKUP(Tabulation!$B712,Constants!$A:$C,3,FALSE)</f>
        <v>Medium Volume</v>
      </c>
    </row>
    <row r="713" spans="1:5">
      <c r="A713" t="s">
        <v>556</v>
      </c>
      <c r="B713" t="s">
        <v>342</v>
      </c>
      <c r="C713" s="8">
        <v>0</v>
      </c>
      <c r="D713" t="str">
        <f>VLOOKUP(Tabulation!$B713,Constants!$A:$C,2,FALSE)</f>
        <v>Cube View</v>
      </c>
      <c r="E713" t="str">
        <f>VLOOKUP(Tabulation!$B713,Constants!$A:$C,3,FALSE)</f>
        <v>Medium Volume</v>
      </c>
    </row>
    <row r="714" spans="1:5">
      <c r="A714" t="s">
        <v>556</v>
      </c>
      <c r="B714" t="s">
        <v>344</v>
      </c>
      <c r="C714" s="8">
        <v>0</v>
      </c>
      <c r="D714" t="str">
        <f>VLOOKUP(Tabulation!$B714,Constants!$A:$C,2,FALSE)</f>
        <v>Deployment</v>
      </c>
      <c r="E714" t="str">
        <f>VLOOKUP(Tabulation!$B714,Constants!$A:$C,3,FALSE)</f>
        <v>Medium Volume</v>
      </c>
    </row>
    <row r="715" spans="1:5">
      <c r="A715" t="s">
        <v>556</v>
      </c>
      <c r="B715" t="s">
        <v>346</v>
      </c>
      <c r="C715" s="8">
        <v>0</v>
      </c>
      <c r="D715" t="str">
        <f>VLOOKUP(Tabulation!$B715,Constants!$A:$C,2,FALSE)</f>
        <v>Object Erasure Schedule</v>
      </c>
      <c r="E715" t="str">
        <f>VLOOKUP(Tabulation!$B715,Constants!$A:$C,3,FALSE)</f>
        <v>Medium Volume</v>
      </c>
    </row>
    <row r="716" spans="1:5">
      <c r="A716" t="s">
        <v>556</v>
      </c>
      <c r="B716" t="s">
        <v>348</v>
      </c>
      <c r="C716" s="8">
        <v>41</v>
      </c>
      <c r="D716" t="str">
        <f>VLOOKUP(Tabulation!$B716,Constants!$A:$C,2,FALSE)</f>
        <v>Fact</v>
      </c>
      <c r="E716" t="str">
        <f>VLOOKUP(Tabulation!$B716,Constants!$A:$C,3,FALSE)</f>
        <v>Medium Volume</v>
      </c>
    </row>
    <row r="717" spans="1:5">
      <c r="A717" t="s">
        <v>556</v>
      </c>
      <c r="B717" t="s">
        <v>350</v>
      </c>
      <c r="C717" s="8">
        <v>343765</v>
      </c>
      <c r="D717" t="str">
        <f>VLOOKUP(Tabulation!$B717,Constants!$A:$C,2,FALSE)</f>
        <v>General Process</v>
      </c>
      <c r="E717" t="str">
        <f>VLOOKUP(Tabulation!$B717,Constants!$A:$C,3,FALSE)</f>
        <v>Medium Volume</v>
      </c>
    </row>
    <row r="718" spans="1:5">
      <c r="A718" t="s">
        <v>556</v>
      </c>
      <c r="B718" t="s">
        <v>352</v>
      </c>
      <c r="C718" s="8">
        <v>0</v>
      </c>
      <c r="D718" t="str">
        <f>VLOOKUP(Tabulation!$B718,Constants!$A:$C,2,FALSE)</f>
        <v>General Audit</v>
      </c>
      <c r="E718" t="str">
        <f>VLOOKUP(Tabulation!$B718,Constants!$A:$C,3,FALSE)</f>
        <v>Medium Volume</v>
      </c>
    </row>
    <row r="719" spans="1:5">
      <c r="A719" t="s">
        <v>556</v>
      </c>
      <c r="B719" t="s">
        <v>354</v>
      </c>
      <c r="C719" s="8">
        <v>0</v>
      </c>
      <c r="D719" t="str">
        <f>VLOOKUP(Tabulation!$B719,Constants!$A:$C,2,FALSE)</f>
        <v>Mobile Data Terminal</v>
      </c>
      <c r="E719" t="str">
        <f>VLOOKUP(Tabulation!$B719,Constants!$A:$C,3,FALSE)</f>
        <v>Medium Volume</v>
      </c>
    </row>
    <row r="720" spans="1:5">
      <c r="A720" t="s">
        <v>556</v>
      </c>
      <c r="B720" t="s">
        <v>356</v>
      </c>
      <c r="C720" s="8">
        <v>0</v>
      </c>
      <c r="D720" t="str">
        <f>VLOOKUP(Tabulation!$B720,Constants!$A:$C,2,FALSE)</f>
        <v>Mobile Data Terminal Type</v>
      </c>
      <c r="E720" t="str">
        <f>VLOOKUP(Tabulation!$B720,Constants!$A:$C,3,FALSE)</f>
        <v>Medium Volume</v>
      </c>
    </row>
    <row r="721" spans="1:5">
      <c r="A721" t="s">
        <v>556</v>
      </c>
      <c r="B721" t="s">
        <v>358</v>
      </c>
      <c r="C721" s="8">
        <v>564</v>
      </c>
      <c r="D721" t="str">
        <f>VLOOKUP(Tabulation!$B721,Constants!$A:$C,2,FALSE)</f>
        <v>Migration Data Set</v>
      </c>
      <c r="E721" t="str">
        <f>VLOOKUP(Tabulation!$B721,Constants!$A:$C,3,FALSE)</f>
        <v>Medium Volume</v>
      </c>
    </row>
    <row r="722" spans="1:5">
      <c r="A722" t="s">
        <v>556</v>
      </c>
      <c r="B722" t="s">
        <v>360</v>
      </c>
      <c r="C722" s="8">
        <v>76876</v>
      </c>
      <c r="D722" t="str">
        <f>VLOOKUP(Tabulation!$B722,Constants!$A:$C,2,FALSE)</f>
        <v>Migration Object</v>
      </c>
      <c r="E722" t="str">
        <f>VLOOKUP(Tabulation!$B722,Constants!$A:$C,3,FALSE)</f>
        <v>Medium Volume</v>
      </c>
    </row>
    <row r="723" spans="1:5">
      <c r="A723" t="s">
        <v>556</v>
      </c>
      <c r="B723" t="s">
        <v>362</v>
      </c>
      <c r="C723" s="8">
        <v>7698</v>
      </c>
      <c r="D723" t="str">
        <f>VLOOKUP(Tabulation!$B723,Constants!$A:$C,2,FALSE)</f>
        <v>Migration Transaction</v>
      </c>
      <c r="E723" t="str">
        <f>VLOOKUP(Tabulation!$B723,Constants!$A:$C,3,FALSE)</f>
        <v>Medium Volume</v>
      </c>
    </row>
    <row r="724" spans="1:5">
      <c r="A724" t="s">
        <v>556</v>
      </c>
      <c r="B724" t="s">
        <v>364</v>
      </c>
      <c r="C724" s="8">
        <v>0</v>
      </c>
      <c r="D724" t="str">
        <f>VLOOKUP(Tabulation!$B724,Constants!$A:$C,2,FALSE)</f>
        <v>Inbound Market Message</v>
      </c>
      <c r="E724" t="str">
        <f>VLOOKUP(Tabulation!$B724,Constants!$A:$C,3,FALSE)</f>
        <v>Medium Volume</v>
      </c>
    </row>
    <row r="725" spans="1:5">
      <c r="A725" t="s">
        <v>556</v>
      </c>
      <c r="B725" t="s">
        <v>366</v>
      </c>
      <c r="C725" s="8">
        <v>0</v>
      </c>
      <c r="D725" t="str">
        <f>VLOOKUP(Tabulation!$B725,Constants!$A:$C,2,FALSE)</f>
        <v>Outbound Market Message</v>
      </c>
      <c r="E725" t="str">
        <f>VLOOKUP(Tabulation!$B725,Constants!$A:$C,3,FALSE)</f>
        <v>Medium Volume</v>
      </c>
    </row>
    <row r="726" spans="1:5">
      <c r="A726" t="s">
        <v>556</v>
      </c>
      <c r="B726" t="s">
        <v>368</v>
      </c>
      <c r="C726" s="8">
        <v>0</v>
      </c>
      <c r="D726" t="str">
        <f>VLOOKUP(Tabulation!$B726,Constants!$A:$C,2,FALSE)</f>
        <v>Market Process</v>
      </c>
      <c r="E726" t="str">
        <f>VLOOKUP(Tabulation!$B726,Constants!$A:$C,3,FALSE)</f>
        <v>Medium Volume</v>
      </c>
    </row>
    <row r="727" spans="1:5">
      <c r="A727" t="s">
        <v>556</v>
      </c>
      <c r="B727" t="s">
        <v>370</v>
      </c>
      <c r="C727" s="8">
        <v>0</v>
      </c>
      <c r="D727" t="str">
        <f>VLOOKUP(Tabulation!$B727,Constants!$A:$C,2,FALSE)</f>
        <v>Market Process Event</v>
      </c>
      <c r="E727" t="str">
        <f>VLOOKUP(Tabulation!$B727,Constants!$A:$C,3,FALSE)</f>
        <v>Medium Volume</v>
      </c>
    </row>
    <row r="728" spans="1:5">
      <c r="A728" t="s">
        <v>556</v>
      </c>
      <c r="B728" t="s">
        <v>372</v>
      </c>
      <c r="C728" s="8">
        <v>0</v>
      </c>
      <c r="D728" t="str">
        <f>VLOOKUP(Tabulation!$B728,Constants!$A:$C,2,FALSE)</f>
        <v>Object Revision</v>
      </c>
      <c r="E728" t="str">
        <f>VLOOKUP(Tabulation!$B728,Constants!$A:$C,3,FALSE)</f>
        <v>Medium Volume</v>
      </c>
    </row>
    <row r="729" spans="1:5">
      <c r="A729" t="s">
        <v>556</v>
      </c>
      <c r="B729" t="s">
        <v>374</v>
      </c>
      <c r="C729" s="8">
        <v>259861</v>
      </c>
      <c r="D729" t="str">
        <f>VLOOKUP(Tabulation!$B729,Constants!$A:$C,2,FALSE)</f>
        <v>Outbound Message</v>
      </c>
      <c r="E729" t="str">
        <f>VLOOKUP(Tabulation!$B729,Constants!$A:$C,3,FALSE)</f>
        <v>Medium Volume</v>
      </c>
    </row>
    <row r="730" spans="1:5">
      <c r="A730" t="s">
        <v>556</v>
      </c>
      <c r="B730" t="s">
        <v>376</v>
      </c>
      <c r="C730" s="8">
        <v>6545</v>
      </c>
      <c r="D730" t="str">
        <f>VLOOKUP(Tabulation!$B730,Constants!$A:$C,2,FALSE)</f>
        <v>Process Flow</v>
      </c>
      <c r="E730" t="str">
        <f>VLOOKUP(Tabulation!$B730,Constants!$A:$C,3,FALSE)</f>
        <v>Medium Volume</v>
      </c>
    </row>
    <row r="731" spans="1:5">
      <c r="A731" t="s">
        <v>556</v>
      </c>
      <c r="B731" t="s">
        <v>378</v>
      </c>
      <c r="C731" s="8">
        <v>0</v>
      </c>
      <c r="D731" t="str">
        <f>VLOOKUP(Tabulation!$B731,Constants!$A:$C,2,FALSE)</f>
        <v>Mobile Remote Message</v>
      </c>
      <c r="E731" t="str">
        <f>VLOOKUP(Tabulation!$B731,Constants!$A:$C,3,FALSE)</f>
        <v>Medium Volume</v>
      </c>
    </row>
    <row r="732" spans="1:5">
      <c r="A732" t="s">
        <v>556</v>
      </c>
      <c r="B732" t="s">
        <v>380</v>
      </c>
      <c r="C732" s="8">
        <v>3</v>
      </c>
      <c r="D732" t="str">
        <f>VLOOKUP(Tabulation!$B732,Constants!$A:$C,2,FALSE)</f>
        <v>Request</v>
      </c>
      <c r="E732" t="str">
        <f>VLOOKUP(Tabulation!$B732,Constants!$A:$C,3,FALSE)</f>
        <v>Medium Volume</v>
      </c>
    </row>
    <row r="733" spans="1:5">
      <c r="A733" t="s">
        <v>556</v>
      </c>
      <c r="B733" t="s">
        <v>382</v>
      </c>
      <c r="C733" s="8">
        <v>0</v>
      </c>
      <c r="D733" t="str">
        <f>VLOOKUP(Tabulation!$B733,Constants!$A:$C,2,FALSE)</f>
        <v>Statistics Snapshot</v>
      </c>
      <c r="E733" t="str">
        <f>VLOOKUP(Tabulation!$B733,Constants!$A:$C,3,FALSE)</f>
        <v>Low Volume</v>
      </c>
    </row>
    <row r="734" spans="1:5">
      <c r="A734" t="s">
        <v>556</v>
      </c>
      <c r="B734" t="s">
        <v>384</v>
      </c>
      <c r="C734" s="8">
        <v>202487</v>
      </c>
      <c r="D734" t="str">
        <f>VLOOKUP(Tabulation!$B734,Constants!$A:$C,2,FALSE)</f>
        <v>Service Task</v>
      </c>
      <c r="E734" t="str">
        <f>VLOOKUP(Tabulation!$B734,Constants!$A:$C,3,FALSE)</f>
        <v>Medium Volume</v>
      </c>
    </row>
    <row r="735" spans="1:5">
      <c r="A735" t="s">
        <v>556</v>
      </c>
      <c r="B735" t="s">
        <v>386</v>
      </c>
      <c r="C735" s="8">
        <v>286321</v>
      </c>
      <c r="D735" t="str">
        <f>VLOOKUP(Tabulation!$B735,Constants!$A:$C,2,FALSE)</f>
        <v>Sync Request</v>
      </c>
      <c r="E735" t="str">
        <f>VLOOKUP(Tabulation!$B735,Constants!$A:$C,3,FALSE)</f>
        <v>Medium Volume</v>
      </c>
    </row>
    <row r="736" spans="1:5">
      <c r="A736" t="s">
        <v>556</v>
      </c>
      <c r="B736" t="s">
        <v>388</v>
      </c>
      <c r="C736" s="8">
        <v>94776</v>
      </c>
      <c r="D736" t="str">
        <f>VLOOKUP(Tabulation!$B736,Constants!$A:$C,2,FALSE)</f>
        <v>Inbound Sync Request</v>
      </c>
      <c r="E736" t="str">
        <f>VLOOKUP(Tabulation!$B736,Constants!$A:$C,3,FALSE)</f>
        <v>Medium Volume</v>
      </c>
    </row>
    <row r="737" spans="1:5">
      <c r="A737" t="s">
        <v>556</v>
      </c>
      <c r="B737" t="s">
        <v>390</v>
      </c>
      <c r="C737" s="8">
        <v>0</v>
      </c>
      <c r="D737" t="str">
        <f>VLOOKUP(Tabulation!$B737,Constants!$A:$C,2,FALSE)</f>
        <v>Time Dimension</v>
      </c>
      <c r="E737" t="str">
        <f>VLOOKUP(Tabulation!$B737,Constants!$A:$C,3,FALSE)</f>
        <v>Medium Volume</v>
      </c>
    </row>
    <row r="738" spans="1:5">
      <c r="A738" t="s">
        <v>556</v>
      </c>
      <c r="B738" t="s">
        <v>392</v>
      </c>
      <c r="C738" s="8">
        <v>0</v>
      </c>
      <c r="D738" t="str">
        <f>VLOOKUP(Tabulation!$B738,Constants!$A:$C,2,FALSE)</f>
        <v>Accept Line</v>
      </c>
      <c r="E738" t="str">
        <f>VLOOKUP(Tabulation!$B738,Constants!$A:$C,3,FALSE)</f>
        <v>Medium Volume</v>
      </c>
    </row>
    <row r="739" spans="1:5">
      <c r="A739" t="s">
        <v>556</v>
      </c>
      <c r="B739" t="s">
        <v>394</v>
      </c>
      <c r="C739" s="8">
        <v>24</v>
      </c>
      <c r="D739" t="str">
        <f>VLOOKUP(Tabulation!$B739,Constants!$A:$C,2,FALSE)</f>
        <v>Activity</v>
      </c>
      <c r="E739" t="str">
        <f>VLOOKUP(Tabulation!$B739,Constants!$A:$C,3,FALSE)</f>
        <v>Medium Volume</v>
      </c>
    </row>
    <row r="740" spans="1:5">
      <c r="A740" t="s">
        <v>556</v>
      </c>
      <c r="B740" t="s">
        <v>395</v>
      </c>
      <c r="C740" s="8">
        <v>0</v>
      </c>
      <c r="D740" t="str">
        <f>VLOOKUP(Tabulation!$B740,Constants!$A:$C,2,FALSE)</f>
        <v>Activity Construction Location</v>
      </c>
      <c r="E740" t="str">
        <f>VLOOKUP(Tabulation!$B740,Constants!$A:$C,3,FALSE)</f>
        <v>Medium Volume</v>
      </c>
    </row>
    <row r="741" spans="1:5">
      <c r="A741" t="s">
        <v>556</v>
      </c>
      <c r="B741" t="s">
        <v>397</v>
      </c>
      <c r="C741" s="8">
        <v>0</v>
      </c>
      <c r="D741" t="str">
        <f>VLOOKUP(Tabulation!$B741,Constants!$A:$C,2,FALSE)</f>
        <v>Activity Reconciliation</v>
      </c>
      <c r="E741" t="str">
        <f>VLOOKUP(Tabulation!$B741,Constants!$A:$C,3,FALSE)</f>
        <v>Medium Volume</v>
      </c>
    </row>
    <row r="742" spans="1:5">
      <c r="A742" t="s">
        <v>556</v>
      </c>
      <c r="B742" t="s">
        <v>399</v>
      </c>
      <c r="C742" s="8">
        <v>0</v>
      </c>
      <c r="D742" t="str">
        <f>VLOOKUP(Tabulation!$B742,Constants!$A:$C,2,FALSE)</f>
        <v>Activity Resource Requirement</v>
      </c>
      <c r="E742" t="str">
        <f>VLOOKUP(Tabulation!$B742,Constants!$A:$C,3,FALSE)</f>
        <v>Medium Volume</v>
      </c>
    </row>
    <row r="743" spans="1:5">
      <c r="A743" t="s">
        <v>556</v>
      </c>
      <c r="B743" t="s">
        <v>401</v>
      </c>
      <c r="C743" s="8">
        <v>0</v>
      </c>
      <c r="D743" t="str">
        <f>VLOOKUP(Tabulation!$B743,Constants!$A:$C,2,FALSE)</f>
        <v>Cost Adjustment</v>
      </c>
      <c r="E743" t="str">
        <f>VLOOKUP(Tabulation!$B743,Constants!$A:$C,3,FALSE)</f>
        <v>Medium Volume</v>
      </c>
    </row>
    <row r="744" spans="1:5">
      <c r="A744" t="s">
        <v>556</v>
      </c>
      <c r="B744" t="s">
        <v>403</v>
      </c>
      <c r="C744" s="8">
        <v>0</v>
      </c>
      <c r="D744" t="str">
        <f>VLOOKUP(Tabulation!$B744,Constants!$A:$C,2,FALSE)</f>
        <v>Approval Request</v>
      </c>
      <c r="E744" t="str">
        <f>VLOOKUP(Tabulation!$B744,Constants!$A:$C,3,FALSE)</f>
        <v>Medium Volume</v>
      </c>
    </row>
    <row r="745" spans="1:5">
      <c r="A745" t="s">
        <v>556</v>
      </c>
      <c r="B745" t="s">
        <v>404</v>
      </c>
      <c r="C745" s="8">
        <v>50791</v>
      </c>
      <c r="D745" t="str">
        <f>VLOOKUP(Tabulation!$B745,Constants!$A:$C,2,FALSE)</f>
        <v>Asset</v>
      </c>
      <c r="E745" t="str">
        <f>VLOOKUP(Tabulation!$B745,Constants!$A:$C,3,FALSE)</f>
        <v>Medium Volume</v>
      </c>
    </row>
    <row r="746" spans="1:5">
      <c r="A746" t="s">
        <v>556</v>
      </c>
      <c r="B746" t="s">
        <v>406</v>
      </c>
      <c r="C746" s="8">
        <v>0</v>
      </c>
      <c r="D746" t="str">
        <f>VLOOKUP(Tabulation!$B746,Constants!$A:$C,2,FALSE)</f>
        <v>Blanket Contract Header</v>
      </c>
      <c r="E746" t="str">
        <f>VLOOKUP(Tabulation!$B746,Constants!$A:$C,3,FALSE)</f>
        <v>Medium Volume</v>
      </c>
    </row>
    <row r="747" spans="1:5">
      <c r="A747" t="s">
        <v>556</v>
      </c>
      <c r="B747" t="s">
        <v>408</v>
      </c>
      <c r="C747" s="8">
        <v>0</v>
      </c>
      <c r="D747" t="str">
        <f>VLOOKUP(Tabulation!$B747,Constants!$A:$C,2,FALSE)</f>
        <v>Blanket Contract Line</v>
      </c>
      <c r="E747" t="str">
        <f>VLOOKUP(Tabulation!$B747,Constants!$A:$C,3,FALSE)</f>
        <v>Medium Volume</v>
      </c>
    </row>
    <row r="748" spans="1:5">
      <c r="A748" t="s">
        <v>556</v>
      </c>
      <c r="B748" t="s">
        <v>410</v>
      </c>
      <c r="C748" s="8">
        <v>0</v>
      </c>
      <c r="D748" t="str">
        <f>VLOOKUP(Tabulation!$B748,Constants!$A:$C,2,FALSE)</f>
        <v>Bill of Materials Part</v>
      </c>
      <c r="E748" t="str">
        <f>VLOOKUP(Tabulation!$B748,Constants!$A:$C,3,FALSE)</f>
        <v>Medium Volume</v>
      </c>
    </row>
    <row r="749" spans="1:5">
      <c r="A749" t="s">
        <v>556</v>
      </c>
      <c r="B749" t="s">
        <v>412</v>
      </c>
      <c r="C749" s="8">
        <v>0</v>
      </c>
      <c r="D749" t="str">
        <f>VLOOKUP(Tabulation!$B749,Constants!$A:$C,2,FALSE)</f>
        <v>Change Request</v>
      </c>
      <c r="E749" t="str">
        <f>VLOOKUP(Tabulation!$B749,Constants!$A:$C,3,FALSE)</f>
        <v>Medium Volume</v>
      </c>
    </row>
    <row r="750" spans="1:5">
      <c r="A750" t="s">
        <v>556</v>
      </c>
      <c r="B750" t="s">
        <v>414</v>
      </c>
      <c r="C750" s="8">
        <v>0</v>
      </c>
      <c r="D750" t="str">
        <f>VLOOKUP(Tabulation!$B750,Constants!$A:$C,2,FALSE)</f>
        <v>Checklist</v>
      </c>
      <c r="E750" t="str">
        <f>VLOOKUP(Tabulation!$B750,Constants!$A:$C,3,FALSE)</f>
        <v>Medium Volume</v>
      </c>
    </row>
    <row r="751" spans="1:5">
      <c r="A751" t="s">
        <v>556</v>
      </c>
      <c r="B751" t="s">
        <v>416</v>
      </c>
      <c r="C751" s="8">
        <v>24</v>
      </c>
      <c r="D751" t="str">
        <f>VLOOKUP(Tabulation!$B751,Constants!$A:$C,2,FALSE)</f>
        <v>Completion Event</v>
      </c>
      <c r="E751" t="str">
        <f>VLOOKUP(Tabulation!$B751,Constants!$A:$C,3,FALSE)</f>
        <v>Medium Volume</v>
      </c>
    </row>
    <row r="752" spans="1:5">
      <c r="A752" t="s">
        <v>556</v>
      </c>
      <c r="B752" t="s">
        <v>417</v>
      </c>
      <c r="C752" s="8">
        <v>0</v>
      </c>
      <c r="D752" t="str">
        <f>VLOOKUP(Tabulation!$B752,Constants!$A:$C,2,FALSE)</f>
        <v>Communication</v>
      </c>
      <c r="E752" t="str">
        <f>VLOOKUP(Tabulation!$B752,Constants!$A:$C,3,FALSE)</f>
        <v>Medium Volume</v>
      </c>
    </row>
    <row r="753" spans="1:5">
      <c r="A753" t="s">
        <v>556</v>
      </c>
      <c r="B753" t="s">
        <v>419</v>
      </c>
      <c r="C753" s="8">
        <v>0</v>
      </c>
      <c r="D753" t="str">
        <f>VLOOKUP(Tabulation!$B753,Constants!$A:$C,2,FALSE)</f>
        <v>Communication In</v>
      </c>
      <c r="E753" t="str">
        <f>VLOOKUP(Tabulation!$B753,Constants!$A:$C,3,FALSE)</f>
        <v>Medium Volume</v>
      </c>
    </row>
    <row r="754" spans="1:5">
      <c r="A754" t="s">
        <v>556</v>
      </c>
      <c r="B754" t="s">
        <v>420</v>
      </c>
      <c r="C754" s="8">
        <v>0</v>
      </c>
      <c r="D754" t="str">
        <f>VLOOKUP(Tabulation!$B754,Constants!$A:$C,2,FALSE)</f>
        <v>Configuration</v>
      </c>
      <c r="E754" t="str">
        <f>VLOOKUP(Tabulation!$B754,Constants!$A:$C,3,FALSE)</f>
        <v>Medium Volume</v>
      </c>
    </row>
    <row r="755" spans="1:5">
      <c r="A755" t="s">
        <v>556</v>
      </c>
      <c r="B755" t="s">
        <v>422</v>
      </c>
      <c r="C755" s="8">
        <v>0</v>
      </c>
      <c r="D755" t="str">
        <f>VLOOKUP(Tabulation!$B755,Constants!$A:$C,2,FALSE)</f>
        <v>Configuration Report</v>
      </c>
      <c r="E755" t="str">
        <f>VLOOKUP(Tabulation!$B755,Constants!$A:$C,3,FALSE)</f>
        <v>Medium Volume</v>
      </c>
    </row>
    <row r="756" spans="1:5">
      <c r="A756" t="s">
        <v>556</v>
      </c>
      <c r="B756" t="s">
        <v>424</v>
      </c>
      <c r="C756" s="8">
        <v>48019</v>
      </c>
      <c r="D756" t="str">
        <f>VLOOKUP(Tabulation!$B756,Constants!$A:$C,2,FALSE)</f>
        <v>Contact</v>
      </c>
      <c r="E756" t="str">
        <f>VLOOKUP(Tabulation!$B756,Constants!$A:$C,3,FALSE)</f>
        <v>Medium Volume</v>
      </c>
    </row>
    <row r="757" spans="1:5">
      <c r="A757" t="s">
        <v>556</v>
      </c>
      <c r="B757" t="s">
        <v>425</v>
      </c>
      <c r="C757" s="8">
        <v>0</v>
      </c>
      <c r="D757" t="str">
        <f>VLOOKUP(Tabulation!$B757,Constants!$A:$C,2,FALSE)</f>
        <v>Crew</v>
      </c>
      <c r="E757" t="str">
        <f>VLOOKUP(Tabulation!$B757,Constants!$A:$C,3,FALSE)</f>
        <v>Medium Volume</v>
      </c>
    </row>
    <row r="758" spans="1:5">
      <c r="A758" t="s">
        <v>556</v>
      </c>
      <c r="B758" t="s">
        <v>427</v>
      </c>
      <c r="C758" s="8">
        <v>0</v>
      </c>
      <c r="D758" t="str">
        <f>VLOOKUP(Tabulation!$B758,Constants!$A:$C,2,FALSE)</f>
        <v>Crew Shift</v>
      </c>
      <c r="E758" t="str">
        <f>VLOOKUP(Tabulation!$B758,Constants!$A:$C,3,FALSE)</f>
        <v>Medium Volume</v>
      </c>
    </row>
    <row r="759" spans="1:5">
      <c r="A759" t="s">
        <v>556</v>
      </c>
      <c r="B759" t="s">
        <v>429</v>
      </c>
      <c r="C759" s="8">
        <v>0</v>
      </c>
      <c r="D759" t="str">
        <f>VLOOKUP(Tabulation!$B759,Constants!$A:$C,2,FALSE)</f>
        <v>Compatible Unit</v>
      </c>
      <c r="E759" t="str">
        <f>VLOOKUP(Tabulation!$B759,Constants!$A:$C,3,FALSE)</f>
        <v>Medium Volume</v>
      </c>
    </row>
    <row r="760" spans="1:5">
      <c r="A760" t="s">
        <v>556</v>
      </c>
      <c r="B760" t="s">
        <v>431</v>
      </c>
      <c r="C760" s="8">
        <v>0</v>
      </c>
      <c r="D760" t="str">
        <f>VLOOKUP(Tabulation!$B760,Constants!$A:$C,2,FALSE)</f>
        <v>CU Contractor Bid</v>
      </c>
      <c r="E760" t="str">
        <f>VLOOKUP(Tabulation!$B760,Constants!$A:$C,3,FALSE)</f>
        <v>Medium Volume</v>
      </c>
    </row>
    <row r="761" spans="1:5">
      <c r="A761" t="s">
        <v>556</v>
      </c>
      <c r="B761" t="s">
        <v>433</v>
      </c>
      <c r="C761" s="8">
        <v>0</v>
      </c>
      <c r="D761" t="str">
        <f>VLOOKUP(Tabulation!$B761,Constants!$A:$C,2,FALSE)</f>
        <v>Design Element</v>
      </c>
      <c r="E761" t="str">
        <f>VLOOKUP(Tabulation!$B761,Constants!$A:$C,3,FALSE)</f>
        <v>Medium Volume</v>
      </c>
    </row>
    <row r="762" spans="1:5">
      <c r="A762" t="s">
        <v>556</v>
      </c>
      <c r="B762" t="s">
        <v>435</v>
      </c>
      <c r="C762" s="8">
        <v>0</v>
      </c>
      <c r="D762" t="str">
        <f>VLOOKUP(Tabulation!$B762,Constants!$A:$C,2,FALSE)</f>
        <v>Document</v>
      </c>
      <c r="E762" t="str">
        <f>VLOOKUP(Tabulation!$B762,Constants!$A:$C,3,FALSE)</f>
        <v>Medium Volume</v>
      </c>
    </row>
    <row r="763" spans="1:5">
      <c r="A763" t="s">
        <v>556</v>
      </c>
      <c r="B763" t="s">
        <v>437</v>
      </c>
      <c r="C763" s="8">
        <v>0</v>
      </c>
      <c r="D763" t="str">
        <f>VLOOKUP(Tabulation!$B763,Constants!$A:$C,2,FALSE)</f>
        <v>Employee</v>
      </c>
      <c r="E763" t="str">
        <f>VLOOKUP(Tabulation!$B763,Constants!$A:$C,3,FALSE)</f>
        <v>Medium Volume</v>
      </c>
    </row>
    <row r="764" spans="1:5">
      <c r="A764" t="s">
        <v>556</v>
      </c>
      <c r="B764" t="s">
        <v>439</v>
      </c>
      <c r="C764" s="8">
        <v>0</v>
      </c>
      <c r="D764" t="str">
        <f>VLOOKUP(Tabulation!$B764,Constants!$A:$C,2,FALSE)</f>
        <v>Employee Unavailability</v>
      </c>
      <c r="E764" t="str">
        <f>VLOOKUP(Tabulation!$B764,Constants!$A:$C,3,FALSE)</f>
        <v>Medium Volume</v>
      </c>
    </row>
    <row r="765" spans="1:5">
      <c r="A765" t="s">
        <v>556</v>
      </c>
      <c r="B765" t="s">
        <v>441</v>
      </c>
      <c r="C765" s="8">
        <v>0</v>
      </c>
      <c r="D765" t="str">
        <f>VLOOKUP(Tabulation!$B765,Constants!$A:$C,2,FALSE)</f>
        <v>Expedite Purchase Order</v>
      </c>
      <c r="E765" t="str">
        <f>VLOOKUP(Tabulation!$B765,Constants!$A:$C,3,FALSE)</f>
        <v>High Volume</v>
      </c>
    </row>
    <row r="766" spans="1:5">
      <c r="A766" t="s">
        <v>556</v>
      </c>
      <c r="B766" t="s">
        <v>443</v>
      </c>
      <c r="C766" s="8">
        <v>0</v>
      </c>
      <c r="D766" t="str">
        <f>VLOOKUP(Tabulation!$B766,Constants!$A:$C,2,FALSE)</f>
        <v>Financial Transaction</v>
      </c>
      <c r="E766" t="str">
        <f>VLOOKUP(Tabulation!$B766,Constants!$A:$C,3,FALSE)</f>
        <v>Medium Volume</v>
      </c>
    </row>
    <row r="767" spans="1:5">
      <c r="A767" t="s">
        <v>556</v>
      </c>
      <c r="B767" t="s">
        <v>444</v>
      </c>
      <c r="C767" s="8">
        <v>0</v>
      </c>
      <c r="D767" t="str">
        <f>VLOOKUP(Tabulation!$B767,Constants!$A:$C,2,FALSE)</f>
        <v>Invoice Group</v>
      </c>
      <c r="E767" t="str">
        <f>VLOOKUP(Tabulation!$B767,Constants!$A:$C,3,FALSE)</f>
        <v>Medium Volume</v>
      </c>
    </row>
    <row r="768" spans="1:5">
      <c r="A768" t="s">
        <v>556</v>
      </c>
      <c r="B768" t="s">
        <v>446</v>
      </c>
      <c r="C768" s="8">
        <v>0</v>
      </c>
      <c r="D768" t="str">
        <f>VLOOKUP(Tabulation!$B768,Constants!$A:$C,2,FALSE)</f>
        <v>Invoice Header</v>
      </c>
      <c r="E768" t="str">
        <f>VLOOKUP(Tabulation!$B768,Constants!$A:$C,3,FALSE)</f>
        <v>Medium Volume</v>
      </c>
    </row>
    <row r="769" spans="1:5">
      <c r="A769" t="s">
        <v>556</v>
      </c>
      <c r="B769" t="s">
        <v>448</v>
      </c>
      <c r="C769" s="8">
        <v>0</v>
      </c>
      <c r="D769" t="str">
        <f>VLOOKUP(Tabulation!$B769,Constants!$A:$C,2,FALSE)</f>
        <v>Invoice Line</v>
      </c>
      <c r="E769" t="str">
        <f>VLOOKUP(Tabulation!$B769,Constants!$A:$C,3,FALSE)</f>
        <v>Medium Volume</v>
      </c>
    </row>
    <row r="770" spans="1:5">
      <c r="A770" t="s">
        <v>556</v>
      </c>
      <c r="B770" t="s">
        <v>450</v>
      </c>
      <c r="C770" s="8">
        <v>0</v>
      </c>
      <c r="D770" t="str">
        <f>VLOOKUP(Tabulation!$B770,Constants!$A:$C,2,FALSE)</f>
        <v>Inventory Adjustment</v>
      </c>
      <c r="E770" t="str">
        <f>VLOOKUP(Tabulation!$B770,Constants!$A:$C,3,FALSE)</f>
        <v>Medium Volume</v>
      </c>
    </row>
    <row r="771" spans="1:5">
      <c r="A771" t="s">
        <v>556</v>
      </c>
      <c r="B771" t="s">
        <v>452</v>
      </c>
      <c r="C771" s="8">
        <v>0</v>
      </c>
      <c r="D771" t="str">
        <f>VLOOKUP(Tabulation!$B771,Constants!$A:$C,2,FALSE)</f>
        <v>Maintenance Event</v>
      </c>
      <c r="E771" t="str">
        <f>VLOOKUP(Tabulation!$B771,Constants!$A:$C,3,FALSE)</f>
        <v>Medium Volume</v>
      </c>
    </row>
    <row r="772" spans="1:5">
      <c r="A772" t="s">
        <v>556</v>
      </c>
      <c r="B772" t="s">
        <v>454</v>
      </c>
      <c r="C772" s="8">
        <v>0</v>
      </c>
      <c r="D772" t="str">
        <f>VLOOKUP(Tabulation!$B772,Constants!$A:$C,2,FALSE)</f>
        <v>Maintenance Schedule</v>
      </c>
      <c r="E772" t="str">
        <f>VLOOKUP(Tabulation!$B772,Constants!$A:$C,3,FALSE)</f>
        <v>Medium Volume</v>
      </c>
    </row>
    <row r="773" spans="1:5">
      <c r="A773" t="s">
        <v>556</v>
      </c>
      <c r="B773" t="s">
        <v>456</v>
      </c>
      <c r="C773" s="8">
        <v>0</v>
      </c>
      <c r="D773" t="str">
        <f>VLOOKUP(Tabulation!$B773,Constants!$A:$C,2,FALSE)</f>
        <v>Maintenance Trigger</v>
      </c>
      <c r="E773" t="str">
        <f>VLOOKUP(Tabulation!$B773,Constants!$A:$C,3,FALSE)</f>
        <v>Medium Volume</v>
      </c>
    </row>
    <row r="774" spans="1:5">
      <c r="A774" t="s">
        <v>556</v>
      </c>
      <c r="B774" t="s">
        <v>458</v>
      </c>
      <c r="C774" s="8">
        <v>0</v>
      </c>
      <c r="D774" t="str">
        <f>VLOOKUP(Tabulation!$B774,Constants!$A:$C,2,FALSE)</f>
        <v>Material Disposition</v>
      </c>
      <c r="E774" t="str">
        <f>VLOOKUP(Tabulation!$B774,Constants!$A:$C,3,FALSE)</f>
        <v>Medium Volume</v>
      </c>
    </row>
    <row r="775" spans="1:5">
      <c r="A775" t="s">
        <v>556</v>
      </c>
      <c r="B775" t="s">
        <v>460</v>
      </c>
      <c r="C775" s="8">
        <v>0</v>
      </c>
      <c r="D775" t="str">
        <f>VLOOKUP(Tabulation!$B775,Constants!$A:$C,2,FALSE)</f>
        <v>Material Issue Line</v>
      </c>
      <c r="E775" t="str">
        <f>VLOOKUP(Tabulation!$B775,Constants!$A:$C,3,FALSE)</f>
        <v>Medium Volume</v>
      </c>
    </row>
    <row r="776" spans="1:5">
      <c r="A776" t="s">
        <v>556</v>
      </c>
      <c r="B776" t="s">
        <v>462</v>
      </c>
      <c r="C776" s="8">
        <v>0</v>
      </c>
      <c r="D776" t="str">
        <f>VLOOKUP(Tabulation!$B776,Constants!$A:$C,2,FALSE)</f>
        <v>Material Request Header</v>
      </c>
      <c r="E776" t="str">
        <f>VLOOKUP(Tabulation!$B776,Constants!$A:$C,3,FALSE)</f>
        <v>Medium Volume</v>
      </c>
    </row>
    <row r="777" spans="1:5">
      <c r="A777" t="s">
        <v>556</v>
      </c>
      <c r="B777" t="s">
        <v>464</v>
      </c>
      <c r="C777" s="8">
        <v>0</v>
      </c>
      <c r="D777" t="str">
        <f>VLOOKUP(Tabulation!$B777,Constants!$A:$C,2,FALSE)</f>
        <v>Material Request Line</v>
      </c>
      <c r="E777" t="str">
        <f>VLOOKUP(Tabulation!$B777,Constants!$A:$C,3,FALSE)</f>
        <v>Medium Volume</v>
      </c>
    </row>
    <row r="778" spans="1:5">
      <c r="A778" t="s">
        <v>556</v>
      </c>
      <c r="B778" t="s">
        <v>466</v>
      </c>
      <c r="C778" s="8">
        <v>0</v>
      </c>
      <c r="D778" t="str">
        <f>VLOOKUP(Tabulation!$B778,Constants!$A:$C,2,FALSE)</f>
        <v>Material Request Template</v>
      </c>
      <c r="E778" t="str">
        <f>VLOOKUP(Tabulation!$B778,Constants!$A:$C,3,FALSE)</f>
        <v>Medium Volume</v>
      </c>
    </row>
    <row r="779" spans="1:5">
      <c r="A779" t="s">
        <v>556</v>
      </c>
      <c r="B779" t="s">
        <v>468</v>
      </c>
      <c r="C779" s="8">
        <v>0</v>
      </c>
      <c r="D779" t="str">
        <f>VLOOKUP(Tabulation!$B779,Constants!$A:$C,2,FALSE)</f>
        <v>Material Return Header</v>
      </c>
      <c r="E779" t="str">
        <f>VLOOKUP(Tabulation!$B779,Constants!$A:$C,3,FALSE)</f>
        <v>Medium Volume</v>
      </c>
    </row>
    <row r="780" spans="1:5">
      <c r="A780" t="s">
        <v>556</v>
      </c>
      <c r="B780" t="s">
        <v>470</v>
      </c>
      <c r="C780" s="8">
        <v>0</v>
      </c>
      <c r="D780" t="str">
        <f>VLOOKUP(Tabulation!$B780,Constants!$A:$C,2,FALSE)</f>
        <v>Material Return Line</v>
      </c>
      <c r="E780" t="str">
        <f>VLOOKUP(Tabulation!$B780,Constants!$A:$C,3,FALSE)</f>
        <v>Medium Volume</v>
      </c>
    </row>
    <row r="781" spans="1:5">
      <c r="A781" t="s">
        <v>556</v>
      </c>
      <c r="B781" t="s">
        <v>472</v>
      </c>
      <c r="C781" s="8">
        <v>0</v>
      </c>
      <c r="D781" t="str">
        <f>VLOOKUP(Tabulation!$B781,Constants!$A:$C,2,FALSE)</f>
        <v>Measurement</v>
      </c>
      <c r="E781" t="str">
        <f>VLOOKUP(Tabulation!$B781,Constants!$A:$C,3,FALSE)</f>
        <v>Medium Volume</v>
      </c>
    </row>
    <row r="782" spans="1:5">
      <c r="A782" t="s">
        <v>556</v>
      </c>
      <c r="B782" t="s">
        <v>473</v>
      </c>
      <c r="C782" s="8">
        <v>0</v>
      </c>
      <c r="D782" t="str">
        <f>VLOOKUP(Tabulation!$B782,Constants!$A:$C,2,FALSE)</f>
        <v>Mobile Subscription</v>
      </c>
      <c r="E782" t="str">
        <f>VLOOKUP(Tabulation!$B782,Constants!$A:$C,3,FALSE)</f>
        <v>Medium Volume</v>
      </c>
    </row>
    <row r="783" spans="1:5">
      <c r="A783" t="s">
        <v>556</v>
      </c>
      <c r="B783" t="s">
        <v>475</v>
      </c>
      <c r="C783" s="8">
        <v>32603</v>
      </c>
      <c r="D783" t="str">
        <f>VLOOKUP(Tabulation!$B783,Constants!$A:$C,2,FALSE)</f>
        <v>Location/Organization</v>
      </c>
      <c r="E783" t="str">
        <f>VLOOKUP(Tabulation!$B783,Constants!$A:$C,3,FALSE)</f>
        <v>Medium Volume</v>
      </c>
    </row>
    <row r="784" spans="1:5">
      <c r="A784" t="s">
        <v>556</v>
      </c>
      <c r="B784" t="s">
        <v>477</v>
      </c>
      <c r="C784" s="8">
        <v>0</v>
      </c>
      <c r="D784" t="str">
        <f>VLOOKUP(Tabulation!$B784,Constants!$A:$C,2,FALSE)</f>
        <v>Other Direct Charges</v>
      </c>
      <c r="E784" t="str">
        <f>VLOOKUP(Tabulation!$B784,Constants!$A:$C,3,FALSE)</f>
        <v>Medium Volume</v>
      </c>
    </row>
    <row r="785" spans="1:5">
      <c r="A785" t="s">
        <v>556</v>
      </c>
      <c r="B785" t="s">
        <v>479</v>
      </c>
      <c r="C785" s="8">
        <v>0</v>
      </c>
      <c r="D785" t="str">
        <f>VLOOKUP(Tabulation!$B785,Constants!$A:$C,2,FALSE)</f>
        <v>Other Direct Charges Detail</v>
      </c>
      <c r="E785" t="str">
        <f>VLOOKUP(Tabulation!$B785,Constants!$A:$C,3,FALSE)</f>
        <v>Medium Volume</v>
      </c>
    </row>
    <row r="786" spans="1:5">
      <c r="A786" t="s">
        <v>556</v>
      </c>
      <c r="B786" t="s">
        <v>481</v>
      </c>
      <c r="C786" s="8">
        <v>0</v>
      </c>
      <c r="D786" t="str">
        <f>VLOOKUP(Tabulation!$B786,Constants!$A:$C,2,FALSE)</f>
        <v>Permit</v>
      </c>
      <c r="E786" t="str">
        <f>VLOOKUP(Tabulation!$B786,Constants!$A:$C,3,FALSE)</f>
        <v>Medium Volume</v>
      </c>
    </row>
    <row r="787" spans="1:5">
      <c r="A787" t="s">
        <v>556</v>
      </c>
      <c r="B787" t="s">
        <v>483</v>
      </c>
      <c r="C787" s="8">
        <v>0</v>
      </c>
      <c r="D787" t="str">
        <f>VLOOKUP(Tabulation!$B787,Constants!$A:$C,2,FALSE)</f>
        <v>Physical Inventory Count Line</v>
      </c>
      <c r="E787" t="str">
        <f>VLOOKUP(Tabulation!$B787,Constants!$A:$C,3,FALSE)</f>
        <v>Medium Volume</v>
      </c>
    </row>
    <row r="788" spans="1:5">
      <c r="A788" t="s">
        <v>556</v>
      </c>
      <c r="B788" t="s">
        <v>485</v>
      </c>
      <c r="C788" s="8">
        <v>0</v>
      </c>
      <c r="D788" t="str">
        <f>VLOOKUP(Tabulation!$B788,Constants!$A:$C,2,FALSE)</f>
        <v>Physical Inventory Count Master</v>
      </c>
      <c r="E788" t="str">
        <f>VLOOKUP(Tabulation!$B788,Constants!$A:$C,3,FALSE)</f>
        <v>Medium Volume</v>
      </c>
    </row>
    <row r="789" spans="1:5">
      <c r="A789" t="s">
        <v>556</v>
      </c>
      <c r="B789" t="s">
        <v>487</v>
      </c>
      <c r="C789" s="8">
        <v>0</v>
      </c>
      <c r="D789" t="str">
        <f>VLOOKUP(Tabulation!$B789,Constants!$A:$C,2,FALSE)</f>
        <v>Physical Inventory Header</v>
      </c>
      <c r="E789" t="str">
        <f>VLOOKUP(Tabulation!$B789,Constants!$A:$C,3,FALSE)</f>
        <v>Medium Volume</v>
      </c>
    </row>
    <row r="790" spans="1:5">
      <c r="A790" t="s">
        <v>556</v>
      </c>
      <c r="B790" t="s">
        <v>489</v>
      </c>
      <c r="C790" s="8">
        <v>0</v>
      </c>
      <c r="D790" t="str">
        <f>VLOOKUP(Tabulation!$B790,Constants!$A:$C,2,FALSE)</f>
        <v>Purchase Order Header</v>
      </c>
      <c r="E790" t="str">
        <f>VLOOKUP(Tabulation!$B790,Constants!$A:$C,3,FALSE)</f>
        <v>Medium Volume</v>
      </c>
    </row>
    <row r="791" spans="1:5">
      <c r="A791" t="s">
        <v>556</v>
      </c>
      <c r="B791" t="s">
        <v>491</v>
      </c>
      <c r="C791" s="8">
        <v>0</v>
      </c>
      <c r="D791" t="str">
        <f>VLOOKUP(Tabulation!$B791,Constants!$A:$C,2,FALSE)</f>
        <v>Purchase Order Line</v>
      </c>
      <c r="E791" t="str">
        <f>VLOOKUP(Tabulation!$B791,Constants!$A:$C,3,FALSE)</f>
        <v>Medium Volume</v>
      </c>
    </row>
    <row r="792" spans="1:5">
      <c r="A792" t="s">
        <v>556</v>
      </c>
      <c r="B792" t="s">
        <v>493</v>
      </c>
      <c r="C792" s="8">
        <v>0</v>
      </c>
      <c r="D792" t="str">
        <f>VLOOKUP(Tabulation!$B792,Constants!$A:$C,2,FALSE)</f>
        <v>Functional Process</v>
      </c>
      <c r="E792" t="str">
        <f>VLOOKUP(Tabulation!$B792,Constants!$A:$C,3,FALSE)</f>
        <v>Medium Volume</v>
      </c>
    </row>
    <row r="793" spans="1:5">
      <c r="A793" t="s">
        <v>556</v>
      </c>
      <c r="B793" t="s">
        <v>495</v>
      </c>
      <c r="C793" s="8">
        <v>0</v>
      </c>
      <c r="D793" t="str">
        <f>VLOOKUP(Tabulation!$B793,Constants!$A:$C,2,FALSE)</f>
        <v>Project</v>
      </c>
      <c r="E793" t="str">
        <f>VLOOKUP(Tabulation!$B793,Constants!$A:$C,3,FALSE)</f>
        <v>Medium Volume</v>
      </c>
    </row>
    <row r="794" spans="1:5">
      <c r="A794" t="s">
        <v>556</v>
      </c>
      <c r="B794" t="s">
        <v>497</v>
      </c>
      <c r="C794" s="8">
        <v>0</v>
      </c>
      <c r="D794" t="str">
        <f>VLOOKUP(Tabulation!$B794,Constants!$A:$C,2,FALSE)</f>
        <v>Purchase Requisition Header</v>
      </c>
      <c r="E794" t="str">
        <f>VLOOKUP(Tabulation!$B794,Constants!$A:$C,3,FALSE)</f>
        <v>Medium Volume</v>
      </c>
    </row>
    <row r="795" spans="1:5">
      <c r="A795" t="s">
        <v>556</v>
      </c>
      <c r="B795" t="s">
        <v>499</v>
      </c>
      <c r="C795" s="8">
        <v>0</v>
      </c>
      <c r="D795" t="str">
        <f>VLOOKUP(Tabulation!$B795,Constants!$A:$C,2,FALSE)</f>
        <v>Purchase Requisition Line</v>
      </c>
      <c r="E795" t="str">
        <f>VLOOKUP(Tabulation!$B795,Constants!$A:$C,3,FALSE)</f>
        <v>Medium Volume</v>
      </c>
    </row>
    <row r="796" spans="1:5">
      <c r="A796" t="s">
        <v>556</v>
      </c>
      <c r="B796" t="s">
        <v>501</v>
      </c>
      <c r="C796" s="8">
        <v>0</v>
      </c>
      <c r="D796" t="str">
        <f>VLOOKUP(Tabulation!$B796,Constants!$A:$C,2,FALSE)</f>
        <v>Receipt Header</v>
      </c>
      <c r="E796" t="str">
        <f>VLOOKUP(Tabulation!$B796,Constants!$A:$C,3,FALSE)</f>
        <v>Medium Volume</v>
      </c>
    </row>
    <row r="797" spans="1:5">
      <c r="A797" t="s">
        <v>556</v>
      </c>
      <c r="B797" t="s">
        <v>503</v>
      </c>
      <c r="C797" s="8">
        <v>0</v>
      </c>
      <c r="D797" t="str">
        <f>VLOOKUP(Tabulation!$B797,Constants!$A:$C,2,FALSE)</f>
        <v>Receipt Line</v>
      </c>
      <c r="E797" t="str">
        <f>VLOOKUP(Tabulation!$B797,Constants!$A:$C,3,FALSE)</f>
        <v>Medium Volume</v>
      </c>
    </row>
    <row r="798" spans="1:5">
      <c r="A798" t="s">
        <v>556</v>
      </c>
      <c r="B798" t="s">
        <v>505</v>
      </c>
      <c r="C798" s="8">
        <v>0</v>
      </c>
      <c r="D798" t="str">
        <f>VLOOKUP(Tabulation!$B798,Constants!$A:$C,2,FALSE)</f>
        <v>Report Queue</v>
      </c>
      <c r="E798" t="str">
        <f>VLOOKUP(Tabulation!$B798,Constants!$A:$C,3,FALSE)</f>
        <v>Medium Volume</v>
      </c>
    </row>
    <row r="799" spans="1:5">
      <c r="A799" t="s">
        <v>556</v>
      </c>
      <c r="B799" t="s">
        <v>507</v>
      </c>
      <c r="C799" s="8">
        <v>0</v>
      </c>
      <c r="D799" t="str">
        <f>VLOOKUP(Tabulation!$B799,Constants!$A:$C,2,FALSE)</f>
        <v>Resource Type</v>
      </c>
      <c r="E799" t="str">
        <f>VLOOKUP(Tabulation!$B799,Constants!$A:$C,3,FALSE)</f>
        <v>Medium Volume</v>
      </c>
    </row>
    <row r="800" spans="1:5">
      <c r="A800" t="s">
        <v>556</v>
      </c>
      <c r="B800" t="s">
        <v>509</v>
      </c>
      <c r="C800" s="8">
        <v>0</v>
      </c>
      <c r="D800" t="str">
        <f>VLOOKUP(Tabulation!$B800,Constants!$A:$C,2,FALSE)</f>
        <v>Reorder Review</v>
      </c>
      <c r="E800" t="str">
        <f>VLOOKUP(Tabulation!$B800,Constants!$A:$C,3,FALSE)</f>
        <v>Medium Volume</v>
      </c>
    </row>
    <row r="801" spans="1:5">
      <c r="A801" t="s">
        <v>556</v>
      </c>
      <c r="B801" t="s">
        <v>511</v>
      </c>
      <c r="C801" s="8">
        <v>0</v>
      </c>
      <c r="D801" t="str">
        <f>VLOOKUP(Tabulation!$B801,Constants!$A:$C,2,FALSE)</f>
        <v>Return Line</v>
      </c>
      <c r="E801" t="str">
        <f>VLOOKUP(Tabulation!$B801,Constants!$A:$C,3,FALSE)</f>
        <v>Medium Volume</v>
      </c>
    </row>
    <row r="802" spans="1:5">
      <c r="A802" t="s">
        <v>556</v>
      </c>
      <c r="B802" t="s">
        <v>513</v>
      </c>
      <c r="C802" s="8">
        <v>0</v>
      </c>
      <c r="D802" t="str">
        <f>VLOOKUP(Tabulation!$B802,Constants!$A:$C,2,FALSE)</f>
        <v>Shift Weekly Template</v>
      </c>
      <c r="E802" t="str">
        <f>VLOOKUP(Tabulation!$B802,Constants!$A:$C,3,FALSE)</f>
        <v>Medium Volume</v>
      </c>
    </row>
    <row r="803" spans="1:5">
      <c r="A803" t="s">
        <v>556</v>
      </c>
      <c r="B803" t="s">
        <v>515</v>
      </c>
      <c r="C803" s="8">
        <v>0</v>
      </c>
      <c r="D803" t="str">
        <f>VLOOKUP(Tabulation!$B803,Constants!$A:$C,2,FALSE)</f>
        <v>Shipping Line</v>
      </c>
      <c r="E803" t="str">
        <f>VLOOKUP(Tabulation!$B803,Constants!$A:$C,3,FALSE)</f>
        <v>Medium Volume</v>
      </c>
    </row>
    <row r="804" spans="1:5">
      <c r="A804" t="s">
        <v>556</v>
      </c>
      <c r="B804" t="s">
        <v>517</v>
      </c>
      <c r="C804" s="8">
        <v>0</v>
      </c>
      <c r="D804" t="str">
        <f>VLOOKUP(Tabulation!$B804,Constants!$A:$C,2,FALSE)</f>
        <v>Shipping Memo</v>
      </c>
      <c r="E804" t="str">
        <f>VLOOKUP(Tabulation!$B804,Constants!$A:$C,3,FALSE)</f>
        <v>Medium Volume</v>
      </c>
    </row>
    <row r="805" spans="1:5">
      <c r="A805" t="s">
        <v>556</v>
      </c>
      <c r="B805" t="s">
        <v>519</v>
      </c>
      <c r="C805" s="8">
        <v>0</v>
      </c>
      <c r="D805" t="str">
        <f>VLOOKUP(Tabulation!$B805,Constants!$A:$C,2,FALSE)</f>
        <v>Stock Item Detail</v>
      </c>
      <c r="E805" t="str">
        <f>VLOOKUP(Tabulation!$B805,Constants!$A:$C,3,FALSE)</f>
        <v>Medium Volume</v>
      </c>
    </row>
    <row r="806" spans="1:5">
      <c r="A806" t="s">
        <v>556</v>
      </c>
      <c r="B806" t="s">
        <v>521</v>
      </c>
      <c r="C806" s="8">
        <v>0</v>
      </c>
      <c r="D806" t="str">
        <f>VLOOKUP(Tabulation!$B806,Constants!$A:$C,2,FALSE)</f>
        <v>Stock Transaction</v>
      </c>
      <c r="E806" t="str">
        <f>VLOOKUP(Tabulation!$B806,Constants!$A:$C,3,FALSE)</f>
        <v>Medium Volume</v>
      </c>
    </row>
    <row r="807" spans="1:5">
      <c r="A807" t="s">
        <v>556</v>
      </c>
      <c r="B807" t="s">
        <v>523</v>
      </c>
      <c r="C807" s="8">
        <v>0</v>
      </c>
      <c r="D807" t="str">
        <f>VLOOKUP(Tabulation!$B807,Constants!$A:$C,2,FALSE)</f>
        <v>Service History</v>
      </c>
      <c r="E807" t="str">
        <f>VLOOKUP(Tabulation!$B807,Constants!$A:$C,3,FALSE)</f>
        <v>Medium Volume</v>
      </c>
    </row>
    <row r="808" spans="1:5">
      <c r="A808" t="s">
        <v>556</v>
      </c>
      <c r="B808" t="s">
        <v>525</v>
      </c>
      <c r="C808" s="8">
        <v>0</v>
      </c>
      <c r="D808" t="str">
        <f>VLOOKUP(Tabulation!$B808,Constants!$A:$C,2,FALSE)</f>
        <v>Timesheet</v>
      </c>
      <c r="E808" t="str">
        <f>VLOOKUP(Tabulation!$B808,Constants!$A:$C,3,FALSE)</f>
        <v>Medium Volume</v>
      </c>
    </row>
    <row r="809" spans="1:5">
      <c r="A809" t="s">
        <v>556</v>
      </c>
      <c r="B809" t="s">
        <v>527</v>
      </c>
      <c r="C809" s="8">
        <v>0</v>
      </c>
      <c r="D809" t="str">
        <f>VLOOKUP(Tabulation!$B809,Constants!$A:$C,2,FALSE)</f>
        <v>Timesheet Detail</v>
      </c>
      <c r="E809" t="str">
        <f>VLOOKUP(Tabulation!$B809,Constants!$A:$C,3,FALSE)</f>
        <v>Medium Volume</v>
      </c>
    </row>
    <row r="810" spans="1:5">
      <c r="A810" t="s">
        <v>556</v>
      </c>
      <c r="B810" t="s">
        <v>529</v>
      </c>
      <c r="C810" s="8">
        <v>0</v>
      </c>
      <c r="D810" t="str">
        <f>VLOOKUP(Tabulation!$B810,Constants!$A:$C,2,FALSE)</f>
        <v>Template Activity</v>
      </c>
      <c r="E810" t="str">
        <f>VLOOKUP(Tabulation!$B810,Constants!$A:$C,3,FALSE)</f>
        <v>Medium Volume</v>
      </c>
    </row>
    <row r="811" spans="1:5">
      <c r="A811" t="s">
        <v>556</v>
      </c>
      <c r="B811" t="s">
        <v>531</v>
      </c>
      <c r="C811" s="8">
        <v>0</v>
      </c>
      <c r="D811" t="str">
        <f>VLOOKUP(Tabulation!$B811,Constants!$A:$C,2,FALSE)</f>
        <v>Template Activity Resource</v>
      </c>
      <c r="E811" t="str">
        <f>VLOOKUP(Tabulation!$B811,Constants!$A:$C,3,FALSE)</f>
        <v>Medium Volume</v>
      </c>
    </row>
    <row r="812" spans="1:5">
      <c r="A812" t="s">
        <v>556</v>
      </c>
      <c r="B812" t="s">
        <v>533</v>
      </c>
      <c r="C812" s="8">
        <v>0</v>
      </c>
      <c r="D812" t="str">
        <f>VLOOKUP(Tabulation!$B812,Constants!$A:$C,2,FALSE)</f>
        <v>Template Work Order</v>
      </c>
      <c r="E812" t="str">
        <f>VLOOKUP(Tabulation!$B812,Constants!$A:$C,3,FALSE)</f>
        <v>Medium Volume</v>
      </c>
    </row>
    <row r="813" spans="1:5">
      <c r="A813" t="s">
        <v>556</v>
      </c>
      <c r="B813" t="s">
        <v>535</v>
      </c>
      <c r="C813" s="8">
        <v>0</v>
      </c>
      <c r="D813" t="str">
        <f>VLOOKUP(Tabulation!$B813,Constants!$A:$C,2,FALSE)</f>
        <v>Vendor</v>
      </c>
      <c r="E813" t="str">
        <f>VLOOKUP(Tabulation!$B813,Constants!$A:$C,3,FALSE)</f>
        <v>Medium Volume</v>
      </c>
    </row>
    <row r="814" spans="1:5">
      <c r="A814" t="s">
        <v>556</v>
      </c>
      <c r="B814" t="s">
        <v>537</v>
      </c>
      <c r="C814" s="8">
        <v>0</v>
      </c>
      <c r="D814" t="str">
        <f>VLOOKUP(Tabulation!$B814,Constants!$A:$C,2,FALSE)</f>
        <v>Vendor Location</v>
      </c>
      <c r="E814" t="str">
        <f>VLOOKUP(Tabulation!$B814,Constants!$A:$C,3,FALSE)</f>
        <v>Medium Volume</v>
      </c>
    </row>
    <row r="815" spans="1:5">
      <c r="A815" t="s">
        <v>556</v>
      </c>
      <c r="B815" t="s">
        <v>539</v>
      </c>
      <c r="C815" s="8">
        <v>0</v>
      </c>
      <c r="D815" t="str">
        <f>VLOOKUP(Tabulation!$B815,Constants!$A:$C,2,FALSE)</f>
        <v>Warranty</v>
      </c>
      <c r="E815" t="str">
        <f>VLOOKUP(Tabulation!$B815,Constants!$A:$C,3,FALSE)</f>
        <v>Medium Volume</v>
      </c>
    </row>
    <row r="816" spans="1:5">
      <c r="A816" t="s">
        <v>556</v>
      </c>
      <c r="B816" t="s">
        <v>541</v>
      </c>
      <c r="C816" s="8">
        <v>0</v>
      </c>
      <c r="D816" t="str">
        <f>VLOOKUP(Tabulation!$B816,Constants!$A:$C,2,FALSE)</f>
        <v>Work Order</v>
      </c>
      <c r="E816" t="str">
        <f>VLOOKUP(Tabulation!$B816,Constants!$A:$C,3,FALSE)</f>
        <v>Medium Volume</v>
      </c>
    </row>
    <row r="817" spans="1:5">
      <c r="A817" t="s">
        <v>556</v>
      </c>
      <c r="B817" t="s">
        <v>543</v>
      </c>
      <c r="C817" s="8">
        <v>0</v>
      </c>
      <c r="D817" t="str">
        <f>VLOOKUP(Tabulation!$B817,Constants!$A:$C,2,FALSE)</f>
        <v>Work Design</v>
      </c>
      <c r="E817" t="str">
        <f>VLOOKUP(Tabulation!$B817,Constants!$A:$C,3,FALSE)</f>
        <v>Medium Volume</v>
      </c>
    </row>
    <row r="818" spans="1:5">
      <c r="A818" t="s">
        <v>556</v>
      </c>
      <c r="B818" t="s">
        <v>545</v>
      </c>
      <c r="C818" s="8">
        <v>0</v>
      </c>
      <c r="D818" t="str">
        <f>VLOOKUP(Tabulation!$B818,Constants!$A:$C,2,FALSE)</f>
        <v>Work Location</v>
      </c>
      <c r="E818" t="str">
        <f>VLOOKUP(Tabulation!$B818,Constants!$A:$C,3,FALSE)</f>
        <v>Medium Volume</v>
      </c>
    </row>
    <row r="819" spans="1:5">
      <c r="A819" t="s">
        <v>556</v>
      </c>
      <c r="B819" t="s">
        <v>547</v>
      </c>
      <c r="C819" s="8">
        <v>0</v>
      </c>
      <c r="D819" t="str">
        <f>VLOOKUP(Tabulation!$B819,Constants!$A:$C,2,FALSE)</f>
        <v>Work Request</v>
      </c>
      <c r="E819" t="str">
        <f>VLOOKUP(Tabulation!$B819,Constants!$A:$C,3,FALSE)</f>
        <v>Medium Volume</v>
      </c>
    </row>
    <row r="820" spans="1:5">
      <c r="A820" t="s">
        <v>557</v>
      </c>
      <c r="B820" t="s">
        <v>3</v>
      </c>
      <c r="C820" s="8">
        <v>0</v>
      </c>
      <c r="D820" t="str">
        <f>VLOOKUP(Tabulation!$B820,Constants!$A:$C,2,FALSE)</f>
        <v>Financial Transaction GL Monthly Aggregate</v>
      </c>
      <c r="E820" t="str">
        <f>VLOOKUP(Tabulation!$B820,Constants!$A:$C,3,FALSE)</f>
        <v>Medium Volume</v>
      </c>
    </row>
    <row r="821" spans="1:5">
      <c r="A821" t="s">
        <v>557</v>
      </c>
      <c r="B821" t="s">
        <v>6</v>
      </c>
      <c r="C821" s="8">
        <v>0</v>
      </c>
      <c r="D821" t="str">
        <f>VLOOKUP(Tabulation!$B821,Constants!$A:$C,2,FALSE)</f>
        <v>Financial Transaction Monthly Aggregate</v>
      </c>
      <c r="E821" t="str">
        <f>VLOOKUP(Tabulation!$B821,Constants!$A:$C,3,FALSE)</f>
        <v>Medium Volume</v>
      </c>
    </row>
    <row r="822" spans="1:5">
      <c r="A822" t="s">
        <v>557</v>
      </c>
      <c r="B822" t="s">
        <v>8</v>
      </c>
      <c r="C822" s="8">
        <v>0</v>
      </c>
      <c r="D822" t="str">
        <f>VLOOKUP(Tabulation!$B822,Constants!$A:$C,2,FALSE)</f>
        <v>SA Arrears Snapshot</v>
      </c>
      <c r="E822" t="str">
        <f>VLOOKUP(Tabulation!$B822,Constants!$A:$C,3,FALSE)</f>
        <v>Medium Volume</v>
      </c>
    </row>
    <row r="823" spans="1:5">
      <c r="A823" t="s">
        <v>557</v>
      </c>
      <c r="B823" t="s">
        <v>10</v>
      </c>
      <c r="C823" s="8">
        <v>0</v>
      </c>
      <c r="D823" t="str">
        <f>VLOOKUP(Tabulation!$B823,Constants!$A:$C,2,FALSE)</f>
        <v>Consumer Contract</v>
      </c>
      <c r="E823" t="str">
        <f>VLOOKUP(Tabulation!$B823,Constants!$A:$C,3,FALSE)</f>
        <v>Medium Volume</v>
      </c>
    </row>
    <row r="824" spans="1:5">
      <c r="A824" t="s">
        <v>557</v>
      </c>
      <c r="B824" t="s">
        <v>12</v>
      </c>
      <c r="C824" s="8">
        <v>5286</v>
      </c>
      <c r="D824" t="str">
        <f>VLOOKUP(Tabulation!$B824,Constants!$A:$C,2,FALSE)</f>
        <v>Customer Service Request</v>
      </c>
      <c r="E824" t="str">
        <f>VLOOKUP(Tabulation!$B824,Constants!$A:$C,3,FALSE)</f>
        <v>Medium Volume</v>
      </c>
    </row>
    <row r="825" spans="1:5">
      <c r="A825" t="s">
        <v>557</v>
      </c>
      <c r="B825" t="s">
        <v>14</v>
      </c>
      <c r="C825" s="8">
        <v>4856</v>
      </c>
      <c r="D825" t="str">
        <f>VLOOKUP(Tabulation!$B825,Constants!$A:$C,2,FALSE)</f>
        <v>Customer Service Request Account</v>
      </c>
      <c r="E825" t="str">
        <f>VLOOKUP(Tabulation!$B825,Constants!$A:$C,3,FALSE)</f>
        <v>Medium Volume</v>
      </c>
    </row>
    <row r="826" spans="1:5">
      <c r="A826" t="s">
        <v>557</v>
      </c>
      <c r="B826" t="s">
        <v>16</v>
      </c>
      <c r="C826" s="8">
        <v>0</v>
      </c>
      <c r="D826" t="str">
        <f>VLOOKUP(Tabulation!$B826,Constants!$A:$C,2,FALSE)</f>
        <v>Customer Service Request Consumer Contract</v>
      </c>
      <c r="E826" t="str">
        <f>VLOOKUP(Tabulation!$B826,Constants!$A:$C,3,FALSE)</f>
        <v>Medium Volume</v>
      </c>
    </row>
    <row r="827" spans="1:5">
      <c r="A827" t="s">
        <v>557</v>
      </c>
      <c r="B827" t="s">
        <v>18</v>
      </c>
      <c r="C827" s="8">
        <v>0</v>
      </c>
      <c r="D827" t="str">
        <f>VLOOKUP(Tabulation!$B827,Constants!$A:$C,2,FALSE)</f>
        <v>Customer Service Request Contract Product</v>
      </c>
      <c r="E827" t="str">
        <f>VLOOKUP(Tabulation!$B827,Constants!$A:$C,3,FALSE)</f>
        <v>Medium Volume</v>
      </c>
    </row>
    <row r="828" spans="1:5">
      <c r="A828" t="s">
        <v>557</v>
      </c>
      <c r="B828" t="s">
        <v>20</v>
      </c>
      <c r="C828" s="8">
        <v>5079</v>
      </c>
      <c r="D828" t="str">
        <f>VLOOKUP(Tabulation!$B828,Constants!$A:$C,2,FALSE)</f>
        <v>Customer Service Request Person</v>
      </c>
      <c r="E828" t="str">
        <f>VLOOKUP(Tabulation!$B828,Constants!$A:$C,3,FALSE)</f>
        <v>Medium Volume</v>
      </c>
    </row>
    <row r="829" spans="1:5">
      <c r="A829" t="s">
        <v>557</v>
      </c>
      <c r="B829" t="s">
        <v>22</v>
      </c>
      <c r="C829" s="8">
        <v>4766</v>
      </c>
      <c r="D829" t="str">
        <f>VLOOKUP(Tabulation!$B829,Constants!$A:$C,2,FALSE)</f>
        <v>Customer Service Request Premise</v>
      </c>
      <c r="E829" t="str">
        <f>VLOOKUP(Tabulation!$B829,Constants!$A:$C,3,FALSE)</f>
        <v>Medium Volume</v>
      </c>
    </row>
    <row r="830" spans="1:5">
      <c r="A830" t="s">
        <v>557</v>
      </c>
      <c r="B830" t="s">
        <v>24</v>
      </c>
      <c r="C830" s="8">
        <v>14404</v>
      </c>
      <c r="D830" t="str">
        <f>VLOOKUP(Tabulation!$B830,Constants!$A:$C,2,FALSE)</f>
        <v>Customer Service Request SA</v>
      </c>
      <c r="E830" t="str">
        <f>VLOOKUP(Tabulation!$B830,Constants!$A:$C,3,FALSE)</f>
        <v>Medium Volume</v>
      </c>
    </row>
    <row r="831" spans="1:5">
      <c r="A831" t="s">
        <v>557</v>
      </c>
      <c r="B831" t="s">
        <v>26</v>
      </c>
      <c r="C831" s="8">
        <v>0</v>
      </c>
      <c r="D831" t="str">
        <f>VLOOKUP(Tabulation!$B831,Constants!$A:$C,2,FALSE)</f>
        <v>Customer Service Request Service Location</v>
      </c>
      <c r="E831" t="str">
        <f>VLOOKUP(Tabulation!$B831,Constants!$A:$C,3,FALSE)</f>
        <v>Medium Volume</v>
      </c>
    </row>
    <row r="832" spans="1:5">
      <c r="A832" t="s">
        <v>557</v>
      </c>
      <c r="B832" t="s">
        <v>28</v>
      </c>
      <c r="C832" s="8">
        <v>0</v>
      </c>
      <c r="D832" t="str">
        <f>VLOOKUP(Tabulation!$B832,Constants!$A:$C,2,FALSE)</f>
        <v>Customer Relationship Request</v>
      </c>
      <c r="E832" t="str">
        <f>VLOOKUP(Tabulation!$B832,Constants!$A:$C,3,FALSE)</f>
        <v>Medium Volume</v>
      </c>
    </row>
    <row r="833" spans="1:5">
      <c r="A833" t="s">
        <v>557</v>
      </c>
      <c r="B833" t="s">
        <v>30</v>
      </c>
      <c r="C833" s="8">
        <v>0</v>
      </c>
      <c r="D833" t="str">
        <f>VLOOKUP(Tabulation!$B833,Constants!$A:$C,2,FALSE)</f>
        <v>Lead</v>
      </c>
      <c r="E833" t="str">
        <f>VLOOKUP(Tabulation!$B833,Constants!$A:$C,3,FALSE)</f>
        <v>Medium Volume</v>
      </c>
    </row>
    <row r="834" spans="1:5">
      <c r="A834" t="s">
        <v>557</v>
      </c>
      <c r="B834" t="s">
        <v>32</v>
      </c>
      <c r="C834" s="8">
        <v>0</v>
      </c>
      <c r="D834" t="str">
        <f>VLOOKUP(Tabulation!$B834,Constants!$A:$C,2,FALSE)</f>
        <v>Lead Event</v>
      </c>
      <c r="E834" t="str">
        <f>VLOOKUP(Tabulation!$B834,Constants!$A:$C,3,FALSE)</f>
        <v>Medium Volume</v>
      </c>
    </row>
    <row r="835" spans="1:5">
      <c r="A835" t="s">
        <v>557</v>
      </c>
      <c r="B835" t="s">
        <v>34</v>
      </c>
      <c r="C835" s="8">
        <v>0</v>
      </c>
      <c r="D835" t="str">
        <f>VLOOKUP(Tabulation!$B835,Constants!$A:$C,2,FALSE)</f>
        <v>Market Charge</v>
      </c>
      <c r="E835" t="str">
        <f>VLOOKUP(Tabulation!$B835,Constants!$A:$C,3,FALSE)</f>
        <v>Medium Volume</v>
      </c>
    </row>
    <row r="836" spans="1:5">
      <c r="A836" t="s">
        <v>557</v>
      </c>
      <c r="B836" t="s">
        <v>36</v>
      </c>
      <c r="C836" s="8">
        <v>0</v>
      </c>
      <c r="D836" t="str">
        <f>VLOOKUP(Tabulation!$B836,Constants!$A:$C,2,FALSE)</f>
        <v>Market Payment</v>
      </c>
      <c r="E836" t="str">
        <f>VLOOKUP(Tabulation!$B836,Constants!$A:$C,3,FALSE)</f>
        <v>Medium Volume</v>
      </c>
    </row>
    <row r="837" spans="1:5">
      <c r="A837" t="s">
        <v>557</v>
      </c>
      <c r="B837" t="s">
        <v>38</v>
      </c>
      <c r="C837" s="8">
        <v>0</v>
      </c>
      <c r="D837" t="str">
        <f>VLOOKUP(Tabulation!$B837,Constants!$A:$C,2,FALSE)</f>
        <v>Market Usage</v>
      </c>
      <c r="E837" t="str">
        <f>VLOOKUP(Tabulation!$B837,Constants!$A:$C,3,FALSE)</f>
        <v>Medium Volume</v>
      </c>
    </row>
    <row r="838" spans="1:5">
      <c r="A838" t="s">
        <v>557</v>
      </c>
      <c r="B838" t="s">
        <v>40</v>
      </c>
      <c r="C838" s="8">
        <v>0</v>
      </c>
      <c r="D838" t="str">
        <f>VLOOKUP(Tabulation!$B838,Constants!$A:$C,2,FALSE)</f>
        <v>Registration Point</v>
      </c>
      <c r="E838" t="str">
        <f>VLOOKUP(Tabulation!$B838,Constants!$A:$C,3,FALSE)</f>
        <v>Medium Volume</v>
      </c>
    </row>
    <row r="839" spans="1:5">
      <c r="A839" t="s">
        <v>557</v>
      </c>
      <c r="B839" t="s">
        <v>42</v>
      </c>
      <c r="C839" s="8">
        <v>0</v>
      </c>
      <c r="D839" t="str">
        <f>VLOOKUP(Tabulation!$B839,Constants!$A:$C,2,FALSE)</f>
        <v>Communication Preference</v>
      </c>
      <c r="E839" t="str">
        <f>VLOOKUP(Tabulation!$B839,Constants!$A:$C,3,FALSE)</f>
        <v>Medium Volume</v>
      </c>
    </row>
    <row r="840" spans="1:5">
      <c r="A840" t="s">
        <v>557</v>
      </c>
      <c r="B840" t="s">
        <v>44</v>
      </c>
      <c r="C840" s="8">
        <v>169</v>
      </c>
      <c r="D840" t="str">
        <f>VLOOKUP(Tabulation!$B840,Constants!$A:$C,2,FALSE)</f>
        <v>Off Cycle Bill Generator</v>
      </c>
      <c r="E840" t="str">
        <f>VLOOKUP(Tabulation!$B840,Constants!$A:$C,3,FALSE)</f>
        <v>Medium Volume</v>
      </c>
    </row>
    <row r="841" spans="1:5">
      <c r="A841" t="s">
        <v>557</v>
      </c>
      <c r="B841" t="s">
        <v>46</v>
      </c>
      <c r="C841" s="8">
        <v>0</v>
      </c>
      <c r="D841" t="str">
        <f>VLOOKUP(Tabulation!$B841,Constants!$A:$C,2,FALSE)</f>
        <v>Payment Arrangement Request</v>
      </c>
      <c r="E841" t="str">
        <f>VLOOKUP(Tabulation!$B841,Constants!$A:$C,3,FALSE)</f>
        <v>Medium Volume</v>
      </c>
    </row>
    <row r="842" spans="1:5">
      <c r="A842" t="s">
        <v>557</v>
      </c>
      <c r="B842" t="s">
        <v>50</v>
      </c>
      <c r="C842" s="8">
        <v>2173379</v>
      </c>
      <c r="D842" t="str">
        <f>VLOOKUP(Tabulation!$B842,Constants!$A:$C,2,FALSE)</f>
        <v>Usage</v>
      </c>
      <c r="E842" t="str">
        <f>VLOOKUP(Tabulation!$B842,Constants!$A:$C,3,FALSE)</f>
        <v>Medium Volume</v>
      </c>
    </row>
    <row r="843" spans="1:5">
      <c r="A843" t="s">
        <v>557</v>
      </c>
      <c r="B843" t="s">
        <v>52</v>
      </c>
      <c r="C843" s="8">
        <v>0</v>
      </c>
      <c r="D843" t="str">
        <f>VLOOKUP(Tabulation!$B843,Constants!$A:$C,2,FALSE)</f>
        <v>Web User</v>
      </c>
      <c r="E843" t="str">
        <f>VLOOKUP(Tabulation!$B843,Constants!$A:$C,3,FALSE)</f>
        <v>Medium Volume</v>
      </c>
    </row>
    <row r="844" spans="1:5">
      <c r="A844" t="s">
        <v>557</v>
      </c>
      <c r="B844" t="s">
        <v>54</v>
      </c>
      <c r="C844" s="8">
        <v>0</v>
      </c>
      <c r="D844" t="str">
        <f>VLOOKUP(Tabulation!$B844,Constants!$A:$C,2,FALSE)</f>
        <v>Web User Account</v>
      </c>
      <c r="E844" t="str">
        <f>VLOOKUP(Tabulation!$B844,Constants!$A:$C,3,FALSE)</f>
        <v>Medium Volume</v>
      </c>
    </row>
    <row r="845" spans="1:5">
      <c r="A845" t="s">
        <v>557</v>
      </c>
      <c r="B845" t="s">
        <v>56</v>
      </c>
      <c r="C845" s="8">
        <v>29496</v>
      </c>
      <c r="D845" t="str">
        <f>VLOOKUP(Tabulation!$B845,Constants!$A:$C,2,FALSE)</f>
        <v>Account</v>
      </c>
      <c r="E845" t="str">
        <f>VLOOKUP(Tabulation!$B845,Constants!$A:$C,3,FALSE)</f>
        <v>Medium Volume</v>
      </c>
    </row>
    <row r="846" spans="1:5">
      <c r="A846" t="s">
        <v>557</v>
      </c>
      <c r="B846" t="s">
        <v>58</v>
      </c>
      <c r="C846" s="8">
        <v>557276</v>
      </c>
      <c r="D846" t="str">
        <f>VLOOKUP(Tabulation!$B846,Constants!$A:$C,2,FALSE)</f>
        <v>Adjustment</v>
      </c>
      <c r="E846" t="str">
        <f>VLOOKUP(Tabulation!$B846,Constants!$A:$C,3,FALSE)</f>
        <v>Medium Volume</v>
      </c>
    </row>
    <row r="847" spans="1:5">
      <c r="A847" t="s">
        <v>557</v>
      </c>
      <c r="B847" t="s">
        <v>60</v>
      </c>
      <c r="C847" s="8">
        <v>5</v>
      </c>
      <c r="D847" t="str">
        <f>VLOOKUP(Tabulation!$B847,Constants!$A:$C,2,FALSE)</f>
        <v>Adjustment Staging Control</v>
      </c>
      <c r="E847" t="str">
        <f>VLOOKUP(Tabulation!$B847,Constants!$A:$C,3,FALSE)</f>
        <v>Medium Volume</v>
      </c>
    </row>
    <row r="848" spans="1:5">
      <c r="A848" t="s">
        <v>557</v>
      </c>
      <c r="B848" t="s">
        <v>62</v>
      </c>
      <c r="C848" s="8">
        <v>22839</v>
      </c>
      <c r="D848" t="str">
        <f>VLOOKUP(Tabulation!$B848,Constants!$A:$C,2,FALSE)</f>
        <v>Adjustment Upload</v>
      </c>
      <c r="E848" t="str">
        <f>VLOOKUP(Tabulation!$B848,Constants!$A:$C,3,FALSE)</f>
        <v>Medium Volume</v>
      </c>
    </row>
    <row r="849" spans="1:5">
      <c r="A849" t="s">
        <v>557</v>
      </c>
      <c r="B849" t="s">
        <v>64</v>
      </c>
      <c r="C849" s="8">
        <v>0</v>
      </c>
      <c r="D849" t="str">
        <f>VLOOKUP(Tabulation!$B849,Constants!$A:$C,2,FALSE)</f>
        <v>Activity Request</v>
      </c>
      <c r="E849" t="str">
        <f>VLOOKUP(Tabulation!$B849,Constants!$A:$C,3,FALSE)</f>
        <v>Medium Volume</v>
      </c>
    </row>
    <row r="850" spans="1:5">
      <c r="A850" t="s">
        <v>557</v>
      </c>
      <c r="B850" t="s">
        <v>66</v>
      </c>
      <c r="C850" s="8">
        <v>4252</v>
      </c>
      <c r="D850" t="str">
        <f>VLOOKUP(Tabulation!$B850,Constants!$A:$C,2,FALSE)</f>
        <v>Approval Request</v>
      </c>
      <c r="E850" t="str">
        <f>VLOOKUP(Tabulation!$B850,Constants!$A:$C,3,FALSE)</f>
        <v>Medium Volume</v>
      </c>
    </row>
    <row r="851" spans="1:5">
      <c r="A851" t="s">
        <v>557</v>
      </c>
      <c r="B851" t="s">
        <v>68</v>
      </c>
      <c r="C851" s="8">
        <v>0</v>
      </c>
      <c r="D851" t="str">
        <f>VLOOKUP(Tabulation!$B851,Constants!$A:$C,2,FALSE)</f>
        <v>Audit</v>
      </c>
      <c r="E851" t="str">
        <f>VLOOKUP(Tabulation!$B851,Constants!$A:$C,3,FALSE)</f>
        <v>Medium Volume</v>
      </c>
    </row>
    <row r="852" spans="1:5">
      <c r="A852" t="s">
        <v>557</v>
      </c>
      <c r="B852" t="s">
        <v>70</v>
      </c>
      <c r="C852" s="8">
        <v>21</v>
      </c>
      <c r="D852" t="str">
        <f>VLOOKUP(Tabulation!$B852,Constants!$A:$C,2,FALSE)</f>
        <v>Balance Control Group</v>
      </c>
      <c r="E852" t="str">
        <f>VLOOKUP(Tabulation!$B852,Constants!$A:$C,3,FALSE)</f>
        <v>Medium Volume</v>
      </c>
    </row>
    <row r="853" spans="1:5">
      <c r="A853" t="s">
        <v>557</v>
      </c>
      <c r="B853" t="s">
        <v>72</v>
      </c>
      <c r="C853" s="8">
        <v>1319</v>
      </c>
      <c r="D853" t="str">
        <f>VLOOKUP(Tabulation!$B853,Constants!$A:$C,2,FALSE)</f>
        <v>Batch Job Ad-Hoc Queues</v>
      </c>
      <c r="E853" t="str">
        <f>VLOOKUP(Tabulation!$B853,Constants!$A:$C,3,FALSE)</f>
        <v>Medium Volume</v>
      </c>
    </row>
    <row r="854" spans="1:5">
      <c r="A854" t="s">
        <v>557</v>
      </c>
      <c r="B854" t="s">
        <v>74</v>
      </c>
      <c r="C854" s="8">
        <v>446935</v>
      </c>
      <c r="D854" t="str">
        <f>VLOOKUP(Tabulation!$B854,Constants!$A:$C,2,FALSE)</f>
        <v>Batch Run</v>
      </c>
      <c r="E854" t="str">
        <f>VLOOKUP(Tabulation!$B854,Constants!$A:$C,3,FALSE)</f>
        <v>Medium Volume</v>
      </c>
    </row>
    <row r="855" spans="1:5">
      <c r="A855" t="s">
        <v>557</v>
      </c>
      <c r="B855" t="s">
        <v>76</v>
      </c>
      <c r="C855" s="8">
        <v>0</v>
      </c>
      <c r="D855" t="str">
        <f>VLOOKUP(Tabulation!$B855,Constants!$A:$C,2,FALSE)</f>
        <v>Billable Charge Upload</v>
      </c>
      <c r="E855" t="str">
        <f>VLOOKUP(Tabulation!$B855,Constants!$A:$C,3,FALSE)</f>
        <v>Medium Volume</v>
      </c>
    </row>
    <row r="856" spans="1:5">
      <c r="A856" t="s">
        <v>557</v>
      </c>
      <c r="B856" t="s">
        <v>78</v>
      </c>
      <c r="C856" s="8">
        <v>467909</v>
      </c>
      <c r="D856" t="str">
        <f>VLOOKUP(Tabulation!$B856,Constants!$A:$C,2,FALSE)</f>
        <v>Bill Header</v>
      </c>
      <c r="E856" t="str">
        <f>VLOOKUP(Tabulation!$B856,Constants!$A:$C,3,FALSE)</f>
        <v>Medium Volume</v>
      </c>
    </row>
    <row r="857" spans="1:5">
      <c r="A857" t="s">
        <v>557</v>
      </c>
      <c r="B857" t="s">
        <v>80</v>
      </c>
      <c r="C857" s="8">
        <v>9626</v>
      </c>
      <c r="D857" t="str">
        <f>VLOOKUP(Tabulation!$B857,Constants!$A:$C,2,FALSE)</f>
        <v>Billable Charge</v>
      </c>
      <c r="E857" t="str">
        <f>VLOOKUP(Tabulation!$B857,Constants!$A:$C,3,FALSE)</f>
        <v>Medium Volume</v>
      </c>
    </row>
    <row r="858" spans="1:5">
      <c r="A858" t="s">
        <v>557</v>
      </c>
      <c r="B858" t="s">
        <v>82</v>
      </c>
      <c r="C858" s="8">
        <v>0</v>
      </c>
      <c r="D858" t="str">
        <f>VLOOKUP(Tabulation!$B858,Constants!$A:$C,2,FALSE)</f>
        <v>Bill Review Schedule</v>
      </c>
      <c r="E858" t="str">
        <f>VLOOKUP(Tabulation!$B858,Constants!$A:$C,3,FALSE)</f>
        <v>Medium Volume</v>
      </c>
    </row>
    <row r="859" spans="1:5">
      <c r="A859" t="s">
        <v>557</v>
      </c>
      <c r="B859" t="s">
        <v>84</v>
      </c>
      <c r="C859" s="8">
        <v>0</v>
      </c>
      <c r="D859" t="str">
        <f>VLOOKUP(Tabulation!$B859,Constants!$A:$C,2,FALSE)</f>
        <v>Bill Print Group</v>
      </c>
      <c r="E859" t="str">
        <f>VLOOKUP(Tabulation!$B859,Constants!$A:$C,3,FALSE)</f>
        <v>Medium Volume</v>
      </c>
    </row>
    <row r="860" spans="1:5">
      <c r="A860" t="s">
        <v>557</v>
      </c>
      <c r="B860" t="s">
        <v>86</v>
      </c>
      <c r="C860" s="8">
        <v>1428974</v>
      </c>
      <c r="D860" t="str">
        <f>VLOOKUP(Tabulation!$B860,Constants!$A:$C,2,FALSE)</f>
        <v>Bill Segment</v>
      </c>
      <c r="E860" t="str">
        <f>VLOOKUP(Tabulation!$B860,Constants!$A:$C,3,FALSE)</f>
        <v>Medium Volume</v>
      </c>
    </row>
    <row r="861" spans="1:5">
      <c r="A861" t="s">
        <v>557</v>
      </c>
      <c r="B861" t="s">
        <v>88</v>
      </c>
      <c r="C861" s="8">
        <v>0</v>
      </c>
      <c r="D861" t="str">
        <f>VLOOKUP(Tabulation!$B861,Constants!$A:$C,2,FALSE)</f>
        <v>Budget Review</v>
      </c>
      <c r="E861" t="str">
        <f>VLOOKUP(Tabulation!$B861,Constants!$A:$C,3,FALSE)</f>
        <v>Medium Volume</v>
      </c>
    </row>
    <row r="862" spans="1:5">
      <c r="A862" t="s">
        <v>557</v>
      </c>
      <c r="B862" t="s">
        <v>90</v>
      </c>
      <c r="C862" s="8">
        <v>8</v>
      </c>
      <c r="D862" t="str">
        <f>VLOOKUP(Tabulation!$B862,Constants!$A:$C,2,FALSE)</f>
        <v>Case</v>
      </c>
      <c r="E862" t="str">
        <f>VLOOKUP(Tabulation!$B862,Constants!$A:$C,3,FALSE)</f>
        <v>Medium Volume</v>
      </c>
    </row>
    <row r="863" spans="1:5">
      <c r="A863" t="s">
        <v>557</v>
      </c>
      <c r="B863" t="s">
        <v>92</v>
      </c>
      <c r="C863" s="8">
        <v>22886</v>
      </c>
      <c r="D863" t="str">
        <f>VLOOKUP(Tabulation!$B863,Constants!$A:$C,2,FALSE)</f>
        <v>Customer Contact</v>
      </c>
      <c r="E863" t="str">
        <f>VLOOKUP(Tabulation!$B863,Constants!$A:$C,3,FALSE)</f>
        <v>Medium Volume</v>
      </c>
    </row>
    <row r="864" spans="1:5">
      <c r="A864" t="s">
        <v>557</v>
      </c>
      <c r="B864" t="s">
        <v>94</v>
      </c>
      <c r="C864" s="8">
        <v>0</v>
      </c>
      <c r="D864" t="str">
        <f>VLOOKUP(Tabulation!$B864,Constants!$A:$C,2,FALSE)</f>
        <v>Collection Agency Referral</v>
      </c>
      <c r="E864" t="str">
        <f>VLOOKUP(Tabulation!$B864,Constants!$A:$C,3,FALSE)</f>
        <v>Medium Volume</v>
      </c>
    </row>
    <row r="865" spans="1:5">
      <c r="A865" t="s">
        <v>557</v>
      </c>
      <c r="B865" t="s">
        <v>96</v>
      </c>
      <c r="C865" s="8">
        <v>6114</v>
      </c>
      <c r="D865" t="str">
        <f>VLOOKUP(Tabulation!$B865,Constants!$A:$C,2,FALSE)</f>
        <v>Collection Process</v>
      </c>
      <c r="E865" t="str">
        <f>VLOOKUP(Tabulation!$B865,Constants!$A:$C,3,FALSE)</f>
        <v>Medium Volume</v>
      </c>
    </row>
    <row r="866" spans="1:5">
      <c r="A866" t="s">
        <v>557</v>
      </c>
      <c r="B866" t="s">
        <v>98</v>
      </c>
      <c r="C866" s="8">
        <v>0</v>
      </c>
      <c r="D866" t="str">
        <f>VLOOKUP(Tabulation!$B866,Constants!$A:$C,2,FALSE)</f>
        <v xml:space="preserve">Contract Option  </v>
      </c>
      <c r="E866" t="str">
        <f>VLOOKUP(Tabulation!$B866,Constants!$A:$C,3,FALSE)</f>
        <v>Medium Volume</v>
      </c>
    </row>
    <row r="867" spans="1:5">
      <c r="A867" t="s">
        <v>557</v>
      </c>
      <c r="B867" t="s">
        <v>100</v>
      </c>
      <c r="C867" s="8">
        <v>0</v>
      </c>
      <c r="D867" t="str">
        <f>VLOOKUP(Tabulation!$B867,Constants!$A:$C,2,FALSE)</f>
        <v>Contract Option Event</v>
      </c>
      <c r="E867" t="str">
        <f>VLOOKUP(Tabulation!$B867,Constants!$A:$C,3,FALSE)</f>
        <v>Medium Volume</v>
      </c>
    </row>
    <row r="868" spans="1:5">
      <c r="A868" t="s">
        <v>557</v>
      </c>
      <c r="B868" t="s">
        <v>102</v>
      </c>
      <c r="C868" s="8">
        <v>0</v>
      </c>
      <c r="D868" t="str">
        <f>VLOOKUP(Tabulation!$B868,Constants!$A:$C,2,FALSE)</f>
        <v>Cut Process</v>
      </c>
      <c r="E868" t="str">
        <f>VLOOKUP(Tabulation!$B868,Constants!$A:$C,3,FALSE)</f>
        <v>Medium Volume</v>
      </c>
    </row>
    <row r="869" spans="1:5">
      <c r="A869" t="s">
        <v>557</v>
      </c>
      <c r="B869" t="s">
        <v>104</v>
      </c>
      <c r="C869" s="8">
        <v>0</v>
      </c>
      <c r="D869" t="str">
        <f>VLOOKUP(Tabulation!$B869,Constants!$A:$C,2,FALSE)</f>
        <v>Declaration</v>
      </c>
      <c r="E869" t="str">
        <f>VLOOKUP(Tabulation!$B869,Constants!$A:$C,3,FALSE)</f>
        <v>Medium Volume</v>
      </c>
    </row>
    <row r="870" spans="1:5">
      <c r="A870" t="s">
        <v>557</v>
      </c>
      <c r="B870" t="s">
        <v>106</v>
      </c>
      <c r="C870" s="8">
        <v>1495</v>
      </c>
      <c r="D870" t="str">
        <f>VLOOKUP(Tabulation!$B870,Constants!$A:$C,2,FALSE)</f>
        <v>Deposit Control</v>
      </c>
      <c r="E870" t="str">
        <f>VLOOKUP(Tabulation!$B870,Constants!$A:$C,3,FALSE)</f>
        <v>Medium Volume</v>
      </c>
    </row>
    <row r="871" spans="1:5">
      <c r="A871" t="s">
        <v>557</v>
      </c>
      <c r="B871" t="s">
        <v>108</v>
      </c>
      <c r="C871" s="8">
        <v>47</v>
      </c>
      <c r="D871" t="str">
        <f>VLOOKUP(Tabulation!$B871,Constants!$A:$C,2,FALSE)</f>
        <v>Deposit Control Staging</v>
      </c>
      <c r="E871" t="str">
        <f>VLOOKUP(Tabulation!$B871,Constants!$A:$C,3,FALSE)</f>
        <v>Medium Volume</v>
      </c>
    </row>
    <row r="872" spans="1:5">
      <c r="A872" t="s">
        <v>557</v>
      </c>
      <c r="B872" t="s">
        <v>110</v>
      </c>
      <c r="C872" s="8">
        <v>0</v>
      </c>
      <c r="D872" t="str">
        <f>VLOOKUP(Tabulation!$B872,Constants!$A:$C,2,FALSE)</f>
        <v>Deposit Review</v>
      </c>
      <c r="E872" t="str">
        <f>VLOOKUP(Tabulation!$B872,Constants!$A:$C,3,FALSE)</f>
        <v>Medium Volume</v>
      </c>
    </row>
    <row r="873" spans="1:5">
      <c r="A873" t="s">
        <v>557</v>
      </c>
      <c r="B873" t="s">
        <v>112</v>
      </c>
      <c r="C873" s="8">
        <v>0</v>
      </c>
      <c r="D873" t="str">
        <f>VLOOKUP(Tabulation!$B873,Constants!$A:$C,2,FALSE)</f>
        <v>Device Test</v>
      </c>
      <c r="E873" t="str">
        <f>VLOOKUP(Tabulation!$B873,Constants!$A:$C,3,FALSE)</f>
        <v>Medium Volume</v>
      </c>
    </row>
    <row r="874" spans="1:5">
      <c r="A874" t="s">
        <v>557</v>
      </c>
      <c r="B874" t="s">
        <v>114</v>
      </c>
      <c r="C874" s="8">
        <v>0</v>
      </c>
      <c r="D874" t="str">
        <f>VLOOKUP(Tabulation!$B874,Constants!$A:$C,2,FALSE)</f>
        <v>Device Test Selection</v>
      </c>
      <c r="E874" t="str">
        <f>VLOOKUP(Tabulation!$B874,Constants!$A:$C,3,FALSE)</f>
        <v>Medium Volume</v>
      </c>
    </row>
    <row r="875" spans="1:5">
      <c r="A875" t="s">
        <v>557</v>
      </c>
      <c r="B875" t="s">
        <v>116</v>
      </c>
      <c r="C875" s="8">
        <v>0</v>
      </c>
      <c r="D875" t="str">
        <f>VLOOKUP(Tabulation!$B875,Constants!$A:$C,2,FALSE)</f>
        <v>Order</v>
      </c>
      <c r="E875" t="str">
        <f>VLOOKUP(Tabulation!$B875,Constants!$A:$C,3,FALSE)</f>
        <v>Medium Volume</v>
      </c>
    </row>
    <row r="876" spans="1:5">
      <c r="A876" t="s">
        <v>557</v>
      </c>
      <c r="B876" t="s">
        <v>118</v>
      </c>
      <c r="C876" s="8">
        <v>20033</v>
      </c>
      <c r="D876" t="str">
        <f>VLOOKUP(Tabulation!$B876,Constants!$A:$C,2,FALSE)</f>
        <v>Field Activity</v>
      </c>
      <c r="E876" t="str">
        <f>VLOOKUP(Tabulation!$B876,Constants!$A:$C,3,FALSE)</f>
        <v>Medium Volume</v>
      </c>
    </row>
    <row r="877" spans="1:5">
      <c r="A877" t="s">
        <v>557</v>
      </c>
      <c r="B877" t="s">
        <v>120</v>
      </c>
      <c r="C877" s="8">
        <v>0</v>
      </c>
      <c r="D877" t="str">
        <f>VLOOKUP(Tabulation!$B877,Constants!$A:$C,2,FALSE)</f>
        <v>FA Upload Staging</v>
      </c>
      <c r="E877" t="str">
        <f>VLOOKUP(Tabulation!$B877,Constants!$A:$C,3,FALSE)</f>
        <v>Medium Volume</v>
      </c>
    </row>
    <row r="878" spans="1:5">
      <c r="A878" t="s">
        <v>557</v>
      </c>
      <c r="B878" t="s">
        <v>122</v>
      </c>
      <c r="C878" s="8">
        <v>0</v>
      </c>
      <c r="D878" t="str">
        <f>VLOOKUP(Tabulation!$B878,Constants!$A:$C,2,FALSE)</f>
        <v>Field Order</v>
      </c>
      <c r="E878" t="str">
        <f>VLOOKUP(Tabulation!$B878,Constants!$A:$C,3,FALSE)</f>
        <v>Medium Volume</v>
      </c>
    </row>
    <row r="879" spans="1:5">
      <c r="A879" t="s">
        <v>557</v>
      </c>
      <c r="B879" t="s">
        <v>124</v>
      </c>
      <c r="C879" s="8">
        <v>0</v>
      </c>
      <c r="D879" t="str">
        <f>VLOOKUP(Tabulation!$B879,Constants!$A:$C,2,FALSE)</f>
        <v>Field Order Download Staging</v>
      </c>
      <c r="E879" t="str">
        <f>VLOOKUP(Tabulation!$B879,Constants!$A:$C,3,FALSE)</f>
        <v>Medium Volume</v>
      </c>
    </row>
    <row r="880" spans="1:5">
      <c r="A880" t="s">
        <v>557</v>
      </c>
      <c r="B880" t="s">
        <v>126</v>
      </c>
      <c r="C880" s="8">
        <v>3665021</v>
      </c>
      <c r="D880" t="str">
        <f>VLOOKUP(Tabulation!$B880,Constants!$A:$C,2,FALSE)</f>
        <v>Financial Transaction</v>
      </c>
      <c r="E880" t="str">
        <f>VLOOKUP(Tabulation!$B880,Constants!$A:$C,3,FALSE)</f>
        <v>Medium Volume</v>
      </c>
    </row>
    <row r="881" spans="1:5">
      <c r="A881" t="s">
        <v>557</v>
      </c>
      <c r="B881" t="s">
        <v>128</v>
      </c>
      <c r="C881" s="8">
        <v>0</v>
      </c>
      <c r="D881" t="str">
        <f>VLOOKUP(Tabulation!$B881,Constants!$A:$C,2,FALSE)</f>
        <v>Interval Data Set</v>
      </c>
      <c r="E881" t="str">
        <f>VLOOKUP(Tabulation!$B881,Constants!$A:$C,3,FALSE)</f>
        <v>Medium Volume</v>
      </c>
    </row>
    <row r="882" spans="1:5">
      <c r="A882" t="s">
        <v>557</v>
      </c>
      <c r="B882" t="s">
        <v>130</v>
      </c>
      <c r="C882" s="8">
        <v>0</v>
      </c>
      <c r="D882" t="str">
        <f>VLOOKUP(Tabulation!$B882,Constants!$A:$C,2,FALSE)</f>
        <v>Interval Data Profile</v>
      </c>
      <c r="E882" t="str">
        <f>VLOOKUP(Tabulation!$B882,Constants!$A:$C,3,FALSE)</f>
        <v>Medium Volume</v>
      </c>
    </row>
    <row r="883" spans="1:5">
      <c r="A883" t="s">
        <v>557</v>
      </c>
      <c r="B883" t="s">
        <v>132</v>
      </c>
      <c r="C883" s="8">
        <v>0</v>
      </c>
      <c r="D883" t="str">
        <f>VLOOKUP(Tabulation!$B883,Constants!$A:$C,2,FALSE)</f>
        <v>Interval Value Set</v>
      </c>
      <c r="E883" t="str">
        <f>VLOOKUP(Tabulation!$B883,Constants!$A:$C,3,FALSE)</f>
        <v>Medium Volume</v>
      </c>
    </row>
    <row r="884" spans="1:5">
      <c r="A884" t="s">
        <v>557</v>
      </c>
      <c r="B884" t="s">
        <v>134</v>
      </c>
      <c r="C884" s="8">
        <v>0</v>
      </c>
      <c r="D884" t="str">
        <f>VLOOKUP(Tabulation!$B884,Constants!$A:$C,2,FALSE)</f>
        <v>Item</v>
      </c>
      <c r="E884" t="str">
        <f>VLOOKUP(Tabulation!$B884,Constants!$A:$C,3,FALSE)</f>
        <v>Medium Volume</v>
      </c>
    </row>
    <row r="885" spans="1:5">
      <c r="A885" t="s">
        <v>557</v>
      </c>
      <c r="B885" t="s">
        <v>136</v>
      </c>
      <c r="C885" s="8">
        <v>0</v>
      </c>
      <c r="D885" t="str">
        <f>VLOOKUP(Tabulation!$B885,Constants!$A:$C,2,FALSE)</f>
        <v>Item Type SQ Estimate</v>
      </c>
      <c r="E885" t="str">
        <f>VLOOKUP(Tabulation!$B885,Constants!$A:$C,3,FALSE)</f>
        <v>Medium Volume</v>
      </c>
    </row>
    <row r="886" spans="1:5">
      <c r="A886" t="s">
        <v>557</v>
      </c>
      <c r="B886" t="s">
        <v>138</v>
      </c>
      <c r="C886" s="8">
        <v>0</v>
      </c>
      <c r="D886" t="str">
        <f>VLOOKUP(Tabulation!$B886,Constants!$A:$C,2,FALSE)</f>
        <v>Landlord Agreement</v>
      </c>
      <c r="E886" t="str">
        <f>VLOOKUP(Tabulation!$B886,Constants!$A:$C,3,FALSE)</f>
        <v>Medium Volume</v>
      </c>
    </row>
    <row r="887" spans="1:5">
      <c r="A887" t="s">
        <v>557</v>
      </c>
      <c r="B887" t="s">
        <v>140</v>
      </c>
      <c r="C887" s="8">
        <v>0</v>
      </c>
      <c r="D887" t="str">
        <f>VLOOKUP(Tabulation!$B887,Constants!$A:$C,2,FALSE)</f>
        <v>Match Event</v>
      </c>
      <c r="E887" t="str">
        <f>VLOOKUP(Tabulation!$B887,Constants!$A:$C,3,FALSE)</f>
        <v>Medium Volume</v>
      </c>
    </row>
    <row r="888" spans="1:5">
      <c r="A888" t="s">
        <v>557</v>
      </c>
      <c r="B888" t="s">
        <v>142</v>
      </c>
      <c r="C888" s="8">
        <v>0</v>
      </c>
      <c r="D888" t="str">
        <f>VLOOKUP(Tabulation!$B888,Constants!$A:$C,2,FALSE)</f>
        <v>Meter Read</v>
      </c>
      <c r="E888" t="str">
        <f>VLOOKUP(Tabulation!$B888,Constants!$A:$C,3,FALSE)</f>
        <v>Medium Volume</v>
      </c>
    </row>
    <row r="889" spans="1:5">
      <c r="A889" t="s">
        <v>557</v>
      </c>
      <c r="B889" t="s">
        <v>144</v>
      </c>
      <c r="C889" s="8">
        <v>0</v>
      </c>
      <c r="D889" t="str">
        <f>VLOOKUP(Tabulation!$B889,Constants!$A:$C,2,FALSE)</f>
        <v>Meter Read Download Staging</v>
      </c>
      <c r="E889" t="str">
        <f>VLOOKUP(Tabulation!$B889,Constants!$A:$C,3,FALSE)</f>
        <v>Medium Volume</v>
      </c>
    </row>
    <row r="890" spans="1:5">
      <c r="A890" t="s">
        <v>557</v>
      </c>
      <c r="B890" t="s">
        <v>146</v>
      </c>
      <c r="C890" s="8">
        <v>0</v>
      </c>
      <c r="D890" t="str">
        <f>VLOOKUP(Tabulation!$B890,Constants!$A:$C,2,FALSE)</f>
        <v>Meter Read Upload Staging</v>
      </c>
      <c r="E890" t="str">
        <f>VLOOKUP(Tabulation!$B890,Constants!$A:$C,3,FALSE)</f>
        <v>Medium Volume</v>
      </c>
    </row>
    <row r="891" spans="1:5">
      <c r="A891" t="s">
        <v>557</v>
      </c>
      <c r="B891" t="s">
        <v>148</v>
      </c>
      <c r="C891" s="8">
        <v>987729</v>
      </c>
      <c r="D891" t="str">
        <f>VLOOKUP(Tabulation!$B891,Constants!$A:$C,2,FALSE)</f>
        <v>Message Log</v>
      </c>
      <c r="E891" t="str">
        <f>VLOOKUP(Tabulation!$B891,Constants!$A:$C,3,FALSE)</f>
        <v>Medium Volume</v>
      </c>
    </row>
    <row r="892" spans="1:5">
      <c r="A892" t="s">
        <v>557</v>
      </c>
      <c r="B892" t="s">
        <v>150</v>
      </c>
      <c r="C892" s="8">
        <v>0</v>
      </c>
      <c r="D892" t="str">
        <f>VLOOKUP(Tabulation!$B892,Constants!$A:$C,2,FALSE)</f>
        <v>Meter</v>
      </c>
      <c r="E892" t="str">
        <f>VLOOKUP(Tabulation!$B892,Constants!$A:$C,3,FALSE)</f>
        <v>Medium Volume</v>
      </c>
    </row>
    <row r="893" spans="1:5">
      <c r="A893" t="s">
        <v>557</v>
      </c>
      <c r="B893" t="s">
        <v>152</v>
      </c>
      <c r="C893" s="8">
        <v>0</v>
      </c>
      <c r="D893" t="str">
        <f>VLOOKUP(Tabulation!$B893,Constants!$A:$C,2,FALSE)</f>
        <v>Meter Configuration</v>
      </c>
      <c r="E893" t="str">
        <f>VLOOKUP(Tabulation!$B893,Constants!$A:$C,3,FALSE)</f>
        <v>Medium Volume</v>
      </c>
    </row>
    <row r="894" spans="1:5">
      <c r="A894" t="s">
        <v>557</v>
      </c>
      <c r="B894" t="s">
        <v>154</v>
      </c>
      <c r="C894" s="8">
        <v>0</v>
      </c>
      <c r="D894" t="str">
        <f>VLOOKUP(Tabulation!$B894,Constants!$A:$C,2,FALSE)</f>
        <v>Notification Download Staging</v>
      </c>
      <c r="E894" t="str">
        <f>VLOOKUP(Tabulation!$B894,Constants!$A:$C,3,FALSE)</f>
        <v>Medium Volume</v>
      </c>
    </row>
    <row r="895" spans="1:5">
      <c r="A895" t="s">
        <v>557</v>
      </c>
      <c r="B895" t="s">
        <v>156</v>
      </c>
      <c r="C895" s="8">
        <v>0</v>
      </c>
      <c r="D895" t="str">
        <f>VLOOKUP(Tabulation!$B895,Constants!$A:$C,2,FALSE)</f>
        <v>Notification Upload Staging</v>
      </c>
      <c r="E895" t="str">
        <f>VLOOKUP(Tabulation!$B895,Constants!$A:$C,3,FALSE)</f>
        <v>Medium Volume</v>
      </c>
    </row>
    <row r="896" spans="1:5">
      <c r="A896" t="s">
        <v>557</v>
      </c>
      <c r="B896" t="s">
        <v>158</v>
      </c>
      <c r="C896" s="8">
        <v>0</v>
      </c>
      <c r="D896" t="str">
        <f>VLOOKUP(Tabulation!$B896,Constants!$A:$C,2,FALSE)</f>
        <v>NT Upload Staging Extension Sample</v>
      </c>
      <c r="E896" t="str">
        <f>VLOOKUP(Tabulation!$B896,Constants!$A:$C,3,FALSE)</f>
        <v>Medium Volume</v>
      </c>
    </row>
    <row r="897" spans="1:5">
      <c r="A897" t="s">
        <v>557</v>
      </c>
      <c r="B897" t="s">
        <v>160</v>
      </c>
      <c r="C897" s="8">
        <v>0</v>
      </c>
      <c r="D897" t="str">
        <f>VLOOKUP(Tabulation!$B897,Constants!$A:$C,2,FALSE)</f>
        <v>Overdue Process</v>
      </c>
      <c r="E897" t="str">
        <f>VLOOKUP(Tabulation!$B897,Constants!$A:$C,3,FALSE)</f>
        <v>Medium Volume</v>
      </c>
    </row>
    <row r="898" spans="1:5">
      <c r="A898" t="s">
        <v>557</v>
      </c>
      <c r="B898" t="s">
        <v>162</v>
      </c>
      <c r="C898" s="8">
        <v>455524</v>
      </c>
      <c r="D898" t="str">
        <f>VLOOKUP(Tabulation!$B898,Constants!$A:$C,2,FALSE)</f>
        <v>Payment Header</v>
      </c>
      <c r="E898" t="str">
        <f>VLOOKUP(Tabulation!$B898,Constants!$A:$C,3,FALSE)</f>
        <v>Medium Volume</v>
      </c>
    </row>
    <row r="899" spans="1:5">
      <c r="A899" t="s">
        <v>557</v>
      </c>
      <c r="B899" t="s">
        <v>164</v>
      </c>
      <c r="C899" s="8">
        <v>450702</v>
      </c>
      <c r="D899" t="str">
        <f>VLOOKUP(Tabulation!$B899,Constants!$A:$C,2,FALSE)</f>
        <v>Payment Event</v>
      </c>
      <c r="E899" t="str">
        <f>VLOOKUP(Tabulation!$B899,Constants!$A:$C,3,FALSE)</f>
        <v>Medium Volume</v>
      </c>
    </row>
    <row r="900" spans="1:5">
      <c r="A900" t="s">
        <v>557</v>
      </c>
      <c r="B900" t="s">
        <v>166</v>
      </c>
      <c r="C900" s="8">
        <v>388</v>
      </c>
      <c r="D900" t="str">
        <f>VLOOKUP(Tabulation!$B900,Constants!$A:$C,2,FALSE)</f>
        <v>Payment Tender Staging</v>
      </c>
      <c r="E900" t="str">
        <f>VLOOKUP(Tabulation!$B900,Constants!$A:$C,3,FALSE)</f>
        <v>Medium Volume</v>
      </c>
    </row>
    <row r="901" spans="1:5">
      <c r="A901" t="s">
        <v>557</v>
      </c>
      <c r="B901" t="s">
        <v>168</v>
      </c>
      <c r="C901" s="8">
        <v>25395</v>
      </c>
      <c r="D901" t="str">
        <f>VLOOKUP(Tabulation!$B901,Constants!$A:$C,2,FALSE)</f>
        <v>Person</v>
      </c>
      <c r="E901" t="str">
        <f>VLOOKUP(Tabulation!$B901,Constants!$A:$C,3,FALSE)</f>
        <v>Medium Volume</v>
      </c>
    </row>
    <row r="902" spans="1:5">
      <c r="A902" t="s">
        <v>557</v>
      </c>
      <c r="B902" t="s">
        <v>170</v>
      </c>
      <c r="C902" s="8">
        <v>0</v>
      </c>
      <c r="D902" t="str">
        <f>VLOOKUP(Tabulation!$B902,Constants!$A:$C,2,FALSE)</f>
        <v>Payment Event Upload Staging</v>
      </c>
      <c r="E902" t="str">
        <f>VLOOKUP(Tabulation!$B902,Constants!$A:$C,3,FALSE)</f>
        <v>Medium Volume</v>
      </c>
    </row>
    <row r="903" spans="1:5">
      <c r="A903" t="s">
        <v>557</v>
      </c>
      <c r="B903" t="s">
        <v>172</v>
      </c>
      <c r="C903" s="8">
        <v>16</v>
      </c>
      <c r="D903" t="str">
        <f>VLOOKUP(Tabulation!$B903,Constants!$A:$C,2,FALSE)</f>
        <v>Pay Plan</v>
      </c>
      <c r="E903" t="str">
        <f>VLOOKUP(Tabulation!$B903,Constants!$A:$C,3,FALSE)</f>
        <v>Medium Volume</v>
      </c>
    </row>
    <row r="904" spans="1:5">
      <c r="A904" t="s">
        <v>557</v>
      </c>
      <c r="B904" t="s">
        <v>174</v>
      </c>
      <c r="C904" s="8">
        <v>16282</v>
      </c>
      <c r="D904" t="str">
        <f>VLOOKUP(Tabulation!$B904,Constants!$A:$C,2,FALSE)</f>
        <v>Premise</v>
      </c>
      <c r="E904" t="str">
        <f>VLOOKUP(Tabulation!$B904,Constants!$A:$C,3,FALSE)</f>
        <v>Medium Volume</v>
      </c>
    </row>
    <row r="905" spans="1:5">
      <c r="A905" t="s">
        <v>557</v>
      </c>
      <c r="B905" t="s">
        <v>176</v>
      </c>
      <c r="C905" s="8">
        <v>0</v>
      </c>
      <c r="D905" t="str">
        <f>VLOOKUP(Tabulation!$B905,Constants!$A:$C,2,FALSE)</f>
        <v>Quote</v>
      </c>
      <c r="E905" t="str">
        <f>VLOOKUP(Tabulation!$B905,Constants!$A:$C,3,FALSE)</f>
        <v>Medium Volume</v>
      </c>
    </row>
    <row r="906" spans="1:5">
      <c r="A906" t="s">
        <v>557</v>
      </c>
      <c r="B906" t="s">
        <v>178</v>
      </c>
      <c r="C906" s="8">
        <v>0</v>
      </c>
      <c r="D906" t="str">
        <f>VLOOKUP(Tabulation!$B906,Constants!$A:$C,2,FALSE)</f>
        <v>Rebate Claim</v>
      </c>
      <c r="E906" t="str">
        <f>VLOOKUP(Tabulation!$B906,Constants!$A:$C,3,FALSE)</f>
        <v>Medium Volume</v>
      </c>
    </row>
    <row r="907" spans="1:5">
      <c r="A907" t="s">
        <v>557</v>
      </c>
      <c r="B907" t="s">
        <v>180</v>
      </c>
      <c r="C907" s="8">
        <v>0</v>
      </c>
      <c r="D907" t="str">
        <f>VLOOKUP(Tabulation!$B907,Constants!$A:$C,2,FALSE)</f>
        <v>Rebate Claim Line</v>
      </c>
      <c r="E907" t="str">
        <f>VLOOKUP(Tabulation!$B907,Constants!$A:$C,3,FALSE)</f>
        <v>Medium Volume</v>
      </c>
    </row>
    <row r="908" spans="1:5">
      <c r="A908" t="s">
        <v>557</v>
      </c>
      <c r="B908" t="s">
        <v>182</v>
      </c>
      <c r="C908" s="8">
        <v>0</v>
      </c>
      <c r="D908" t="str">
        <f>VLOOKUP(Tabulation!$B908,Constants!$A:$C,2,FALSE)</f>
        <v>Interval Register Data Set</v>
      </c>
      <c r="E908" t="str">
        <f>VLOOKUP(Tabulation!$B908,Constants!$A:$C,3,FALSE)</f>
        <v>Medium Volume</v>
      </c>
    </row>
    <row r="909" spans="1:5">
      <c r="A909" t="s">
        <v>557</v>
      </c>
      <c r="B909" t="s">
        <v>184</v>
      </c>
      <c r="C909" s="8">
        <v>144153</v>
      </c>
      <c r="D909" t="str">
        <f>VLOOKUP(Tabulation!$B909,Constants!$A:$C,2,FALSE)</f>
        <v>SA (Service Agreement)</v>
      </c>
      <c r="E909" t="str">
        <f>VLOOKUP(Tabulation!$B909,Constants!$A:$C,3,FALSE)</f>
        <v>Medium Volume</v>
      </c>
    </row>
    <row r="910" spans="1:5">
      <c r="A910" t="s">
        <v>557</v>
      </c>
      <c r="B910" t="s">
        <v>186</v>
      </c>
      <c r="C910" s="8">
        <v>0</v>
      </c>
      <c r="D910" t="str">
        <f>VLOOKUP(Tabulation!$B910,Constants!$A:$C,2,FALSE)</f>
        <v>SA Relationship</v>
      </c>
      <c r="E910" t="str">
        <f>VLOOKUP(Tabulation!$B910,Constants!$A:$C,3,FALSE)</f>
        <v>Medium Volume</v>
      </c>
    </row>
    <row r="911" spans="1:5">
      <c r="A911" t="s">
        <v>557</v>
      </c>
      <c r="B911" t="s">
        <v>188</v>
      </c>
      <c r="C911" s="8">
        <v>0</v>
      </c>
      <c r="D911" t="str">
        <f>VLOOKUP(Tabulation!$B911,Constants!$A:$C,2,FALSE)</f>
        <v>Service Credit Membership</v>
      </c>
      <c r="E911" t="str">
        <f>VLOOKUP(Tabulation!$B911,Constants!$A:$C,3,FALSE)</f>
        <v>Medium Volume</v>
      </c>
    </row>
    <row r="912" spans="1:5">
      <c r="A912" t="s">
        <v>557</v>
      </c>
      <c r="B912" t="s">
        <v>190</v>
      </c>
      <c r="C912" s="8">
        <v>0</v>
      </c>
      <c r="D912" t="str">
        <f>VLOOKUP(Tabulation!$B912,Constants!$A:$C,2,FALSE)</f>
        <v>Service Credit Event</v>
      </c>
      <c r="E912" t="str">
        <f>VLOOKUP(Tabulation!$B912,Constants!$A:$C,3,FALSE)</f>
        <v>Medium Volume</v>
      </c>
    </row>
    <row r="913" spans="1:5">
      <c r="A913" t="s">
        <v>557</v>
      </c>
      <c r="B913" t="s">
        <v>192</v>
      </c>
      <c r="C913" s="8">
        <v>0</v>
      </c>
      <c r="D913" t="str">
        <f>VLOOKUP(Tabulation!$B913,Constants!$A:$C,2,FALSE)</f>
        <v>Severance Process</v>
      </c>
      <c r="E913" t="str">
        <f>VLOOKUP(Tabulation!$B913,Constants!$A:$C,3,FALSE)</f>
        <v>Medium Volume</v>
      </c>
    </row>
    <row r="914" spans="1:5">
      <c r="A914" t="s">
        <v>557</v>
      </c>
      <c r="B914" t="s">
        <v>194</v>
      </c>
      <c r="C914" s="8">
        <v>17674</v>
      </c>
      <c r="D914" t="str">
        <f>VLOOKUP(Tabulation!$B914,Constants!$A:$C,2,FALSE)</f>
        <v>Service Point - CCB</v>
      </c>
      <c r="E914" t="str">
        <f>VLOOKUP(Tabulation!$B914,Constants!$A:$C,3,FALSE)</f>
        <v>Medium Volume</v>
      </c>
    </row>
    <row r="915" spans="1:5">
      <c r="A915" t="s">
        <v>557</v>
      </c>
      <c r="B915" t="s">
        <v>199</v>
      </c>
      <c r="C915" s="8">
        <v>0</v>
      </c>
      <c r="D915" t="str">
        <f>VLOOKUP(Tabulation!$B915,Constants!$A:$C,2,FALSE)</f>
        <v>SP Item History</v>
      </c>
      <c r="E915" t="str">
        <f>VLOOKUP(Tabulation!$B915,Constants!$A:$C,3,FALSE)</f>
        <v>Medium Volume</v>
      </c>
    </row>
    <row r="916" spans="1:5">
      <c r="A916" t="s">
        <v>557</v>
      </c>
      <c r="B916" t="s">
        <v>201</v>
      </c>
      <c r="C916" s="8">
        <v>0</v>
      </c>
      <c r="D916" t="str">
        <f>VLOOKUP(Tabulation!$B916,Constants!$A:$C,2,FALSE)</f>
        <v>SP/Meter History</v>
      </c>
      <c r="E916" t="str">
        <f>VLOOKUP(Tabulation!$B916,Constants!$A:$C,3,FALSE)</f>
        <v>Medium Volume</v>
      </c>
    </row>
    <row r="917" spans="1:5">
      <c r="A917" t="s">
        <v>557</v>
      </c>
      <c r="B917" t="s">
        <v>203</v>
      </c>
      <c r="C917" s="8">
        <v>0</v>
      </c>
      <c r="D917" t="str">
        <f>VLOOKUP(Tabulation!$B917,Constants!$A:$C,2,FALSE)</f>
        <v>Stock Location</v>
      </c>
      <c r="E917" t="str">
        <f>VLOOKUP(Tabulation!$B917,Constants!$A:$C,3,FALSE)</f>
        <v>Medium Volume</v>
      </c>
    </row>
    <row r="918" spans="1:5">
      <c r="A918" t="s">
        <v>557</v>
      </c>
      <c r="B918" t="s">
        <v>205</v>
      </c>
      <c r="C918" s="8">
        <v>0</v>
      </c>
      <c r="D918" t="str">
        <f>VLOOKUP(Tabulation!$B918,Constants!$A:$C,2,FALSE)</f>
        <v>Statement</v>
      </c>
      <c r="E918" t="str">
        <f>VLOOKUP(Tabulation!$B918,Constants!$A:$C,3,FALSE)</f>
        <v>Medium Volume</v>
      </c>
    </row>
    <row r="919" spans="1:5">
      <c r="A919" t="s">
        <v>557</v>
      </c>
      <c r="B919" t="s">
        <v>207</v>
      </c>
      <c r="C919" s="8">
        <v>0</v>
      </c>
      <c r="D919" t="str">
        <f>VLOOKUP(Tabulation!$B919,Constants!$A:$C,2,FALSE)</f>
        <v>Statement Construct</v>
      </c>
      <c r="E919" t="str">
        <f>VLOOKUP(Tabulation!$B919,Constants!$A:$C,3,FALSE)</f>
        <v>Medium Volume</v>
      </c>
    </row>
    <row r="920" spans="1:5">
      <c r="A920" t="s">
        <v>557</v>
      </c>
      <c r="B920" t="s">
        <v>209</v>
      </c>
      <c r="C920" s="8">
        <v>0</v>
      </c>
      <c r="D920" t="str">
        <f>VLOOKUP(Tabulation!$B920,Constants!$A:$C,2,FALSE)</f>
        <v>Service Route Download Staging</v>
      </c>
      <c r="E920" t="str">
        <f>VLOOKUP(Tabulation!$B920,Constants!$A:$C,3,FALSE)</f>
        <v>Medium Volume</v>
      </c>
    </row>
    <row r="921" spans="1:5">
      <c r="A921" t="s">
        <v>557</v>
      </c>
      <c r="B921" t="s">
        <v>211</v>
      </c>
      <c r="C921" s="8">
        <v>41861</v>
      </c>
      <c r="D921" t="str">
        <f>VLOOKUP(Tabulation!$B921,Constants!$A:$C,2,FALSE)</f>
        <v>To Do Entry</v>
      </c>
      <c r="E921" t="str">
        <f>VLOOKUP(Tabulation!$B921,Constants!$A:$C,3,FALSE)</f>
        <v>Medium Volume</v>
      </c>
    </row>
    <row r="922" spans="1:5">
      <c r="A922" t="s">
        <v>557</v>
      </c>
      <c r="B922" t="s">
        <v>213</v>
      </c>
      <c r="C922" s="8">
        <v>1991</v>
      </c>
      <c r="D922" t="str">
        <f>VLOOKUP(Tabulation!$B922,Constants!$A:$C,2,FALSE)</f>
        <v>Tender Control</v>
      </c>
      <c r="E922" t="str">
        <f>VLOOKUP(Tabulation!$B922,Constants!$A:$C,3,FALSE)</f>
        <v>Medium Volume</v>
      </c>
    </row>
    <row r="923" spans="1:5">
      <c r="A923" t="s">
        <v>557</v>
      </c>
      <c r="B923" t="s">
        <v>215</v>
      </c>
      <c r="C923" s="8">
        <v>0</v>
      </c>
      <c r="D923" t="str">
        <f>VLOOKUP(Tabulation!$B923,Constants!$A:$C,2,FALSE)</f>
        <v>Terms of Service</v>
      </c>
      <c r="E923" t="str">
        <f>VLOOKUP(Tabulation!$B923,Constants!$A:$C,3,FALSE)</f>
        <v>Medium Volume</v>
      </c>
    </row>
    <row r="924" spans="1:5">
      <c r="A924" t="s">
        <v>557</v>
      </c>
      <c r="B924" t="s">
        <v>217</v>
      </c>
      <c r="C924" s="8">
        <v>0</v>
      </c>
      <c r="D924" t="str">
        <f>VLOOKUP(Tabulation!$B924,Constants!$A:$C,2,FALSE)</f>
        <v>TOU Data Set</v>
      </c>
      <c r="E924" t="str">
        <f>VLOOKUP(Tabulation!$B924,Constants!$A:$C,3,FALSE)</f>
        <v>Medium Volume</v>
      </c>
    </row>
    <row r="925" spans="1:5">
      <c r="A925" t="s">
        <v>557</v>
      </c>
      <c r="B925" t="s">
        <v>219</v>
      </c>
      <c r="C925" s="8">
        <v>0</v>
      </c>
      <c r="D925" t="str">
        <f>VLOOKUP(Tabulation!$B925,Constants!$A:$C,2,FALSE)</f>
        <v>Time Of Use Map Classic</v>
      </c>
      <c r="E925" t="str">
        <f>VLOOKUP(Tabulation!$B925,Constants!$A:$C,3,FALSE)</f>
        <v>Medium Volume</v>
      </c>
    </row>
    <row r="926" spans="1:5">
      <c r="A926" t="s">
        <v>557</v>
      </c>
      <c r="B926" t="s">
        <v>221</v>
      </c>
      <c r="C926" s="8">
        <v>0</v>
      </c>
      <c r="D926" t="str">
        <f>VLOOKUP(Tabulation!$B926,Constants!$A:$C,2,FALSE)</f>
        <v>Trend</v>
      </c>
      <c r="E926" t="str">
        <f>VLOOKUP(Tabulation!$B926,Constants!$A:$C,3,FALSE)</f>
        <v>Medium Volume</v>
      </c>
    </row>
    <row r="927" spans="1:5">
      <c r="A927" t="s">
        <v>557</v>
      </c>
      <c r="B927" t="s">
        <v>223</v>
      </c>
      <c r="C927" s="8">
        <v>0</v>
      </c>
      <c r="D927" t="str">
        <f>VLOOKUP(Tabulation!$B927,Constants!$A:$C,2,FALSE)</f>
        <v>Umbrella Agreement</v>
      </c>
      <c r="E927" t="str">
        <f>VLOOKUP(Tabulation!$B927,Constants!$A:$C,3,FALSE)</f>
        <v>Medium Volume</v>
      </c>
    </row>
    <row r="928" spans="1:5">
      <c r="A928" t="s">
        <v>557</v>
      </c>
      <c r="B928" t="s">
        <v>225</v>
      </c>
      <c r="C928" s="8">
        <v>0</v>
      </c>
      <c r="D928" t="str">
        <f>VLOOKUP(Tabulation!$B928,Constants!$A:$C,2,FALSE)</f>
        <v>Validation Error</v>
      </c>
      <c r="E928" t="str">
        <f>VLOOKUP(Tabulation!$B928,Constants!$A:$C,3,FALSE)</f>
        <v>Medium Volume</v>
      </c>
    </row>
    <row r="929" spans="1:5">
      <c r="A929" t="s">
        <v>557</v>
      </c>
      <c r="B929" t="s">
        <v>227</v>
      </c>
      <c r="C929" s="8">
        <v>0</v>
      </c>
      <c r="D929" t="str">
        <f>VLOOKUP(Tabulation!$B929,Constants!$A:$C,2,FALSE)</f>
        <v>Validation Error Foreign Keys</v>
      </c>
      <c r="E929" t="str">
        <f>VLOOKUP(Tabulation!$B929,Constants!$A:$C,3,FALSE)</f>
        <v>Medium Volume</v>
      </c>
    </row>
    <row r="930" spans="1:5">
      <c r="A930" t="s">
        <v>557</v>
      </c>
      <c r="B930" t="s">
        <v>229</v>
      </c>
      <c r="C930" s="8">
        <v>0</v>
      </c>
      <c r="D930" t="str">
        <f>VLOOKUP(Tabulation!$B930,Constants!$A:$C,2,FALSE)</f>
        <v>WF Process</v>
      </c>
      <c r="E930" t="str">
        <f>VLOOKUP(Tabulation!$B930,Constants!$A:$C,3,FALSE)</f>
        <v>Medium Volume</v>
      </c>
    </row>
    <row r="931" spans="1:5">
      <c r="A931" t="s">
        <v>557</v>
      </c>
      <c r="B931" t="s">
        <v>231</v>
      </c>
      <c r="C931" s="8">
        <v>777</v>
      </c>
      <c r="D931" t="str">
        <f>VLOOKUP(Tabulation!$B931,Constants!$A:$C,2,FALSE)</f>
        <v>Write Off Process</v>
      </c>
      <c r="E931" t="str">
        <f>VLOOKUP(Tabulation!$B931,Constants!$A:$C,3,FALSE)</f>
        <v>Medium Volume</v>
      </c>
    </row>
    <row r="932" spans="1:5">
      <c r="A932" t="s">
        <v>557</v>
      </c>
      <c r="B932" t="s">
        <v>233</v>
      </c>
      <c r="C932" s="8">
        <v>0</v>
      </c>
      <c r="D932" t="str">
        <f>VLOOKUP(Tabulation!$B932,Constants!$A:$C,2,FALSE)</f>
        <v>XAI Download</v>
      </c>
      <c r="E932" t="str">
        <f>VLOOKUP(Tabulation!$B932,Constants!$A:$C,3,FALSE)</f>
        <v>Medium Volume</v>
      </c>
    </row>
    <row r="933" spans="1:5">
      <c r="A933" t="s">
        <v>557</v>
      </c>
      <c r="B933" t="s">
        <v>235</v>
      </c>
      <c r="C933" s="8">
        <v>0</v>
      </c>
      <c r="D933" t="str">
        <f>VLOOKUP(Tabulation!$B933,Constants!$A:$C,2,FALSE)</f>
        <v>XAI Upload Staging</v>
      </c>
      <c r="E933" t="str">
        <f>VLOOKUP(Tabulation!$B933,Constants!$A:$C,3,FALSE)</f>
        <v>Medium Volume</v>
      </c>
    </row>
    <row r="934" spans="1:5">
      <c r="A934" t="s">
        <v>557</v>
      </c>
      <c r="B934" t="s">
        <v>237</v>
      </c>
      <c r="C934" s="8">
        <v>0</v>
      </c>
      <c r="D934" t="str">
        <f>VLOOKUP(Tabulation!$B934,Constants!$A:$C,2,FALSE)</f>
        <v>XAI Staging Control</v>
      </c>
      <c r="E934" t="str">
        <f>VLOOKUP(Tabulation!$B934,Constants!$A:$C,3,FALSE)</f>
        <v>Medium Volume</v>
      </c>
    </row>
    <row r="935" spans="1:5">
      <c r="A935" t="s">
        <v>557</v>
      </c>
      <c r="B935" t="s">
        <v>239</v>
      </c>
      <c r="C935" s="8">
        <v>20723</v>
      </c>
      <c r="D935" t="str">
        <f>VLOOKUP(Tabulation!$B935,Constants!$A:$C,2,FALSE)</f>
        <v>Activity</v>
      </c>
      <c r="E935" t="str">
        <f>VLOOKUP(Tabulation!$B935,Constants!$A:$C,3,FALSE)</f>
        <v>Medium Volume</v>
      </c>
    </row>
    <row r="936" spans="1:5">
      <c r="A936" t="s">
        <v>557</v>
      </c>
      <c r="B936" t="s">
        <v>241</v>
      </c>
      <c r="C936" s="8">
        <v>0</v>
      </c>
      <c r="D936" t="str">
        <f>VLOOKUP(Tabulation!$B936,Constants!$A:$C,2,FALSE)</f>
        <v>Attribute Data Snapshot</v>
      </c>
      <c r="E936" t="str">
        <f>VLOOKUP(Tabulation!$B936,Constants!$A:$C,3,FALSE)</f>
        <v>Medium Volume</v>
      </c>
    </row>
    <row r="937" spans="1:5">
      <c r="A937" t="s">
        <v>557</v>
      </c>
      <c r="B937" t="s">
        <v>243</v>
      </c>
      <c r="C937" s="8">
        <v>0</v>
      </c>
      <c r="D937" t="str">
        <f>VLOOKUP(Tabulation!$B937,Constants!$A:$C,2,FALSE)</f>
        <v>Aggregation Group Run</v>
      </c>
      <c r="E937" t="str">
        <f>VLOOKUP(Tabulation!$B937,Constants!$A:$C,3,FALSE)</f>
        <v>Medium Volume</v>
      </c>
    </row>
    <row r="938" spans="1:5">
      <c r="A938" t="s">
        <v>557</v>
      </c>
      <c r="B938" t="s">
        <v>245</v>
      </c>
      <c r="C938" s="8">
        <v>0</v>
      </c>
      <c r="D938" t="str">
        <f>VLOOKUP(Tabulation!$B938,Constants!$A:$C,2,FALSE)</f>
        <v>Aggregation Measurement</v>
      </c>
      <c r="E938" t="str">
        <f>VLOOKUP(Tabulation!$B938,Constants!$A:$C,3,FALSE)</f>
        <v>Medium Volume</v>
      </c>
    </row>
    <row r="939" spans="1:5">
      <c r="A939" t="s">
        <v>557</v>
      </c>
      <c r="B939" t="s">
        <v>247</v>
      </c>
      <c r="C939" s="8">
        <v>0</v>
      </c>
      <c r="D939" t="str">
        <f>VLOOKUP(Tabulation!$B939,Constants!$A:$C,2,FALSE)</f>
        <v>Attribute Values</v>
      </c>
      <c r="E939" t="str">
        <f>VLOOKUP(Tabulation!$B939,Constants!$A:$C,3,FALSE)</f>
        <v>Medium Volume</v>
      </c>
    </row>
    <row r="940" spans="1:5">
      <c r="A940" t="s">
        <v>557</v>
      </c>
      <c r="B940" t="s">
        <v>249</v>
      </c>
      <c r="C940" s="8">
        <v>943</v>
      </c>
      <c r="D940" t="str">
        <f>VLOOKUP(Tabulation!$B940,Constants!$A:$C,2,FALSE)</f>
        <v>Communication In</v>
      </c>
      <c r="E940" t="str">
        <f>VLOOKUP(Tabulation!$B940,Constants!$A:$C,3,FALSE)</f>
        <v>Medium Volume</v>
      </c>
    </row>
    <row r="941" spans="1:5">
      <c r="A941" t="s">
        <v>557</v>
      </c>
      <c r="B941" t="s">
        <v>251</v>
      </c>
      <c r="C941" s="8">
        <v>5807</v>
      </c>
      <c r="D941" t="str">
        <f>VLOOKUP(Tabulation!$B941,Constants!$A:$C,2,FALSE)</f>
        <v>Communication Out</v>
      </c>
      <c r="E941" t="str">
        <f>VLOOKUP(Tabulation!$B941,Constants!$A:$C,3,FALSE)</f>
        <v>Medium Volume</v>
      </c>
    </row>
    <row r="942" spans="1:5">
      <c r="A942" t="s">
        <v>557</v>
      </c>
      <c r="B942" t="s">
        <v>253</v>
      </c>
      <c r="C942" s="8">
        <v>7939</v>
      </c>
      <c r="D942" t="str">
        <f>VLOOKUP(Tabulation!$B942,Constants!$A:$C,2,FALSE)</f>
        <v>Completion Event</v>
      </c>
      <c r="E942" t="str">
        <f>VLOOKUP(Tabulation!$B942,Constants!$A:$C,3,FALSE)</f>
        <v>Medium Volume</v>
      </c>
    </row>
    <row r="943" spans="1:5">
      <c r="A943" t="s">
        <v>557</v>
      </c>
      <c r="B943" t="s">
        <v>255</v>
      </c>
      <c r="C943" s="8">
        <v>25399</v>
      </c>
      <c r="D943" t="str">
        <f>VLOOKUP(Tabulation!$B943,Constants!$A:$C,2,FALSE)</f>
        <v>Contact</v>
      </c>
      <c r="E943" t="str">
        <f>VLOOKUP(Tabulation!$B943,Constants!$A:$C,3,FALSE)</f>
        <v>Low Volume</v>
      </c>
    </row>
    <row r="944" spans="1:5">
      <c r="A944" t="s">
        <v>557</v>
      </c>
      <c r="B944" t="s">
        <v>257</v>
      </c>
      <c r="C944" s="8">
        <v>42311</v>
      </c>
      <c r="D944" t="str">
        <f>VLOOKUP(Tabulation!$B944,Constants!$A:$C,2,FALSE)</f>
        <v>Device</v>
      </c>
      <c r="E944" t="str">
        <f>VLOOKUP(Tabulation!$B944,Constants!$A:$C,3,FALSE)</f>
        <v>Medium Volume</v>
      </c>
    </row>
    <row r="945" spans="1:5">
      <c r="A945" t="s">
        <v>557</v>
      </c>
      <c r="B945" t="s">
        <v>259</v>
      </c>
      <c r="C945" s="8">
        <v>25292</v>
      </c>
      <c r="D945" t="str">
        <f>VLOOKUP(Tabulation!$B945,Constants!$A:$C,2,FALSE)</f>
        <v>Device Configuration</v>
      </c>
      <c r="E945" t="str">
        <f>VLOOKUP(Tabulation!$B945,Constants!$A:$C,3,FALSE)</f>
        <v>Medium Volume</v>
      </c>
    </row>
    <row r="946" spans="1:5">
      <c r="A946" t="s">
        <v>557</v>
      </c>
      <c r="B946" t="s">
        <v>261</v>
      </c>
      <c r="C946" s="8">
        <v>0</v>
      </c>
      <c r="D946" t="str">
        <f>VLOOKUP(Tabulation!$B946,Constants!$A:$C,2,FALSE)</f>
        <v>Device Event</v>
      </c>
      <c r="E946" t="str">
        <f>VLOOKUP(Tabulation!$B946,Constants!$A:$C,3,FALSE)</f>
        <v>Medium Volume</v>
      </c>
    </row>
    <row r="947" spans="1:5">
      <c r="A947" t="s">
        <v>557</v>
      </c>
      <c r="B947" t="s">
        <v>263</v>
      </c>
      <c r="C947" s="8">
        <v>0</v>
      </c>
      <c r="D947" t="str">
        <f>VLOOKUP(Tabulation!$B947,Constants!$A:$C,2,FALSE)</f>
        <v>Dynamic Option</v>
      </c>
      <c r="E947" t="str">
        <f>VLOOKUP(Tabulation!$B947,Constants!$A:$C,3,FALSE)</f>
        <v>Medium Volume</v>
      </c>
    </row>
    <row r="948" spans="1:5">
      <c r="A948" t="s">
        <v>557</v>
      </c>
      <c r="B948" t="s">
        <v>265</v>
      </c>
      <c r="C948" s="8">
        <v>0</v>
      </c>
      <c r="D948" t="str">
        <f>VLOOKUP(Tabulation!$B948,Constants!$A:$C,2,FALSE)</f>
        <v>Dynamic Option Event</v>
      </c>
      <c r="E948" t="str">
        <f>VLOOKUP(Tabulation!$B948,Constants!$A:$C,3,FALSE)</f>
        <v>Medium Volume</v>
      </c>
    </row>
    <row r="949" spans="1:5">
      <c r="A949" t="s">
        <v>557</v>
      </c>
      <c r="B949" t="s">
        <v>269</v>
      </c>
      <c r="C949" s="8">
        <v>0</v>
      </c>
      <c r="D949" t="str">
        <f>VLOOKUP(Tabulation!$B949,Constants!$A:$C,2,FALSE)</f>
        <v>Facility</v>
      </c>
      <c r="E949" t="str">
        <f>VLOOKUP(Tabulation!$B949,Constants!$A:$C,3,FALSE)</f>
        <v>Medium Volume</v>
      </c>
    </row>
    <row r="950" spans="1:5">
      <c r="A950" t="s">
        <v>557</v>
      </c>
      <c r="B950" t="s">
        <v>271</v>
      </c>
      <c r="C950" s="8">
        <v>126336</v>
      </c>
      <c r="D950" t="str">
        <f>VLOOKUP(Tabulation!$B950,Constants!$A:$C,2,FALSE)</f>
        <v>Initial Measurement Data</v>
      </c>
      <c r="E950" t="str">
        <f>VLOOKUP(Tabulation!$B950,Constants!$A:$C,3,FALSE)</f>
        <v>Medium Volume</v>
      </c>
    </row>
    <row r="951" spans="1:5">
      <c r="A951" t="s">
        <v>557</v>
      </c>
      <c r="B951" t="s">
        <v>273</v>
      </c>
      <c r="C951" s="8">
        <v>0</v>
      </c>
      <c r="D951" t="str">
        <f>VLOOKUP(Tabulation!$B951,Constants!$A:$C,2,FALSE)</f>
        <v>Initial Measurement Snapshot</v>
      </c>
      <c r="E951" t="str">
        <f>VLOOKUP(Tabulation!$B951,Constants!$A:$C,3,FALSE)</f>
        <v>Medium Volume</v>
      </c>
    </row>
    <row r="952" spans="1:5">
      <c r="A952" t="s">
        <v>557</v>
      </c>
      <c r="B952" t="s">
        <v>275</v>
      </c>
      <c r="C952" s="8">
        <v>18575</v>
      </c>
      <c r="D952" t="str">
        <f>VLOOKUP(Tabulation!$B952,Constants!$A:$C,2,FALSE)</f>
        <v>Install Event</v>
      </c>
      <c r="E952" t="str">
        <f>VLOOKUP(Tabulation!$B952,Constants!$A:$C,3,FALSE)</f>
        <v>Medium Volume</v>
      </c>
    </row>
    <row r="953" spans="1:5">
      <c r="A953" t="s">
        <v>557</v>
      </c>
      <c r="B953" t="s">
        <v>277</v>
      </c>
      <c r="C953" s="8">
        <v>0</v>
      </c>
      <c r="D953" t="str">
        <f>VLOOKUP(Tabulation!$B953,Constants!$A:$C,2,FALSE)</f>
        <v>Interval Snapshot Mapping</v>
      </c>
      <c r="E953" t="str">
        <f>VLOOKUP(Tabulation!$B953,Constants!$A:$C,3,FALSE)</f>
        <v>Medium Volume</v>
      </c>
    </row>
    <row r="954" spans="1:5">
      <c r="A954" t="s">
        <v>557</v>
      </c>
      <c r="B954" t="s">
        <v>279</v>
      </c>
      <c r="C954" s="8">
        <v>0</v>
      </c>
      <c r="D954" t="str">
        <f>VLOOKUP(Tabulation!$B954,Constants!$A:$C,2,FALSE)</f>
        <v>MC Comparison Period</v>
      </c>
      <c r="E954" t="str">
        <f>VLOOKUP(Tabulation!$B954,Constants!$A:$C,3,FALSE)</f>
        <v>Medium Volume</v>
      </c>
    </row>
    <row r="955" spans="1:5">
      <c r="A955" t="s">
        <v>557</v>
      </c>
      <c r="B955" t="s">
        <v>281</v>
      </c>
      <c r="C955" s="8">
        <v>0</v>
      </c>
      <c r="D955" t="str">
        <f>VLOOKUP(Tabulation!$B955,Constants!$A:$C,2,FALSE)</f>
        <v>Measurement Data Snapshot Interval</v>
      </c>
      <c r="E955" t="str">
        <f>VLOOKUP(Tabulation!$B955,Constants!$A:$C,3,FALSE)</f>
        <v>Medium Volume</v>
      </c>
    </row>
    <row r="956" spans="1:5">
      <c r="A956" t="s">
        <v>557</v>
      </c>
      <c r="B956" t="s">
        <v>283</v>
      </c>
      <c r="C956" s="8">
        <v>0</v>
      </c>
      <c r="D956" t="str">
        <f>VLOOKUP(Tabulation!$B956,Constants!$A:$C,2,FALSE)</f>
        <v>Measurement Data Snapshot Scalar</v>
      </c>
      <c r="E956" t="str">
        <f>VLOOKUP(Tabulation!$B956,Constants!$A:$C,3,FALSE)</f>
        <v>Medium Volume</v>
      </c>
    </row>
    <row r="957" spans="1:5">
      <c r="A957" t="s">
        <v>557</v>
      </c>
      <c r="B957" t="s">
        <v>285</v>
      </c>
      <c r="C957" s="8">
        <v>25309</v>
      </c>
      <c r="D957" t="str">
        <f>VLOOKUP(Tabulation!$B957,Constants!$A:$C,2,FALSE)</f>
        <v>Measuring Component</v>
      </c>
      <c r="E957" t="str">
        <f>VLOOKUP(Tabulation!$B957,Constants!$A:$C,3,FALSE)</f>
        <v>Medium Volume</v>
      </c>
    </row>
    <row r="958" spans="1:5">
      <c r="A958" t="s">
        <v>557</v>
      </c>
      <c r="B958" t="s">
        <v>287</v>
      </c>
      <c r="C958" s="8">
        <v>0</v>
      </c>
      <c r="D958" t="str">
        <f>VLOOKUP(Tabulation!$B958,Constants!$A:$C,2,FALSE)</f>
        <v>Market Award</v>
      </c>
      <c r="E958" t="str">
        <f>VLOOKUP(Tabulation!$B958,Constants!$A:$C,3,FALSE)</f>
        <v>Medium Volume</v>
      </c>
    </row>
    <row r="959" spans="1:5">
      <c r="A959" t="s">
        <v>557</v>
      </c>
      <c r="B959" t="s">
        <v>289</v>
      </c>
      <c r="C959" s="8">
        <v>0</v>
      </c>
      <c r="D959" t="str">
        <f>VLOOKUP(Tabulation!$B959,Constants!$A:$C,2,FALSE)</f>
        <v>Market Contract</v>
      </c>
      <c r="E959" t="str">
        <f>VLOOKUP(Tabulation!$B959,Constants!$A:$C,3,FALSE)</f>
        <v>Medium Volume</v>
      </c>
    </row>
    <row r="960" spans="1:5">
      <c r="A960" t="s">
        <v>557</v>
      </c>
      <c r="B960" t="s">
        <v>291</v>
      </c>
      <c r="C960" s="8">
        <v>0</v>
      </c>
      <c r="D960" t="str">
        <f>VLOOKUP(Tabulation!$B960,Constants!$A:$C,2,FALSE)</f>
        <v>Market Product</v>
      </c>
      <c r="E960" t="str">
        <f>VLOOKUP(Tabulation!$B960,Constants!$A:$C,3,FALSE)</f>
        <v>Medium Volume</v>
      </c>
    </row>
    <row r="961" spans="1:5">
      <c r="A961" t="s">
        <v>557</v>
      </c>
      <c r="B961" t="s">
        <v>293</v>
      </c>
      <c r="C961" s="8">
        <v>0</v>
      </c>
      <c r="D961" t="str">
        <f>VLOOKUP(Tabulation!$B961,Constants!$A:$C,2,FALSE)</f>
        <v>Registration Point</v>
      </c>
      <c r="E961" t="str">
        <f>VLOOKUP(Tabulation!$B961,Constants!$A:$C,3,FALSE)</f>
        <v>Medium Volume</v>
      </c>
    </row>
    <row r="962" spans="1:5">
      <c r="A962" t="s">
        <v>557</v>
      </c>
      <c r="B962" t="s">
        <v>294</v>
      </c>
      <c r="C962" s="8">
        <v>506057</v>
      </c>
      <c r="D962" t="str">
        <f>VLOOKUP(Tabulation!$B962,Constants!$A:$C,2,FALSE)</f>
        <v>Measurement</v>
      </c>
      <c r="E962" t="str">
        <f>VLOOKUP(Tabulation!$B962,Constants!$A:$C,3,FALSE)</f>
        <v>Medium Volume</v>
      </c>
    </row>
    <row r="963" spans="1:5">
      <c r="A963" t="s">
        <v>557</v>
      </c>
      <c r="B963" t="s">
        <v>296</v>
      </c>
      <c r="C963" s="8">
        <v>1829</v>
      </c>
      <c r="D963" t="str">
        <f>VLOOKUP(Tabulation!$B963,Constants!$A:$C,2,FALSE)</f>
        <v>Measurement Log</v>
      </c>
      <c r="E963" t="str">
        <f>VLOOKUP(Tabulation!$B963,Constants!$A:$C,3,FALSE)</f>
        <v>Medium Volume</v>
      </c>
    </row>
    <row r="964" spans="1:5">
      <c r="A964" t="s">
        <v>557</v>
      </c>
      <c r="B964" t="s">
        <v>298</v>
      </c>
      <c r="C964" s="8">
        <v>0</v>
      </c>
      <c r="D964" t="str">
        <f>VLOOKUP(Tabulation!$B964,Constants!$A:$C,2,FALSE)</f>
        <v>Network Location</v>
      </c>
      <c r="E964" t="str">
        <f>VLOOKUP(Tabulation!$B964,Constants!$A:$C,3,FALSE)</f>
        <v>Medium Volume</v>
      </c>
    </row>
    <row r="965" spans="1:5">
      <c r="A965" t="s">
        <v>557</v>
      </c>
      <c r="B965" t="s">
        <v>300</v>
      </c>
      <c r="C965" s="8">
        <v>17674</v>
      </c>
      <c r="D965" t="str">
        <f>VLOOKUP(Tabulation!$B965,Constants!$A:$C,2,FALSE)</f>
        <v>Service Point - MDM</v>
      </c>
      <c r="E965" t="str">
        <f>VLOOKUP(Tabulation!$B965,Constants!$A:$C,3,FALSE)</f>
        <v>Medium Volume</v>
      </c>
    </row>
    <row r="966" spans="1:5">
      <c r="A966" t="s">
        <v>557</v>
      </c>
      <c r="B966" t="s">
        <v>302</v>
      </c>
      <c r="C966" s="8">
        <v>105410</v>
      </c>
      <c r="D966" t="str">
        <f>VLOOKUP(Tabulation!$B966,Constants!$A:$C,2,FALSE)</f>
        <v>SP/Measurement Cycle Schedule Route</v>
      </c>
      <c r="E966" t="str">
        <f>VLOOKUP(Tabulation!$B966,Constants!$A:$C,3,FALSE)</f>
        <v>Medium Volume</v>
      </c>
    </row>
    <row r="967" spans="1:5">
      <c r="A967" t="s">
        <v>557</v>
      </c>
      <c r="B967" t="s">
        <v>304</v>
      </c>
      <c r="C967" s="8">
        <v>0</v>
      </c>
      <c r="D967" t="str">
        <f>VLOOKUP(Tabulation!$B967,Constants!$A:$C,2,FALSE)</f>
        <v>Service Point Quantity</v>
      </c>
      <c r="E967" t="str">
        <f>VLOOKUP(Tabulation!$B967,Constants!$A:$C,3,FALSE)</f>
        <v>Medium Volume</v>
      </c>
    </row>
    <row r="968" spans="1:5">
      <c r="A968" t="s">
        <v>557</v>
      </c>
      <c r="B968" t="s">
        <v>306</v>
      </c>
      <c r="C968" s="8">
        <v>0</v>
      </c>
      <c r="D968" t="str">
        <f>VLOOKUP(Tabulation!$B968,Constants!$A:$C,2,FALSE)</f>
        <v>Service Pont Snapshot Download</v>
      </c>
      <c r="E968" t="str">
        <f>VLOOKUP(Tabulation!$B968,Constants!$A:$C,3,FALSE)</f>
        <v>Medium Volume</v>
      </c>
    </row>
    <row r="969" spans="1:5">
      <c r="A969" t="s">
        <v>557</v>
      </c>
      <c r="B969" t="s">
        <v>308</v>
      </c>
      <c r="C969" s="8">
        <v>0</v>
      </c>
      <c r="D969" t="str">
        <f>VLOOKUP(Tabulation!$B969,Constants!$A:$C,2,FALSE)</f>
        <v>SP Unreported Usage Snapshot Download</v>
      </c>
      <c r="E969" t="str">
        <f>VLOOKUP(Tabulation!$B969,Constants!$A:$C,3,FALSE)</f>
        <v>Medium Volume</v>
      </c>
    </row>
    <row r="970" spans="1:5">
      <c r="A970" t="s">
        <v>557</v>
      </c>
      <c r="B970" t="s">
        <v>310</v>
      </c>
      <c r="C970" s="8">
        <v>0</v>
      </c>
      <c r="D970" t="str">
        <f>VLOOKUP(Tabulation!$B970,Constants!$A:$C,2,FALSE)</f>
        <v>Service Point Usage Snapshot Download</v>
      </c>
      <c r="E970" t="str">
        <f>VLOOKUP(Tabulation!$B970,Constants!$A:$C,3,FALSE)</f>
        <v>Medium Volume</v>
      </c>
    </row>
    <row r="971" spans="1:5">
      <c r="A971" t="s">
        <v>557</v>
      </c>
      <c r="B971" t="s">
        <v>312</v>
      </c>
      <c r="C971" s="8">
        <v>0</v>
      </c>
      <c r="D971" t="str">
        <f>VLOOKUP(Tabulation!$B971,Constants!$A:$C,2,FALSE)</f>
        <v>SP VEE Exception Snapshot Download</v>
      </c>
      <c r="E971" t="str">
        <f>VLOOKUP(Tabulation!$B971,Constants!$A:$C,3,FALSE)</f>
        <v>Medium Volume</v>
      </c>
    </row>
    <row r="972" spans="1:5">
      <c r="A972" t="s">
        <v>557</v>
      </c>
      <c r="B972" t="s">
        <v>314</v>
      </c>
      <c r="C972" s="8">
        <v>59611</v>
      </c>
      <c r="D972" t="str">
        <f>VLOOKUP(Tabulation!$B972,Constants!$A:$C,2,FALSE)</f>
        <v>Usage Subscription</v>
      </c>
      <c r="E972" t="str">
        <f>VLOOKUP(Tabulation!$B972,Constants!$A:$C,3,FALSE)</f>
        <v>Medium Volume</v>
      </c>
    </row>
    <row r="973" spans="1:5">
      <c r="A973" t="s">
        <v>557</v>
      </c>
      <c r="B973" t="s">
        <v>316</v>
      </c>
      <c r="C973" s="8">
        <v>2151298</v>
      </c>
      <c r="D973" t="str">
        <f>VLOOKUP(Tabulation!$B973,Constants!$A:$C,2,FALSE)</f>
        <v>Usage</v>
      </c>
      <c r="E973" t="str">
        <f>VLOOKUP(Tabulation!$B973,Constants!$A:$C,3,FALSE)</f>
        <v>Medium Volume</v>
      </c>
    </row>
    <row r="974" spans="1:5">
      <c r="A974" t="s">
        <v>557</v>
      </c>
      <c r="B974" t="s">
        <v>317</v>
      </c>
      <c r="C974" s="8">
        <v>0</v>
      </c>
      <c r="D974" t="str">
        <f>VLOOKUP(Tabulation!$B974,Constants!$A:$C,2,FALSE)</f>
        <v>Usage Transaction Exception</v>
      </c>
      <c r="E974" t="str">
        <f>VLOOKUP(Tabulation!$B974,Constants!$A:$C,3,FALSE)</f>
        <v>Medium Volume</v>
      </c>
    </row>
    <row r="975" spans="1:5">
      <c r="A975" t="s">
        <v>557</v>
      </c>
      <c r="B975" t="s">
        <v>319</v>
      </c>
      <c r="C975" s="8">
        <v>0</v>
      </c>
      <c r="D975" t="str">
        <f>VLOOKUP(Tabulation!$B975,Constants!$A:$C,2,FALSE)</f>
        <v>Usage Subscription Market Participant</v>
      </c>
      <c r="E975" t="str">
        <f>VLOOKUP(Tabulation!$B975,Constants!$A:$C,3,FALSE)</f>
        <v>Medium Volume</v>
      </c>
    </row>
    <row r="976" spans="1:5">
      <c r="A976" t="s">
        <v>557</v>
      </c>
      <c r="B976" t="s">
        <v>321</v>
      </c>
      <c r="C976" s="8">
        <v>0</v>
      </c>
      <c r="D976" t="str">
        <f>VLOOKUP(Tabulation!$B976,Constants!$A:$C,2,FALSE)</f>
        <v>Usage Subscription Quantity</v>
      </c>
      <c r="E976" t="str">
        <f>VLOOKUP(Tabulation!$B976,Constants!$A:$C,3,FALSE)</f>
        <v>Medium Volume</v>
      </c>
    </row>
    <row r="977" spans="1:5">
      <c r="A977" t="s">
        <v>557</v>
      </c>
      <c r="B977" t="s">
        <v>323</v>
      </c>
      <c r="C977" s="8">
        <v>0</v>
      </c>
      <c r="D977" t="str">
        <f>VLOOKUP(Tabulation!$B977,Constants!$A:$C,2,FALSE)</f>
        <v>Usage Subscription Usage Group Download</v>
      </c>
      <c r="E977" t="str">
        <f>VLOOKUP(Tabulation!$B977,Constants!$A:$C,3,FALSE)</f>
        <v>Medium Volume</v>
      </c>
    </row>
    <row r="978" spans="1:5">
      <c r="A978" t="s">
        <v>557</v>
      </c>
      <c r="B978" t="s">
        <v>325</v>
      </c>
      <c r="C978" s="8">
        <v>133102</v>
      </c>
      <c r="D978" t="str">
        <f>VLOOKUP(Tabulation!$B978,Constants!$A:$C,2,FALSE)</f>
        <v>VEE Exception</v>
      </c>
      <c r="E978" t="str">
        <f>VLOOKUP(Tabulation!$B978,Constants!$A:$C,3,FALSE)</f>
        <v>Medium Volume</v>
      </c>
    </row>
    <row r="979" spans="1:5">
      <c r="A979" t="s">
        <v>557</v>
      </c>
      <c r="B979" t="s">
        <v>327</v>
      </c>
      <c r="C979" s="8">
        <v>5345</v>
      </c>
      <c r="D979" t="str">
        <f>VLOOKUP(Tabulation!$B979,Constants!$A:$C,2,FALSE)</f>
        <v>Attachment</v>
      </c>
      <c r="E979" t="str">
        <f>VLOOKUP(Tabulation!$B979,Constants!$A:$C,3,FALSE)</f>
        <v>Medium Volume</v>
      </c>
    </row>
    <row r="980" spans="1:5">
      <c r="A980" t="s">
        <v>557</v>
      </c>
      <c r="B980" t="s">
        <v>334</v>
      </c>
      <c r="C980" s="8">
        <v>65</v>
      </c>
      <c r="D980" t="str">
        <f>VLOOKUP(Tabulation!$B980,Constants!$A:$C,2,FALSE)</f>
        <v>Bundle</v>
      </c>
      <c r="E980" t="str">
        <f>VLOOKUP(Tabulation!$B980,Constants!$A:$C,3,FALSE)</f>
        <v>Medium Volume</v>
      </c>
    </row>
    <row r="981" spans="1:5">
      <c r="A981" t="s">
        <v>557</v>
      </c>
      <c r="B981" t="s">
        <v>336</v>
      </c>
      <c r="C981" s="8">
        <v>0</v>
      </c>
      <c r="D981" t="str">
        <f>VLOOKUP(Tabulation!$B981,Constants!$A:$C,2,FALSE)</f>
        <v>Business Event Log</v>
      </c>
      <c r="E981" t="str">
        <f>VLOOKUP(Tabulation!$B981,Constants!$A:$C,3,FALSE)</f>
        <v>Medium Volume</v>
      </c>
    </row>
    <row r="982" spans="1:5">
      <c r="A982" t="s">
        <v>557</v>
      </c>
      <c r="B982" t="s">
        <v>338</v>
      </c>
      <c r="C982" s="8">
        <v>0</v>
      </c>
      <c r="D982" t="str">
        <f>VLOOKUP(Tabulation!$B982,Constants!$A:$C,2,FALSE)</f>
        <v>Business Flag</v>
      </c>
      <c r="E982" t="str">
        <f>VLOOKUP(Tabulation!$B982,Constants!$A:$C,3,FALSE)</f>
        <v>Medium Volume</v>
      </c>
    </row>
    <row r="983" spans="1:5">
      <c r="A983" t="s">
        <v>557</v>
      </c>
      <c r="B983" t="s">
        <v>340</v>
      </c>
      <c r="C983" s="8">
        <v>0</v>
      </c>
      <c r="D983" t="str">
        <f>VLOOKUP(Tabulation!$B983,Constants!$A:$C,2,FALSE)</f>
        <v>Calendar Dimension</v>
      </c>
      <c r="E983" t="str">
        <f>VLOOKUP(Tabulation!$B983,Constants!$A:$C,3,FALSE)</f>
        <v>Medium Volume</v>
      </c>
    </row>
    <row r="984" spans="1:5">
      <c r="A984" t="s">
        <v>557</v>
      </c>
      <c r="B984" t="s">
        <v>342</v>
      </c>
      <c r="C984" s="8">
        <v>0</v>
      </c>
      <c r="D984" t="str">
        <f>VLOOKUP(Tabulation!$B984,Constants!$A:$C,2,FALSE)</f>
        <v>Cube View</v>
      </c>
      <c r="E984" t="str">
        <f>VLOOKUP(Tabulation!$B984,Constants!$A:$C,3,FALSE)</f>
        <v>Medium Volume</v>
      </c>
    </row>
    <row r="985" spans="1:5">
      <c r="A985" t="s">
        <v>557</v>
      </c>
      <c r="B985" t="s">
        <v>344</v>
      </c>
      <c r="C985" s="8">
        <v>0</v>
      </c>
      <c r="D985" t="str">
        <f>VLOOKUP(Tabulation!$B985,Constants!$A:$C,2,FALSE)</f>
        <v>Deployment</v>
      </c>
      <c r="E985" t="str">
        <f>VLOOKUP(Tabulation!$B985,Constants!$A:$C,3,FALSE)</f>
        <v>Medium Volume</v>
      </c>
    </row>
    <row r="986" spans="1:5">
      <c r="A986" t="s">
        <v>557</v>
      </c>
      <c r="B986" t="s">
        <v>346</v>
      </c>
      <c r="C986" s="8">
        <v>0</v>
      </c>
      <c r="D986" t="str">
        <f>VLOOKUP(Tabulation!$B986,Constants!$A:$C,2,FALSE)</f>
        <v>Object Erasure Schedule</v>
      </c>
      <c r="E986" t="str">
        <f>VLOOKUP(Tabulation!$B986,Constants!$A:$C,3,FALSE)</f>
        <v>Medium Volume</v>
      </c>
    </row>
    <row r="987" spans="1:5">
      <c r="A987" t="s">
        <v>557</v>
      </c>
      <c r="B987" t="s">
        <v>348</v>
      </c>
      <c r="C987" s="8">
        <v>186</v>
      </c>
      <c r="D987" t="str">
        <f>VLOOKUP(Tabulation!$B987,Constants!$A:$C,2,FALSE)</f>
        <v>Fact</v>
      </c>
      <c r="E987" t="str">
        <f>VLOOKUP(Tabulation!$B987,Constants!$A:$C,3,FALSE)</f>
        <v>Medium Volume</v>
      </c>
    </row>
    <row r="988" spans="1:5">
      <c r="A988" t="s">
        <v>557</v>
      </c>
      <c r="B988" t="s">
        <v>350</v>
      </c>
      <c r="C988" s="8">
        <v>15747</v>
      </c>
      <c r="D988" t="str">
        <f>VLOOKUP(Tabulation!$B988,Constants!$A:$C,2,FALSE)</f>
        <v>General Process</v>
      </c>
      <c r="E988" t="str">
        <f>VLOOKUP(Tabulation!$B988,Constants!$A:$C,3,FALSE)</f>
        <v>Medium Volume</v>
      </c>
    </row>
    <row r="989" spans="1:5">
      <c r="A989" t="s">
        <v>557</v>
      </c>
      <c r="B989" t="s">
        <v>352</v>
      </c>
      <c r="C989" s="8">
        <v>0</v>
      </c>
      <c r="D989" t="str">
        <f>VLOOKUP(Tabulation!$B989,Constants!$A:$C,2,FALSE)</f>
        <v>General Audit</v>
      </c>
      <c r="E989" t="str">
        <f>VLOOKUP(Tabulation!$B989,Constants!$A:$C,3,FALSE)</f>
        <v>Medium Volume</v>
      </c>
    </row>
    <row r="990" spans="1:5">
      <c r="A990" t="s">
        <v>557</v>
      </c>
      <c r="B990" t="s">
        <v>354</v>
      </c>
      <c r="C990" s="8">
        <v>0</v>
      </c>
      <c r="D990" t="str">
        <f>VLOOKUP(Tabulation!$B990,Constants!$A:$C,2,FALSE)</f>
        <v>Mobile Data Terminal</v>
      </c>
      <c r="E990" t="str">
        <f>VLOOKUP(Tabulation!$B990,Constants!$A:$C,3,FALSE)</f>
        <v>Medium Volume</v>
      </c>
    </row>
    <row r="991" spans="1:5">
      <c r="A991" t="s">
        <v>557</v>
      </c>
      <c r="B991" t="s">
        <v>356</v>
      </c>
      <c r="C991" s="8">
        <v>0</v>
      </c>
      <c r="D991" t="str">
        <f>VLOOKUP(Tabulation!$B991,Constants!$A:$C,2,FALSE)</f>
        <v>Mobile Data Terminal Type</v>
      </c>
      <c r="E991" t="str">
        <f>VLOOKUP(Tabulation!$B991,Constants!$A:$C,3,FALSE)</f>
        <v>Medium Volume</v>
      </c>
    </row>
    <row r="992" spans="1:5">
      <c r="A992" t="s">
        <v>557</v>
      </c>
      <c r="B992" t="s">
        <v>358</v>
      </c>
      <c r="C992" s="8">
        <v>358</v>
      </c>
      <c r="D992" t="str">
        <f>VLOOKUP(Tabulation!$B992,Constants!$A:$C,2,FALSE)</f>
        <v>Migration Data Set</v>
      </c>
      <c r="E992" t="str">
        <f>VLOOKUP(Tabulation!$B992,Constants!$A:$C,3,FALSE)</f>
        <v>Medium Volume</v>
      </c>
    </row>
    <row r="993" spans="1:5">
      <c r="A993" t="s">
        <v>557</v>
      </c>
      <c r="B993" t="s">
        <v>360</v>
      </c>
      <c r="C993" s="8">
        <v>114332</v>
      </c>
      <c r="D993" t="str">
        <f>VLOOKUP(Tabulation!$B993,Constants!$A:$C,2,FALSE)</f>
        <v>Migration Object</v>
      </c>
      <c r="E993" t="str">
        <f>VLOOKUP(Tabulation!$B993,Constants!$A:$C,3,FALSE)</f>
        <v>Medium Volume</v>
      </c>
    </row>
    <row r="994" spans="1:5">
      <c r="A994" t="s">
        <v>557</v>
      </c>
      <c r="B994" t="s">
        <v>362</v>
      </c>
      <c r="C994" s="8">
        <v>11306</v>
      </c>
      <c r="D994" t="str">
        <f>VLOOKUP(Tabulation!$B994,Constants!$A:$C,2,FALSE)</f>
        <v>Migration Transaction</v>
      </c>
      <c r="E994" t="str">
        <f>VLOOKUP(Tabulation!$B994,Constants!$A:$C,3,FALSE)</f>
        <v>Medium Volume</v>
      </c>
    </row>
    <row r="995" spans="1:5">
      <c r="A995" t="s">
        <v>557</v>
      </c>
      <c r="B995" t="s">
        <v>364</v>
      </c>
      <c r="C995" s="8">
        <v>0</v>
      </c>
      <c r="D995" t="str">
        <f>VLOOKUP(Tabulation!$B995,Constants!$A:$C,2,FALSE)</f>
        <v>Inbound Market Message</v>
      </c>
      <c r="E995" t="str">
        <f>VLOOKUP(Tabulation!$B995,Constants!$A:$C,3,FALSE)</f>
        <v>Medium Volume</v>
      </c>
    </row>
    <row r="996" spans="1:5">
      <c r="A996" t="s">
        <v>557</v>
      </c>
      <c r="B996" t="s">
        <v>366</v>
      </c>
      <c r="C996" s="8">
        <v>0</v>
      </c>
      <c r="D996" t="str">
        <f>VLOOKUP(Tabulation!$B996,Constants!$A:$C,2,FALSE)</f>
        <v>Outbound Market Message</v>
      </c>
      <c r="E996" t="str">
        <f>VLOOKUP(Tabulation!$B996,Constants!$A:$C,3,FALSE)</f>
        <v>Medium Volume</v>
      </c>
    </row>
    <row r="997" spans="1:5">
      <c r="A997" t="s">
        <v>557</v>
      </c>
      <c r="B997" t="s">
        <v>368</v>
      </c>
      <c r="C997" s="8">
        <v>0</v>
      </c>
      <c r="D997" t="str">
        <f>VLOOKUP(Tabulation!$B997,Constants!$A:$C,2,FALSE)</f>
        <v>Market Process</v>
      </c>
      <c r="E997" t="str">
        <f>VLOOKUP(Tabulation!$B997,Constants!$A:$C,3,FALSE)</f>
        <v>Medium Volume</v>
      </c>
    </row>
    <row r="998" spans="1:5">
      <c r="A998" t="s">
        <v>557</v>
      </c>
      <c r="B998" t="s">
        <v>370</v>
      </c>
      <c r="C998" s="8">
        <v>0</v>
      </c>
      <c r="D998" t="str">
        <f>VLOOKUP(Tabulation!$B998,Constants!$A:$C,2,FALSE)</f>
        <v>Market Process Event</v>
      </c>
      <c r="E998" t="str">
        <f>VLOOKUP(Tabulation!$B998,Constants!$A:$C,3,FALSE)</f>
        <v>Medium Volume</v>
      </c>
    </row>
    <row r="999" spans="1:5">
      <c r="A999" t="s">
        <v>557</v>
      </c>
      <c r="B999" t="s">
        <v>372</v>
      </c>
      <c r="C999" s="8">
        <v>0</v>
      </c>
      <c r="D999" t="str">
        <f>VLOOKUP(Tabulation!$B999,Constants!$A:$C,2,FALSE)</f>
        <v>Object Revision</v>
      </c>
      <c r="E999" t="str">
        <f>VLOOKUP(Tabulation!$B999,Constants!$A:$C,3,FALSE)</f>
        <v>Medium Volume</v>
      </c>
    </row>
    <row r="1000" spans="1:5">
      <c r="A1000" t="s">
        <v>557</v>
      </c>
      <c r="B1000" t="s">
        <v>374</v>
      </c>
      <c r="C1000" s="8">
        <v>112595</v>
      </c>
      <c r="D1000" t="str">
        <f>VLOOKUP(Tabulation!$B1000,Constants!$A:$C,2,FALSE)</f>
        <v>Outbound Message</v>
      </c>
      <c r="E1000" t="str">
        <f>VLOOKUP(Tabulation!$B1000,Constants!$A:$C,3,FALSE)</f>
        <v>Medium Volume</v>
      </c>
    </row>
    <row r="1001" spans="1:5">
      <c r="A1001" t="s">
        <v>557</v>
      </c>
      <c r="B1001" t="s">
        <v>376</v>
      </c>
      <c r="C1001" s="8">
        <v>5246</v>
      </c>
      <c r="D1001" t="str">
        <f>VLOOKUP(Tabulation!$B1001,Constants!$A:$C,2,FALSE)</f>
        <v>Process Flow</v>
      </c>
      <c r="E1001" t="str">
        <f>VLOOKUP(Tabulation!$B1001,Constants!$A:$C,3,FALSE)</f>
        <v>Medium Volume</v>
      </c>
    </row>
    <row r="1002" spans="1:5">
      <c r="A1002" t="s">
        <v>557</v>
      </c>
      <c r="B1002" t="s">
        <v>378</v>
      </c>
      <c r="C1002" s="8">
        <v>0</v>
      </c>
      <c r="D1002" t="str">
        <f>VLOOKUP(Tabulation!$B1002,Constants!$A:$C,2,FALSE)</f>
        <v>Mobile Remote Message</v>
      </c>
      <c r="E1002" t="str">
        <f>VLOOKUP(Tabulation!$B1002,Constants!$A:$C,3,FALSE)</f>
        <v>Medium Volume</v>
      </c>
    </row>
    <row r="1003" spans="1:5">
      <c r="A1003" t="s">
        <v>557</v>
      </c>
      <c r="B1003" t="s">
        <v>380</v>
      </c>
      <c r="C1003" s="8">
        <v>0</v>
      </c>
      <c r="D1003" t="str">
        <f>VLOOKUP(Tabulation!$B1003,Constants!$A:$C,2,FALSE)</f>
        <v>Request</v>
      </c>
      <c r="E1003" t="str">
        <f>VLOOKUP(Tabulation!$B1003,Constants!$A:$C,3,FALSE)</f>
        <v>Medium Volume</v>
      </c>
    </row>
    <row r="1004" spans="1:5">
      <c r="A1004" t="s">
        <v>557</v>
      </c>
      <c r="B1004" t="s">
        <v>382</v>
      </c>
      <c r="C1004" s="8">
        <v>0</v>
      </c>
      <c r="D1004" t="str">
        <f>VLOOKUP(Tabulation!$B1004,Constants!$A:$C,2,FALSE)</f>
        <v>Statistics Snapshot</v>
      </c>
      <c r="E1004" t="str">
        <f>VLOOKUP(Tabulation!$B1004,Constants!$A:$C,3,FALSE)</f>
        <v>Low Volume</v>
      </c>
    </row>
    <row r="1005" spans="1:5">
      <c r="A1005" t="s">
        <v>557</v>
      </c>
      <c r="B1005" t="s">
        <v>384</v>
      </c>
      <c r="C1005" s="8">
        <v>61106</v>
      </c>
      <c r="D1005" t="str">
        <f>VLOOKUP(Tabulation!$B1005,Constants!$A:$C,2,FALSE)</f>
        <v>Service Task</v>
      </c>
      <c r="E1005" t="str">
        <f>VLOOKUP(Tabulation!$B1005,Constants!$A:$C,3,FALSE)</f>
        <v>Medium Volume</v>
      </c>
    </row>
    <row r="1006" spans="1:5">
      <c r="A1006" t="s">
        <v>557</v>
      </c>
      <c r="B1006" t="s">
        <v>386</v>
      </c>
      <c r="C1006" s="8">
        <v>142216</v>
      </c>
      <c r="D1006" t="str">
        <f>VLOOKUP(Tabulation!$B1006,Constants!$A:$C,2,FALSE)</f>
        <v>Sync Request</v>
      </c>
      <c r="E1006" t="str">
        <f>VLOOKUP(Tabulation!$B1006,Constants!$A:$C,3,FALSE)</f>
        <v>Medium Volume</v>
      </c>
    </row>
    <row r="1007" spans="1:5">
      <c r="A1007" t="s">
        <v>557</v>
      </c>
      <c r="B1007" t="s">
        <v>388</v>
      </c>
      <c r="C1007" s="8">
        <v>43783</v>
      </c>
      <c r="D1007" t="str">
        <f>VLOOKUP(Tabulation!$B1007,Constants!$A:$C,2,FALSE)</f>
        <v>Inbound Sync Request</v>
      </c>
      <c r="E1007" t="str">
        <f>VLOOKUP(Tabulation!$B1007,Constants!$A:$C,3,FALSE)</f>
        <v>Medium Volume</v>
      </c>
    </row>
    <row r="1008" spans="1:5">
      <c r="A1008" t="s">
        <v>557</v>
      </c>
      <c r="B1008" t="s">
        <v>390</v>
      </c>
      <c r="C1008" s="8">
        <v>0</v>
      </c>
      <c r="D1008" t="str">
        <f>VLOOKUP(Tabulation!$B1008,Constants!$A:$C,2,FALSE)</f>
        <v>Time Dimension</v>
      </c>
      <c r="E1008" t="str">
        <f>VLOOKUP(Tabulation!$B1008,Constants!$A:$C,3,FALSE)</f>
        <v>Medium Volume</v>
      </c>
    </row>
    <row r="1009" spans="1:5">
      <c r="A1009" t="s">
        <v>557</v>
      </c>
      <c r="B1009" t="s">
        <v>392</v>
      </c>
      <c r="C1009" s="8">
        <v>0</v>
      </c>
      <c r="D1009" t="str">
        <f>VLOOKUP(Tabulation!$B1009,Constants!$A:$C,2,FALSE)</f>
        <v>Accept Line</v>
      </c>
      <c r="E1009" t="str">
        <f>VLOOKUP(Tabulation!$B1009,Constants!$A:$C,3,FALSE)</f>
        <v>Medium Volume</v>
      </c>
    </row>
    <row r="1010" spans="1:5">
      <c r="A1010" t="s">
        <v>557</v>
      </c>
      <c r="B1010" t="s">
        <v>394</v>
      </c>
      <c r="C1010" s="8">
        <v>20</v>
      </c>
      <c r="D1010" t="str">
        <f>VLOOKUP(Tabulation!$B1010,Constants!$A:$C,2,FALSE)</f>
        <v>Activity</v>
      </c>
      <c r="E1010" t="str">
        <f>VLOOKUP(Tabulation!$B1010,Constants!$A:$C,3,FALSE)</f>
        <v>Medium Volume</v>
      </c>
    </row>
    <row r="1011" spans="1:5">
      <c r="A1011" t="s">
        <v>557</v>
      </c>
      <c r="B1011" t="s">
        <v>395</v>
      </c>
      <c r="C1011" s="8">
        <v>0</v>
      </c>
      <c r="D1011" t="str">
        <f>VLOOKUP(Tabulation!$B1011,Constants!$A:$C,2,FALSE)</f>
        <v>Activity Construction Location</v>
      </c>
      <c r="E1011" t="str">
        <f>VLOOKUP(Tabulation!$B1011,Constants!$A:$C,3,FALSE)</f>
        <v>Medium Volume</v>
      </c>
    </row>
    <row r="1012" spans="1:5">
      <c r="A1012" t="s">
        <v>557</v>
      </c>
      <c r="B1012" t="s">
        <v>397</v>
      </c>
      <c r="C1012" s="8">
        <v>0</v>
      </c>
      <c r="D1012" t="str">
        <f>VLOOKUP(Tabulation!$B1012,Constants!$A:$C,2,FALSE)</f>
        <v>Activity Reconciliation</v>
      </c>
      <c r="E1012" t="str">
        <f>VLOOKUP(Tabulation!$B1012,Constants!$A:$C,3,FALSE)</f>
        <v>Medium Volume</v>
      </c>
    </row>
    <row r="1013" spans="1:5">
      <c r="A1013" t="s">
        <v>557</v>
      </c>
      <c r="B1013" t="s">
        <v>399</v>
      </c>
      <c r="C1013" s="8">
        <v>0</v>
      </c>
      <c r="D1013" t="str">
        <f>VLOOKUP(Tabulation!$B1013,Constants!$A:$C,2,FALSE)</f>
        <v>Activity Resource Requirement</v>
      </c>
      <c r="E1013" t="str">
        <f>VLOOKUP(Tabulation!$B1013,Constants!$A:$C,3,FALSE)</f>
        <v>Medium Volume</v>
      </c>
    </row>
    <row r="1014" spans="1:5">
      <c r="A1014" t="s">
        <v>557</v>
      </c>
      <c r="B1014" t="s">
        <v>401</v>
      </c>
      <c r="C1014" s="8">
        <v>0</v>
      </c>
      <c r="D1014" t="str">
        <f>VLOOKUP(Tabulation!$B1014,Constants!$A:$C,2,FALSE)</f>
        <v>Cost Adjustment</v>
      </c>
      <c r="E1014" t="str">
        <f>VLOOKUP(Tabulation!$B1014,Constants!$A:$C,3,FALSE)</f>
        <v>Medium Volume</v>
      </c>
    </row>
    <row r="1015" spans="1:5">
      <c r="A1015" t="s">
        <v>557</v>
      </c>
      <c r="B1015" t="s">
        <v>403</v>
      </c>
      <c r="C1015" s="8">
        <v>0</v>
      </c>
      <c r="D1015" t="str">
        <f>VLOOKUP(Tabulation!$B1015,Constants!$A:$C,2,FALSE)</f>
        <v>Approval Request</v>
      </c>
      <c r="E1015" t="str">
        <f>VLOOKUP(Tabulation!$B1015,Constants!$A:$C,3,FALSE)</f>
        <v>Medium Volume</v>
      </c>
    </row>
    <row r="1016" spans="1:5">
      <c r="A1016" t="s">
        <v>557</v>
      </c>
      <c r="B1016" t="s">
        <v>404</v>
      </c>
      <c r="C1016" s="8">
        <v>42282</v>
      </c>
      <c r="D1016" t="str">
        <f>VLOOKUP(Tabulation!$B1016,Constants!$A:$C,2,FALSE)</f>
        <v>Asset</v>
      </c>
      <c r="E1016" t="str">
        <f>VLOOKUP(Tabulation!$B1016,Constants!$A:$C,3,FALSE)</f>
        <v>Medium Volume</v>
      </c>
    </row>
    <row r="1017" spans="1:5">
      <c r="A1017" t="s">
        <v>557</v>
      </c>
      <c r="B1017" t="s">
        <v>406</v>
      </c>
      <c r="C1017" s="8">
        <v>0</v>
      </c>
      <c r="D1017" t="str">
        <f>VLOOKUP(Tabulation!$B1017,Constants!$A:$C,2,FALSE)</f>
        <v>Blanket Contract Header</v>
      </c>
      <c r="E1017" t="str">
        <f>VLOOKUP(Tabulation!$B1017,Constants!$A:$C,3,FALSE)</f>
        <v>Medium Volume</v>
      </c>
    </row>
    <row r="1018" spans="1:5">
      <c r="A1018" t="s">
        <v>557</v>
      </c>
      <c r="B1018" t="s">
        <v>408</v>
      </c>
      <c r="C1018" s="8">
        <v>0</v>
      </c>
      <c r="D1018" t="str">
        <f>VLOOKUP(Tabulation!$B1018,Constants!$A:$C,2,FALSE)</f>
        <v>Blanket Contract Line</v>
      </c>
      <c r="E1018" t="str">
        <f>VLOOKUP(Tabulation!$B1018,Constants!$A:$C,3,FALSE)</f>
        <v>Medium Volume</v>
      </c>
    </row>
    <row r="1019" spans="1:5">
      <c r="A1019" t="s">
        <v>557</v>
      </c>
      <c r="B1019" t="s">
        <v>410</v>
      </c>
      <c r="C1019" s="8">
        <v>0</v>
      </c>
      <c r="D1019" t="str">
        <f>VLOOKUP(Tabulation!$B1019,Constants!$A:$C,2,FALSE)</f>
        <v>Bill of Materials Part</v>
      </c>
      <c r="E1019" t="str">
        <f>VLOOKUP(Tabulation!$B1019,Constants!$A:$C,3,FALSE)</f>
        <v>Medium Volume</v>
      </c>
    </row>
    <row r="1020" spans="1:5">
      <c r="A1020" t="s">
        <v>557</v>
      </c>
      <c r="B1020" t="s">
        <v>412</v>
      </c>
      <c r="C1020" s="8">
        <v>0</v>
      </c>
      <c r="D1020" t="str">
        <f>VLOOKUP(Tabulation!$B1020,Constants!$A:$C,2,FALSE)</f>
        <v>Change Request</v>
      </c>
      <c r="E1020" t="str">
        <f>VLOOKUP(Tabulation!$B1020,Constants!$A:$C,3,FALSE)</f>
        <v>Medium Volume</v>
      </c>
    </row>
    <row r="1021" spans="1:5">
      <c r="A1021" t="s">
        <v>557</v>
      </c>
      <c r="B1021" t="s">
        <v>414</v>
      </c>
      <c r="C1021" s="8">
        <v>0</v>
      </c>
      <c r="D1021" t="str">
        <f>VLOOKUP(Tabulation!$B1021,Constants!$A:$C,2,FALSE)</f>
        <v>Checklist</v>
      </c>
      <c r="E1021" t="str">
        <f>VLOOKUP(Tabulation!$B1021,Constants!$A:$C,3,FALSE)</f>
        <v>Medium Volume</v>
      </c>
    </row>
    <row r="1022" spans="1:5">
      <c r="A1022" t="s">
        <v>557</v>
      </c>
      <c r="B1022" t="s">
        <v>416</v>
      </c>
      <c r="C1022" s="8">
        <v>20</v>
      </c>
      <c r="D1022" t="str">
        <f>VLOOKUP(Tabulation!$B1022,Constants!$A:$C,2,FALSE)</f>
        <v>Completion Event</v>
      </c>
      <c r="E1022" t="str">
        <f>VLOOKUP(Tabulation!$B1022,Constants!$A:$C,3,FALSE)</f>
        <v>Medium Volume</v>
      </c>
    </row>
    <row r="1023" spans="1:5">
      <c r="A1023" t="s">
        <v>557</v>
      </c>
      <c r="B1023" t="s">
        <v>417</v>
      </c>
      <c r="C1023" s="8">
        <v>0</v>
      </c>
      <c r="D1023" t="str">
        <f>VLOOKUP(Tabulation!$B1023,Constants!$A:$C,2,FALSE)</f>
        <v>Communication</v>
      </c>
      <c r="E1023" t="str">
        <f>VLOOKUP(Tabulation!$B1023,Constants!$A:$C,3,FALSE)</f>
        <v>Medium Volume</v>
      </c>
    </row>
    <row r="1024" spans="1:5">
      <c r="A1024" t="s">
        <v>557</v>
      </c>
      <c r="B1024" t="s">
        <v>419</v>
      </c>
      <c r="C1024" s="8">
        <v>0</v>
      </c>
      <c r="D1024" t="str">
        <f>VLOOKUP(Tabulation!$B1024,Constants!$A:$C,2,FALSE)</f>
        <v>Communication In</v>
      </c>
      <c r="E1024" t="str">
        <f>VLOOKUP(Tabulation!$B1024,Constants!$A:$C,3,FALSE)</f>
        <v>Medium Volume</v>
      </c>
    </row>
    <row r="1025" spans="1:5">
      <c r="A1025" t="s">
        <v>557</v>
      </c>
      <c r="B1025" t="s">
        <v>420</v>
      </c>
      <c r="C1025" s="8">
        <v>0</v>
      </c>
      <c r="D1025" t="str">
        <f>VLOOKUP(Tabulation!$B1025,Constants!$A:$C,2,FALSE)</f>
        <v>Configuration</v>
      </c>
      <c r="E1025" t="str">
        <f>VLOOKUP(Tabulation!$B1025,Constants!$A:$C,3,FALSE)</f>
        <v>Medium Volume</v>
      </c>
    </row>
    <row r="1026" spans="1:5">
      <c r="A1026" t="s">
        <v>557</v>
      </c>
      <c r="B1026" t="s">
        <v>422</v>
      </c>
      <c r="C1026" s="8">
        <v>0</v>
      </c>
      <c r="D1026" t="str">
        <f>VLOOKUP(Tabulation!$B1026,Constants!$A:$C,2,FALSE)</f>
        <v>Configuration Report</v>
      </c>
      <c r="E1026" t="str">
        <f>VLOOKUP(Tabulation!$B1026,Constants!$A:$C,3,FALSE)</f>
        <v>Medium Volume</v>
      </c>
    </row>
    <row r="1027" spans="1:5">
      <c r="A1027" t="s">
        <v>557</v>
      </c>
      <c r="B1027" t="s">
        <v>424</v>
      </c>
      <c r="C1027" s="8">
        <v>23209</v>
      </c>
      <c r="D1027" t="str">
        <f>VLOOKUP(Tabulation!$B1027,Constants!$A:$C,2,FALSE)</f>
        <v>Contact</v>
      </c>
      <c r="E1027" t="str">
        <f>VLOOKUP(Tabulation!$B1027,Constants!$A:$C,3,FALSE)</f>
        <v>Medium Volume</v>
      </c>
    </row>
    <row r="1028" spans="1:5">
      <c r="A1028" t="s">
        <v>557</v>
      </c>
      <c r="B1028" t="s">
        <v>425</v>
      </c>
      <c r="C1028" s="8">
        <v>0</v>
      </c>
      <c r="D1028" t="str">
        <f>VLOOKUP(Tabulation!$B1028,Constants!$A:$C,2,FALSE)</f>
        <v>Crew</v>
      </c>
      <c r="E1028" t="str">
        <f>VLOOKUP(Tabulation!$B1028,Constants!$A:$C,3,FALSE)</f>
        <v>Medium Volume</v>
      </c>
    </row>
    <row r="1029" spans="1:5">
      <c r="A1029" t="s">
        <v>557</v>
      </c>
      <c r="B1029" t="s">
        <v>427</v>
      </c>
      <c r="C1029" s="8">
        <v>0</v>
      </c>
      <c r="D1029" t="str">
        <f>VLOOKUP(Tabulation!$B1029,Constants!$A:$C,2,FALSE)</f>
        <v>Crew Shift</v>
      </c>
      <c r="E1029" t="str">
        <f>VLOOKUP(Tabulation!$B1029,Constants!$A:$C,3,FALSE)</f>
        <v>Medium Volume</v>
      </c>
    </row>
    <row r="1030" spans="1:5">
      <c r="A1030" t="s">
        <v>557</v>
      </c>
      <c r="B1030" t="s">
        <v>429</v>
      </c>
      <c r="C1030" s="8">
        <v>0</v>
      </c>
      <c r="D1030" t="str">
        <f>VLOOKUP(Tabulation!$B1030,Constants!$A:$C,2,FALSE)</f>
        <v>Compatible Unit</v>
      </c>
      <c r="E1030" t="str">
        <f>VLOOKUP(Tabulation!$B1030,Constants!$A:$C,3,FALSE)</f>
        <v>Medium Volume</v>
      </c>
    </row>
    <row r="1031" spans="1:5">
      <c r="A1031" t="s">
        <v>557</v>
      </c>
      <c r="B1031" t="s">
        <v>431</v>
      </c>
      <c r="C1031" s="8">
        <v>0</v>
      </c>
      <c r="D1031" t="str">
        <f>VLOOKUP(Tabulation!$B1031,Constants!$A:$C,2,FALSE)</f>
        <v>CU Contractor Bid</v>
      </c>
      <c r="E1031" t="str">
        <f>VLOOKUP(Tabulation!$B1031,Constants!$A:$C,3,FALSE)</f>
        <v>Medium Volume</v>
      </c>
    </row>
    <row r="1032" spans="1:5">
      <c r="A1032" t="s">
        <v>557</v>
      </c>
      <c r="B1032" t="s">
        <v>433</v>
      </c>
      <c r="C1032" s="8">
        <v>0</v>
      </c>
      <c r="D1032" t="str">
        <f>VLOOKUP(Tabulation!$B1032,Constants!$A:$C,2,FALSE)</f>
        <v>Design Element</v>
      </c>
      <c r="E1032" t="str">
        <f>VLOOKUP(Tabulation!$B1032,Constants!$A:$C,3,FALSE)</f>
        <v>Medium Volume</v>
      </c>
    </row>
    <row r="1033" spans="1:5">
      <c r="A1033" t="s">
        <v>557</v>
      </c>
      <c r="B1033" t="s">
        <v>435</v>
      </c>
      <c r="C1033" s="8">
        <v>0</v>
      </c>
      <c r="D1033" t="str">
        <f>VLOOKUP(Tabulation!$B1033,Constants!$A:$C,2,FALSE)</f>
        <v>Document</v>
      </c>
      <c r="E1033" t="str">
        <f>VLOOKUP(Tabulation!$B1033,Constants!$A:$C,3,FALSE)</f>
        <v>Medium Volume</v>
      </c>
    </row>
    <row r="1034" spans="1:5">
      <c r="A1034" t="s">
        <v>557</v>
      </c>
      <c r="B1034" t="s">
        <v>437</v>
      </c>
      <c r="C1034" s="8">
        <v>0</v>
      </c>
      <c r="D1034" t="str">
        <f>VLOOKUP(Tabulation!$B1034,Constants!$A:$C,2,FALSE)</f>
        <v>Employee</v>
      </c>
      <c r="E1034" t="str">
        <f>VLOOKUP(Tabulation!$B1034,Constants!$A:$C,3,FALSE)</f>
        <v>Medium Volume</v>
      </c>
    </row>
    <row r="1035" spans="1:5">
      <c r="A1035" t="s">
        <v>557</v>
      </c>
      <c r="B1035" t="s">
        <v>439</v>
      </c>
      <c r="C1035" s="8">
        <v>0</v>
      </c>
      <c r="D1035" t="str">
        <f>VLOOKUP(Tabulation!$B1035,Constants!$A:$C,2,FALSE)</f>
        <v>Employee Unavailability</v>
      </c>
      <c r="E1035" t="str">
        <f>VLOOKUP(Tabulation!$B1035,Constants!$A:$C,3,FALSE)</f>
        <v>Medium Volume</v>
      </c>
    </row>
    <row r="1036" spans="1:5">
      <c r="A1036" t="s">
        <v>557</v>
      </c>
      <c r="B1036" t="s">
        <v>441</v>
      </c>
      <c r="C1036" s="8">
        <v>0</v>
      </c>
      <c r="D1036" t="str">
        <f>VLOOKUP(Tabulation!$B1036,Constants!$A:$C,2,FALSE)</f>
        <v>Expedite Purchase Order</v>
      </c>
      <c r="E1036" t="str">
        <f>VLOOKUP(Tabulation!$B1036,Constants!$A:$C,3,FALSE)</f>
        <v>High Volume</v>
      </c>
    </row>
    <row r="1037" spans="1:5">
      <c r="A1037" t="s">
        <v>557</v>
      </c>
      <c r="B1037" t="s">
        <v>443</v>
      </c>
      <c r="C1037" s="8">
        <v>0</v>
      </c>
      <c r="D1037" t="str">
        <f>VLOOKUP(Tabulation!$B1037,Constants!$A:$C,2,FALSE)</f>
        <v>Financial Transaction</v>
      </c>
      <c r="E1037" t="str">
        <f>VLOOKUP(Tabulation!$B1037,Constants!$A:$C,3,FALSE)</f>
        <v>Medium Volume</v>
      </c>
    </row>
    <row r="1038" spans="1:5">
      <c r="A1038" t="s">
        <v>557</v>
      </c>
      <c r="B1038" t="s">
        <v>444</v>
      </c>
      <c r="C1038" s="8">
        <v>0</v>
      </c>
      <c r="D1038" t="str">
        <f>VLOOKUP(Tabulation!$B1038,Constants!$A:$C,2,FALSE)</f>
        <v>Invoice Group</v>
      </c>
      <c r="E1038" t="str">
        <f>VLOOKUP(Tabulation!$B1038,Constants!$A:$C,3,FALSE)</f>
        <v>Medium Volume</v>
      </c>
    </row>
    <row r="1039" spans="1:5">
      <c r="A1039" t="s">
        <v>557</v>
      </c>
      <c r="B1039" t="s">
        <v>446</v>
      </c>
      <c r="C1039" s="8">
        <v>0</v>
      </c>
      <c r="D1039" t="str">
        <f>VLOOKUP(Tabulation!$B1039,Constants!$A:$C,2,FALSE)</f>
        <v>Invoice Header</v>
      </c>
      <c r="E1039" t="str">
        <f>VLOOKUP(Tabulation!$B1039,Constants!$A:$C,3,FALSE)</f>
        <v>Medium Volume</v>
      </c>
    </row>
    <row r="1040" spans="1:5">
      <c r="A1040" t="s">
        <v>557</v>
      </c>
      <c r="B1040" t="s">
        <v>448</v>
      </c>
      <c r="C1040" s="8">
        <v>0</v>
      </c>
      <c r="D1040" t="str">
        <f>VLOOKUP(Tabulation!$B1040,Constants!$A:$C,2,FALSE)</f>
        <v>Invoice Line</v>
      </c>
      <c r="E1040" t="str">
        <f>VLOOKUP(Tabulation!$B1040,Constants!$A:$C,3,FALSE)</f>
        <v>Medium Volume</v>
      </c>
    </row>
    <row r="1041" spans="1:5">
      <c r="A1041" t="s">
        <v>557</v>
      </c>
      <c r="B1041" t="s">
        <v>450</v>
      </c>
      <c r="C1041" s="8">
        <v>0</v>
      </c>
      <c r="D1041" t="str">
        <f>VLOOKUP(Tabulation!$B1041,Constants!$A:$C,2,FALSE)</f>
        <v>Inventory Adjustment</v>
      </c>
      <c r="E1041" t="str">
        <f>VLOOKUP(Tabulation!$B1041,Constants!$A:$C,3,FALSE)</f>
        <v>Medium Volume</v>
      </c>
    </row>
    <row r="1042" spans="1:5">
      <c r="A1042" t="s">
        <v>557</v>
      </c>
      <c r="B1042" t="s">
        <v>452</v>
      </c>
      <c r="C1042" s="8">
        <v>0</v>
      </c>
      <c r="D1042" t="str">
        <f>VLOOKUP(Tabulation!$B1042,Constants!$A:$C,2,FALSE)</f>
        <v>Maintenance Event</v>
      </c>
      <c r="E1042" t="str">
        <f>VLOOKUP(Tabulation!$B1042,Constants!$A:$C,3,FALSE)</f>
        <v>Medium Volume</v>
      </c>
    </row>
    <row r="1043" spans="1:5">
      <c r="A1043" t="s">
        <v>557</v>
      </c>
      <c r="B1043" t="s">
        <v>454</v>
      </c>
      <c r="C1043" s="8">
        <v>0</v>
      </c>
      <c r="D1043" t="str">
        <f>VLOOKUP(Tabulation!$B1043,Constants!$A:$C,2,FALSE)</f>
        <v>Maintenance Schedule</v>
      </c>
      <c r="E1043" t="str">
        <f>VLOOKUP(Tabulation!$B1043,Constants!$A:$C,3,FALSE)</f>
        <v>Medium Volume</v>
      </c>
    </row>
    <row r="1044" spans="1:5">
      <c r="A1044" t="s">
        <v>557</v>
      </c>
      <c r="B1044" t="s">
        <v>456</v>
      </c>
      <c r="C1044" s="8">
        <v>0</v>
      </c>
      <c r="D1044" t="str">
        <f>VLOOKUP(Tabulation!$B1044,Constants!$A:$C,2,FALSE)</f>
        <v>Maintenance Trigger</v>
      </c>
      <c r="E1044" t="str">
        <f>VLOOKUP(Tabulation!$B1044,Constants!$A:$C,3,FALSE)</f>
        <v>Medium Volume</v>
      </c>
    </row>
    <row r="1045" spans="1:5">
      <c r="A1045" t="s">
        <v>557</v>
      </c>
      <c r="B1045" t="s">
        <v>458</v>
      </c>
      <c r="C1045" s="8">
        <v>0</v>
      </c>
      <c r="D1045" t="str">
        <f>VLOOKUP(Tabulation!$B1045,Constants!$A:$C,2,FALSE)</f>
        <v>Material Disposition</v>
      </c>
      <c r="E1045" t="str">
        <f>VLOOKUP(Tabulation!$B1045,Constants!$A:$C,3,FALSE)</f>
        <v>Medium Volume</v>
      </c>
    </row>
    <row r="1046" spans="1:5">
      <c r="A1046" t="s">
        <v>557</v>
      </c>
      <c r="B1046" t="s">
        <v>460</v>
      </c>
      <c r="C1046" s="8">
        <v>0</v>
      </c>
      <c r="D1046" t="str">
        <f>VLOOKUP(Tabulation!$B1046,Constants!$A:$C,2,FALSE)</f>
        <v>Material Issue Line</v>
      </c>
      <c r="E1046" t="str">
        <f>VLOOKUP(Tabulation!$B1046,Constants!$A:$C,3,FALSE)</f>
        <v>Medium Volume</v>
      </c>
    </row>
    <row r="1047" spans="1:5">
      <c r="A1047" t="s">
        <v>557</v>
      </c>
      <c r="B1047" t="s">
        <v>462</v>
      </c>
      <c r="C1047" s="8">
        <v>0</v>
      </c>
      <c r="D1047" t="str">
        <f>VLOOKUP(Tabulation!$B1047,Constants!$A:$C,2,FALSE)</f>
        <v>Material Request Header</v>
      </c>
      <c r="E1047" t="str">
        <f>VLOOKUP(Tabulation!$B1047,Constants!$A:$C,3,FALSE)</f>
        <v>Medium Volume</v>
      </c>
    </row>
    <row r="1048" spans="1:5">
      <c r="A1048" t="s">
        <v>557</v>
      </c>
      <c r="B1048" t="s">
        <v>464</v>
      </c>
      <c r="C1048" s="8">
        <v>0</v>
      </c>
      <c r="D1048" t="str">
        <f>VLOOKUP(Tabulation!$B1048,Constants!$A:$C,2,FALSE)</f>
        <v>Material Request Line</v>
      </c>
      <c r="E1048" t="str">
        <f>VLOOKUP(Tabulation!$B1048,Constants!$A:$C,3,FALSE)</f>
        <v>Medium Volume</v>
      </c>
    </row>
    <row r="1049" spans="1:5">
      <c r="A1049" t="s">
        <v>557</v>
      </c>
      <c r="B1049" t="s">
        <v>466</v>
      </c>
      <c r="C1049" s="8">
        <v>0</v>
      </c>
      <c r="D1049" t="str">
        <f>VLOOKUP(Tabulation!$B1049,Constants!$A:$C,2,FALSE)</f>
        <v>Material Request Template</v>
      </c>
      <c r="E1049" t="str">
        <f>VLOOKUP(Tabulation!$B1049,Constants!$A:$C,3,FALSE)</f>
        <v>Medium Volume</v>
      </c>
    </row>
    <row r="1050" spans="1:5">
      <c r="A1050" t="s">
        <v>557</v>
      </c>
      <c r="B1050" t="s">
        <v>468</v>
      </c>
      <c r="C1050" s="8">
        <v>0</v>
      </c>
      <c r="D1050" t="str">
        <f>VLOOKUP(Tabulation!$B1050,Constants!$A:$C,2,FALSE)</f>
        <v>Material Return Header</v>
      </c>
      <c r="E1050" t="str">
        <f>VLOOKUP(Tabulation!$B1050,Constants!$A:$C,3,FALSE)</f>
        <v>Medium Volume</v>
      </c>
    </row>
    <row r="1051" spans="1:5">
      <c r="A1051" t="s">
        <v>557</v>
      </c>
      <c r="B1051" t="s">
        <v>470</v>
      </c>
      <c r="C1051" s="8">
        <v>0</v>
      </c>
      <c r="D1051" t="str">
        <f>VLOOKUP(Tabulation!$B1051,Constants!$A:$C,2,FALSE)</f>
        <v>Material Return Line</v>
      </c>
      <c r="E1051" t="str">
        <f>VLOOKUP(Tabulation!$B1051,Constants!$A:$C,3,FALSE)</f>
        <v>Medium Volume</v>
      </c>
    </row>
    <row r="1052" spans="1:5">
      <c r="A1052" t="s">
        <v>557</v>
      </c>
      <c r="B1052" t="s">
        <v>472</v>
      </c>
      <c r="C1052" s="8">
        <v>0</v>
      </c>
      <c r="D1052" t="str">
        <f>VLOOKUP(Tabulation!$B1052,Constants!$A:$C,2,FALSE)</f>
        <v>Measurement</v>
      </c>
      <c r="E1052" t="str">
        <f>VLOOKUP(Tabulation!$B1052,Constants!$A:$C,3,FALSE)</f>
        <v>Medium Volume</v>
      </c>
    </row>
    <row r="1053" spans="1:5">
      <c r="A1053" t="s">
        <v>557</v>
      </c>
      <c r="B1053" t="s">
        <v>473</v>
      </c>
      <c r="C1053" s="8">
        <v>0</v>
      </c>
      <c r="D1053" t="str">
        <f>VLOOKUP(Tabulation!$B1053,Constants!$A:$C,2,FALSE)</f>
        <v>Mobile Subscription</v>
      </c>
      <c r="E1053" t="str">
        <f>VLOOKUP(Tabulation!$B1053,Constants!$A:$C,3,FALSE)</f>
        <v>Medium Volume</v>
      </c>
    </row>
    <row r="1054" spans="1:5">
      <c r="A1054" t="s">
        <v>557</v>
      </c>
      <c r="B1054" t="s">
        <v>475</v>
      </c>
      <c r="C1054" s="8">
        <v>17678</v>
      </c>
      <c r="D1054" t="str">
        <f>VLOOKUP(Tabulation!$B1054,Constants!$A:$C,2,FALSE)</f>
        <v>Location/Organization</v>
      </c>
      <c r="E1054" t="str">
        <f>VLOOKUP(Tabulation!$B1054,Constants!$A:$C,3,FALSE)</f>
        <v>Medium Volume</v>
      </c>
    </row>
    <row r="1055" spans="1:5">
      <c r="A1055" t="s">
        <v>557</v>
      </c>
      <c r="B1055" t="s">
        <v>477</v>
      </c>
      <c r="C1055" s="8">
        <v>0</v>
      </c>
      <c r="D1055" t="str">
        <f>VLOOKUP(Tabulation!$B1055,Constants!$A:$C,2,FALSE)</f>
        <v>Other Direct Charges</v>
      </c>
      <c r="E1055" t="str">
        <f>VLOOKUP(Tabulation!$B1055,Constants!$A:$C,3,FALSE)</f>
        <v>Medium Volume</v>
      </c>
    </row>
    <row r="1056" spans="1:5">
      <c r="A1056" t="s">
        <v>557</v>
      </c>
      <c r="B1056" t="s">
        <v>479</v>
      </c>
      <c r="C1056" s="8">
        <v>0</v>
      </c>
      <c r="D1056" t="str">
        <f>VLOOKUP(Tabulation!$B1056,Constants!$A:$C,2,FALSE)</f>
        <v>Other Direct Charges Detail</v>
      </c>
      <c r="E1056" t="str">
        <f>VLOOKUP(Tabulation!$B1056,Constants!$A:$C,3,FALSE)</f>
        <v>Medium Volume</v>
      </c>
    </row>
    <row r="1057" spans="1:5">
      <c r="A1057" t="s">
        <v>557</v>
      </c>
      <c r="B1057" t="s">
        <v>481</v>
      </c>
      <c r="C1057" s="8">
        <v>0</v>
      </c>
      <c r="D1057" t="str">
        <f>VLOOKUP(Tabulation!$B1057,Constants!$A:$C,2,FALSE)</f>
        <v>Permit</v>
      </c>
      <c r="E1057" t="str">
        <f>VLOOKUP(Tabulation!$B1057,Constants!$A:$C,3,FALSE)</f>
        <v>Medium Volume</v>
      </c>
    </row>
    <row r="1058" spans="1:5">
      <c r="A1058" t="s">
        <v>557</v>
      </c>
      <c r="B1058" t="s">
        <v>483</v>
      </c>
      <c r="C1058" s="8">
        <v>0</v>
      </c>
      <c r="D1058" t="str">
        <f>VLOOKUP(Tabulation!$B1058,Constants!$A:$C,2,FALSE)</f>
        <v>Physical Inventory Count Line</v>
      </c>
      <c r="E1058" t="str">
        <f>VLOOKUP(Tabulation!$B1058,Constants!$A:$C,3,FALSE)</f>
        <v>Medium Volume</v>
      </c>
    </row>
    <row r="1059" spans="1:5">
      <c r="A1059" t="s">
        <v>557</v>
      </c>
      <c r="B1059" t="s">
        <v>485</v>
      </c>
      <c r="C1059" s="8">
        <v>0</v>
      </c>
      <c r="D1059" t="str">
        <f>VLOOKUP(Tabulation!$B1059,Constants!$A:$C,2,FALSE)</f>
        <v>Physical Inventory Count Master</v>
      </c>
      <c r="E1059" t="str">
        <f>VLOOKUP(Tabulation!$B1059,Constants!$A:$C,3,FALSE)</f>
        <v>Medium Volume</v>
      </c>
    </row>
    <row r="1060" spans="1:5">
      <c r="A1060" t="s">
        <v>557</v>
      </c>
      <c r="B1060" t="s">
        <v>487</v>
      </c>
      <c r="C1060" s="8">
        <v>0</v>
      </c>
      <c r="D1060" t="str">
        <f>VLOOKUP(Tabulation!$B1060,Constants!$A:$C,2,FALSE)</f>
        <v>Physical Inventory Header</v>
      </c>
      <c r="E1060" t="str">
        <f>VLOOKUP(Tabulation!$B1060,Constants!$A:$C,3,FALSE)</f>
        <v>Medium Volume</v>
      </c>
    </row>
    <row r="1061" spans="1:5">
      <c r="A1061" t="s">
        <v>557</v>
      </c>
      <c r="B1061" t="s">
        <v>489</v>
      </c>
      <c r="C1061" s="8">
        <v>0</v>
      </c>
      <c r="D1061" t="str">
        <f>VLOOKUP(Tabulation!$B1061,Constants!$A:$C,2,FALSE)</f>
        <v>Purchase Order Header</v>
      </c>
      <c r="E1061" t="str">
        <f>VLOOKUP(Tabulation!$B1061,Constants!$A:$C,3,FALSE)</f>
        <v>Medium Volume</v>
      </c>
    </row>
    <row r="1062" spans="1:5">
      <c r="A1062" t="s">
        <v>557</v>
      </c>
      <c r="B1062" t="s">
        <v>491</v>
      </c>
      <c r="C1062" s="8">
        <v>0</v>
      </c>
      <c r="D1062" t="str">
        <f>VLOOKUP(Tabulation!$B1062,Constants!$A:$C,2,FALSE)</f>
        <v>Purchase Order Line</v>
      </c>
      <c r="E1062" t="str">
        <f>VLOOKUP(Tabulation!$B1062,Constants!$A:$C,3,FALSE)</f>
        <v>Medium Volume</v>
      </c>
    </row>
    <row r="1063" spans="1:5">
      <c r="A1063" t="s">
        <v>557</v>
      </c>
      <c r="B1063" t="s">
        <v>493</v>
      </c>
      <c r="C1063" s="8">
        <v>0</v>
      </c>
      <c r="D1063" t="str">
        <f>VLOOKUP(Tabulation!$B1063,Constants!$A:$C,2,FALSE)</f>
        <v>Functional Process</v>
      </c>
      <c r="E1063" t="str">
        <f>VLOOKUP(Tabulation!$B1063,Constants!$A:$C,3,FALSE)</f>
        <v>Medium Volume</v>
      </c>
    </row>
    <row r="1064" spans="1:5">
      <c r="A1064" t="s">
        <v>557</v>
      </c>
      <c r="B1064" t="s">
        <v>495</v>
      </c>
      <c r="C1064" s="8">
        <v>0</v>
      </c>
      <c r="D1064" t="str">
        <f>VLOOKUP(Tabulation!$B1064,Constants!$A:$C,2,FALSE)</f>
        <v>Project</v>
      </c>
      <c r="E1064" t="str">
        <f>VLOOKUP(Tabulation!$B1064,Constants!$A:$C,3,FALSE)</f>
        <v>Medium Volume</v>
      </c>
    </row>
    <row r="1065" spans="1:5">
      <c r="A1065" t="s">
        <v>557</v>
      </c>
      <c r="B1065" t="s">
        <v>497</v>
      </c>
      <c r="C1065" s="8">
        <v>0</v>
      </c>
      <c r="D1065" t="str">
        <f>VLOOKUP(Tabulation!$B1065,Constants!$A:$C,2,FALSE)</f>
        <v>Purchase Requisition Header</v>
      </c>
      <c r="E1065" t="str">
        <f>VLOOKUP(Tabulation!$B1065,Constants!$A:$C,3,FALSE)</f>
        <v>Medium Volume</v>
      </c>
    </row>
    <row r="1066" spans="1:5">
      <c r="A1066" t="s">
        <v>557</v>
      </c>
      <c r="B1066" t="s">
        <v>499</v>
      </c>
      <c r="C1066" s="8">
        <v>0</v>
      </c>
      <c r="D1066" t="str">
        <f>VLOOKUP(Tabulation!$B1066,Constants!$A:$C,2,FALSE)</f>
        <v>Purchase Requisition Line</v>
      </c>
      <c r="E1066" t="str">
        <f>VLOOKUP(Tabulation!$B1066,Constants!$A:$C,3,FALSE)</f>
        <v>Medium Volume</v>
      </c>
    </row>
    <row r="1067" spans="1:5">
      <c r="A1067" t="s">
        <v>557</v>
      </c>
      <c r="B1067" t="s">
        <v>501</v>
      </c>
      <c r="C1067" s="8">
        <v>0</v>
      </c>
      <c r="D1067" t="str">
        <f>VLOOKUP(Tabulation!$B1067,Constants!$A:$C,2,FALSE)</f>
        <v>Receipt Header</v>
      </c>
      <c r="E1067" t="str">
        <f>VLOOKUP(Tabulation!$B1067,Constants!$A:$C,3,FALSE)</f>
        <v>Medium Volume</v>
      </c>
    </row>
    <row r="1068" spans="1:5">
      <c r="A1068" t="s">
        <v>557</v>
      </c>
      <c r="B1068" t="s">
        <v>503</v>
      </c>
      <c r="C1068" s="8">
        <v>0</v>
      </c>
      <c r="D1068" t="str">
        <f>VLOOKUP(Tabulation!$B1068,Constants!$A:$C,2,FALSE)</f>
        <v>Receipt Line</v>
      </c>
      <c r="E1068" t="str">
        <f>VLOOKUP(Tabulation!$B1068,Constants!$A:$C,3,FALSE)</f>
        <v>Medium Volume</v>
      </c>
    </row>
    <row r="1069" spans="1:5">
      <c r="A1069" t="s">
        <v>557</v>
      </c>
      <c r="B1069" t="s">
        <v>505</v>
      </c>
      <c r="C1069" s="8">
        <v>0</v>
      </c>
      <c r="D1069" t="str">
        <f>VLOOKUP(Tabulation!$B1069,Constants!$A:$C,2,FALSE)</f>
        <v>Report Queue</v>
      </c>
      <c r="E1069" t="str">
        <f>VLOOKUP(Tabulation!$B1069,Constants!$A:$C,3,FALSE)</f>
        <v>Medium Volume</v>
      </c>
    </row>
    <row r="1070" spans="1:5">
      <c r="A1070" t="s">
        <v>557</v>
      </c>
      <c r="B1070" t="s">
        <v>507</v>
      </c>
      <c r="C1070" s="8">
        <v>0</v>
      </c>
      <c r="D1070" t="str">
        <f>VLOOKUP(Tabulation!$B1070,Constants!$A:$C,2,FALSE)</f>
        <v>Resource Type</v>
      </c>
      <c r="E1070" t="str">
        <f>VLOOKUP(Tabulation!$B1070,Constants!$A:$C,3,FALSE)</f>
        <v>Medium Volume</v>
      </c>
    </row>
    <row r="1071" spans="1:5">
      <c r="A1071" t="s">
        <v>557</v>
      </c>
      <c r="B1071" t="s">
        <v>509</v>
      </c>
      <c r="C1071" s="8">
        <v>0</v>
      </c>
      <c r="D1071" t="str">
        <f>VLOOKUP(Tabulation!$B1071,Constants!$A:$C,2,FALSE)</f>
        <v>Reorder Review</v>
      </c>
      <c r="E1071" t="str">
        <f>VLOOKUP(Tabulation!$B1071,Constants!$A:$C,3,FALSE)</f>
        <v>Medium Volume</v>
      </c>
    </row>
    <row r="1072" spans="1:5">
      <c r="A1072" t="s">
        <v>557</v>
      </c>
      <c r="B1072" t="s">
        <v>511</v>
      </c>
      <c r="C1072" s="8">
        <v>0</v>
      </c>
      <c r="D1072" t="str">
        <f>VLOOKUP(Tabulation!$B1072,Constants!$A:$C,2,FALSE)</f>
        <v>Return Line</v>
      </c>
      <c r="E1072" t="str">
        <f>VLOOKUP(Tabulation!$B1072,Constants!$A:$C,3,FALSE)</f>
        <v>Medium Volume</v>
      </c>
    </row>
    <row r="1073" spans="1:5">
      <c r="A1073" t="s">
        <v>557</v>
      </c>
      <c r="B1073" t="s">
        <v>513</v>
      </c>
      <c r="C1073" s="8">
        <v>0</v>
      </c>
      <c r="D1073" t="str">
        <f>VLOOKUP(Tabulation!$B1073,Constants!$A:$C,2,FALSE)</f>
        <v>Shift Weekly Template</v>
      </c>
      <c r="E1073" t="str">
        <f>VLOOKUP(Tabulation!$B1073,Constants!$A:$C,3,FALSE)</f>
        <v>Medium Volume</v>
      </c>
    </row>
    <row r="1074" spans="1:5">
      <c r="A1074" t="s">
        <v>557</v>
      </c>
      <c r="B1074" t="s">
        <v>515</v>
      </c>
      <c r="C1074" s="8">
        <v>0</v>
      </c>
      <c r="D1074" t="str">
        <f>VLOOKUP(Tabulation!$B1074,Constants!$A:$C,2,FALSE)</f>
        <v>Shipping Line</v>
      </c>
      <c r="E1074" t="str">
        <f>VLOOKUP(Tabulation!$B1074,Constants!$A:$C,3,FALSE)</f>
        <v>Medium Volume</v>
      </c>
    </row>
    <row r="1075" spans="1:5">
      <c r="A1075" t="s">
        <v>557</v>
      </c>
      <c r="B1075" t="s">
        <v>517</v>
      </c>
      <c r="C1075" s="8">
        <v>0</v>
      </c>
      <c r="D1075" t="str">
        <f>VLOOKUP(Tabulation!$B1075,Constants!$A:$C,2,FALSE)</f>
        <v>Shipping Memo</v>
      </c>
      <c r="E1075" t="str">
        <f>VLOOKUP(Tabulation!$B1075,Constants!$A:$C,3,FALSE)</f>
        <v>Medium Volume</v>
      </c>
    </row>
    <row r="1076" spans="1:5">
      <c r="A1076" t="s">
        <v>557</v>
      </c>
      <c r="B1076" t="s">
        <v>519</v>
      </c>
      <c r="C1076" s="8">
        <v>0</v>
      </c>
      <c r="D1076" t="str">
        <f>VLOOKUP(Tabulation!$B1076,Constants!$A:$C,2,FALSE)</f>
        <v>Stock Item Detail</v>
      </c>
      <c r="E1076" t="str">
        <f>VLOOKUP(Tabulation!$B1076,Constants!$A:$C,3,FALSE)</f>
        <v>Medium Volume</v>
      </c>
    </row>
    <row r="1077" spans="1:5">
      <c r="A1077" t="s">
        <v>557</v>
      </c>
      <c r="B1077" t="s">
        <v>521</v>
      </c>
      <c r="C1077" s="8">
        <v>0</v>
      </c>
      <c r="D1077" t="str">
        <f>VLOOKUP(Tabulation!$B1077,Constants!$A:$C,2,FALSE)</f>
        <v>Stock Transaction</v>
      </c>
      <c r="E1077" t="str">
        <f>VLOOKUP(Tabulation!$B1077,Constants!$A:$C,3,FALSE)</f>
        <v>Medium Volume</v>
      </c>
    </row>
    <row r="1078" spans="1:5">
      <c r="A1078" t="s">
        <v>557</v>
      </c>
      <c r="B1078" t="s">
        <v>523</v>
      </c>
      <c r="C1078" s="8">
        <v>0</v>
      </c>
      <c r="D1078" t="str">
        <f>VLOOKUP(Tabulation!$B1078,Constants!$A:$C,2,FALSE)</f>
        <v>Service History</v>
      </c>
      <c r="E1078" t="str">
        <f>VLOOKUP(Tabulation!$B1078,Constants!$A:$C,3,FALSE)</f>
        <v>Medium Volume</v>
      </c>
    </row>
    <row r="1079" spans="1:5">
      <c r="A1079" t="s">
        <v>557</v>
      </c>
      <c r="B1079" t="s">
        <v>525</v>
      </c>
      <c r="C1079" s="8">
        <v>0</v>
      </c>
      <c r="D1079" t="str">
        <f>VLOOKUP(Tabulation!$B1079,Constants!$A:$C,2,FALSE)</f>
        <v>Timesheet</v>
      </c>
      <c r="E1079" t="str">
        <f>VLOOKUP(Tabulation!$B1079,Constants!$A:$C,3,FALSE)</f>
        <v>Medium Volume</v>
      </c>
    </row>
    <row r="1080" spans="1:5">
      <c r="A1080" t="s">
        <v>557</v>
      </c>
      <c r="B1080" t="s">
        <v>527</v>
      </c>
      <c r="C1080" s="8">
        <v>0</v>
      </c>
      <c r="D1080" t="str">
        <f>VLOOKUP(Tabulation!$B1080,Constants!$A:$C,2,FALSE)</f>
        <v>Timesheet Detail</v>
      </c>
      <c r="E1080" t="str">
        <f>VLOOKUP(Tabulation!$B1080,Constants!$A:$C,3,FALSE)</f>
        <v>Medium Volume</v>
      </c>
    </row>
    <row r="1081" spans="1:5">
      <c r="A1081" t="s">
        <v>557</v>
      </c>
      <c r="B1081" t="s">
        <v>529</v>
      </c>
      <c r="C1081" s="8">
        <v>0</v>
      </c>
      <c r="D1081" t="str">
        <f>VLOOKUP(Tabulation!$B1081,Constants!$A:$C,2,FALSE)</f>
        <v>Template Activity</v>
      </c>
      <c r="E1081" t="str">
        <f>VLOOKUP(Tabulation!$B1081,Constants!$A:$C,3,FALSE)</f>
        <v>Medium Volume</v>
      </c>
    </row>
    <row r="1082" spans="1:5">
      <c r="A1082" t="s">
        <v>557</v>
      </c>
      <c r="B1082" t="s">
        <v>531</v>
      </c>
      <c r="C1082" s="8">
        <v>0</v>
      </c>
      <c r="D1082" t="str">
        <f>VLOOKUP(Tabulation!$B1082,Constants!$A:$C,2,FALSE)</f>
        <v>Template Activity Resource</v>
      </c>
      <c r="E1082" t="str">
        <f>VLOOKUP(Tabulation!$B1082,Constants!$A:$C,3,FALSE)</f>
        <v>Medium Volume</v>
      </c>
    </row>
    <row r="1083" spans="1:5">
      <c r="A1083" t="s">
        <v>557</v>
      </c>
      <c r="B1083" t="s">
        <v>533</v>
      </c>
      <c r="C1083" s="8">
        <v>0</v>
      </c>
      <c r="D1083" t="str">
        <f>VLOOKUP(Tabulation!$B1083,Constants!$A:$C,2,FALSE)</f>
        <v>Template Work Order</v>
      </c>
      <c r="E1083" t="str">
        <f>VLOOKUP(Tabulation!$B1083,Constants!$A:$C,3,FALSE)</f>
        <v>Medium Volume</v>
      </c>
    </row>
    <row r="1084" spans="1:5">
      <c r="A1084" t="s">
        <v>557</v>
      </c>
      <c r="B1084" t="s">
        <v>535</v>
      </c>
      <c r="C1084" s="8">
        <v>0</v>
      </c>
      <c r="D1084" t="str">
        <f>VLOOKUP(Tabulation!$B1084,Constants!$A:$C,2,FALSE)</f>
        <v>Vendor</v>
      </c>
      <c r="E1084" t="str">
        <f>VLOOKUP(Tabulation!$B1084,Constants!$A:$C,3,FALSE)</f>
        <v>Medium Volume</v>
      </c>
    </row>
    <row r="1085" spans="1:5">
      <c r="A1085" t="s">
        <v>557</v>
      </c>
      <c r="B1085" t="s">
        <v>537</v>
      </c>
      <c r="C1085" s="8">
        <v>0</v>
      </c>
      <c r="D1085" t="str">
        <f>VLOOKUP(Tabulation!$B1085,Constants!$A:$C,2,FALSE)</f>
        <v>Vendor Location</v>
      </c>
      <c r="E1085" t="str">
        <f>VLOOKUP(Tabulation!$B1085,Constants!$A:$C,3,FALSE)</f>
        <v>Medium Volume</v>
      </c>
    </row>
    <row r="1086" spans="1:5">
      <c r="A1086" t="s">
        <v>557</v>
      </c>
      <c r="B1086" t="s">
        <v>539</v>
      </c>
      <c r="C1086" s="8">
        <v>0</v>
      </c>
      <c r="D1086" t="str">
        <f>VLOOKUP(Tabulation!$B1086,Constants!$A:$C,2,FALSE)</f>
        <v>Warranty</v>
      </c>
      <c r="E1086" t="str">
        <f>VLOOKUP(Tabulation!$B1086,Constants!$A:$C,3,FALSE)</f>
        <v>Medium Volume</v>
      </c>
    </row>
    <row r="1087" spans="1:5">
      <c r="A1087" t="s">
        <v>557</v>
      </c>
      <c r="B1087" t="s">
        <v>541</v>
      </c>
      <c r="C1087" s="8">
        <v>0</v>
      </c>
      <c r="D1087" t="str">
        <f>VLOOKUP(Tabulation!$B1087,Constants!$A:$C,2,FALSE)</f>
        <v>Work Order</v>
      </c>
      <c r="E1087" t="str">
        <f>VLOOKUP(Tabulation!$B1087,Constants!$A:$C,3,FALSE)</f>
        <v>Medium Volume</v>
      </c>
    </row>
    <row r="1088" spans="1:5">
      <c r="A1088" t="s">
        <v>557</v>
      </c>
      <c r="B1088" t="s">
        <v>543</v>
      </c>
      <c r="C1088" s="8">
        <v>0</v>
      </c>
      <c r="D1088" t="str">
        <f>VLOOKUP(Tabulation!$B1088,Constants!$A:$C,2,FALSE)</f>
        <v>Work Design</v>
      </c>
      <c r="E1088" t="str">
        <f>VLOOKUP(Tabulation!$B1088,Constants!$A:$C,3,FALSE)</f>
        <v>Medium Volume</v>
      </c>
    </row>
    <row r="1089" spans="1:5">
      <c r="A1089" t="s">
        <v>557</v>
      </c>
      <c r="B1089" t="s">
        <v>545</v>
      </c>
      <c r="C1089" s="8">
        <v>0</v>
      </c>
      <c r="D1089" t="str">
        <f>VLOOKUP(Tabulation!$B1089,Constants!$A:$C,2,FALSE)</f>
        <v>Work Location</v>
      </c>
      <c r="E1089" t="str">
        <f>VLOOKUP(Tabulation!$B1089,Constants!$A:$C,3,FALSE)</f>
        <v>Medium Volume</v>
      </c>
    </row>
    <row r="1090" spans="1:5">
      <c r="A1090" t="s">
        <v>557</v>
      </c>
      <c r="B1090" t="s">
        <v>547</v>
      </c>
      <c r="C1090" s="8">
        <v>0</v>
      </c>
      <c r="D1090" t="str">
        <f>VLOOKUP(Tabulation!$B1090,Constants!$A:$C,2,FALSE)</f>
        <v>Work Request</v>
      </c>
      <c r="E1090" t="str">
        <f>VLOOKUP(Tabulation!$B1090,Constants!$A:$C,3,FALSE)</f>
        <v>Medium Volume</v>
      </c>
    </row>
    <row r="1091" spans="1:5">
      <c r="A1091" t="s">
        <v>558</v>
      </c>
      <c r="B1091" t="s">
        <v>3</v>
      </c>
      <c r="C1091" s="8">
        <v>0</v>
      </c>
      <c r="D1091" t="str">
        <f>VLOOKUP(Tabulation!$B1091,Constants!$A:$C,2,FALSE)</f>
        <v>Financial Transaction GL Monthly Aggregate</v>
      </c>
      <c r="E1091" t="str">
        <f>VLOOKUP(Tabulation!$B1091,Constants!$A:$C,3,FALSE)</f>
        <v>Medium Volume</v>
      </c>
    </row>
    <row r="1092" spans="1:5">
      <c r="A1092" t="s">
        <v>558</v>
      </c>
      <c r="B1092" t="s">
        <v>6</v>
      </c>
      <c r="C1092" s="8">
        <v>0</v>
      </c>
      <c r="D1092" t="str">
        <f>VLOOKUP(Tabulation!$B1092,Constants!$A:$C,2,FALSE)</f>
        <v>Financial Transaction Monthly Aggregate</v>
      </c>
      <c r="E1092" t="str">
        <f>VLOOKUP(Tabulation!$B1092,Constants!$A:$C,3,FALSE)</f>
        <v>Medium Volume</v>
      </c>
    </row>
    <row r="1093" spans="1:5">
      <c r="A1093" t="s">
        <v>558</v>
      </c>
      <c r="B1093" t="s">
        <v>8</v>
      </c>
      <c r="C1093" s="8">
        <v>0</v>
      </c>
      <c r="D1093" t="str">
        <f>VLOOKUP(Tabulation!$B1093,Constants!$A:$C,2,FALSE)</f>
        <v>SA Arrears Snapshot</v>
      </c>
      <c r="E1093" t="str">
        <f>VLOOKUP(Tabulation!$B1093,Constants!$A:$C,3,FALSE)</f>
        <v>Medium Volume</v>
      </c>
    </row>
    <row r="1094" spans="1:5">
      <c r="A1094" t="s">
        <v>558</v>
      </c>
      <c r="B1094" t="s">
        <v>10</v>
      </c>
      <c r="C1094" s="8">
        <v>0</v>
      </c>
      <c r="D1094" t="str">
        <f>VLOOKUP(Tabulation!$B1094,Constants!$A:$C,2,FALSE)</f>
        <v>Consumer Contract</v>
      </c>
      <c r="E1094" t="str">
        <f>VLOOKUP(Tabulation!$B1094,Constants!$A:$C,3,FALSE)</f>
        <v>Medium Volume</v>
      </c>
    </row>
    <row r="1095" spans="1:5">
      <c r="A1095" t="s">
        <v>558</v>
      </c>
      <c r="B1095" t="s">
        <v>12</v>
      </c>
      <c r="C1095" s="8">
        <v>1618</v>
      </c>
      <c r="D1095" t="str">
        <f>VLOOKUP(Tabulation!$B1095,Constants!$A:$C,2,FALSE)</f>
        <v>Customer Service Request</v>
      </c>
      <c r="E1095" t="str">
        <f>VLOOKUP(Tabulation!$B1095,Constants!$A:$C,3,FALSE)</f>
        <v>Medium Volume</v>
      </c>
    </row>
    <row r="1096" spans="1:5">
      <c r="A1096" t="s">
        <v>558</v>
      </c>
      <c r="B1096" t="s">
        <v>14</v>
      </c>
      <c r="C1096" s="8">
        <v>713</v>
      </c>
      <c r="D1096" t="str">
        <f>VLOOKUP(Tabulation!$B1096,Constants!$A:$C,2,FALSE)</f>
        <v>Customer Service Request Account</v>
      </c>
      <c r="E1096" t="str">
        <f>VLOOKUP(Tabulation!$B1096,Constants!$A:$C,3,FALSE)</f>
        <v>Medium Volume</v>
      </c>
    </row>
    <row r="1097" spans="1:5">
      <c r="A1097" t="s">
        <v>558</v>
      </c>
      <c r="B1097" t="s">
        <v>16</v>
      </c>
      <c r="C1097" s="8">
        <v>0</v>
      </c>
      <c r="D1097" t="str">
        <f>VLOOKUP(Tabulation!$B1097,Constants!$A:$C,2,FALSE)</f>
        <v>Customer Service Request Consumer Contract</v>
      </c>
      <c r="E1097" t="str">
        <f>VLOOKUP(Tabulation!$B1097,Constants!$A:$C,3,FALSE)</f>
        <v>Medium Volume</v>
      </c>
    </row>
    <row r="1098" spans="1:5">
      <c r="A1098" t="s">
        <v>558</v>
      </c>
      <c r="B1098" t="s">
        <v>18</v>
      </c>
      <c r="C1098" s="8">
        <v>0</v>
      </c>
      <c r="D1098" t="str">
        <f>VLOOKUP(Tabulation!$B1098,Constants!$A:$C,2,FALSE)</f>
        <v>Customer Service Request Contract Product</v>
      </c>
      <c r="E1098" t="str">
        <f>VLOOKUP(Tabulation!$B1098,Constants!$A:$C,3,FALSE)</f>
        <v>Medium Volume</v>
      </c>
    </row>
    <row r="1099" spans="1:5">
      <c r="A1099" t="s">
        <v>558</v>
      </c>
      <c r="B1099" t="s">
        <v>20</v>
      </c>
      <c r="C1099" s="8">
        <v>722</v>
      </c>
      <c r="D1099" t="str">
        <f>VLOOKUP(Tabulation!$B1099,Constants!$A:$C,2,FALSE)</f>
        <v>Customer Service Request Person</v>
      </c>
      <c r="E1099" t="str">
        <f>VLOOKUP(Tabulation!$B1099,Constants!$A:$C,3,FALSE)</f>
        <v>Medium Volume</v>
      </c>
    </row>
    <row r="1100" spans="1:5">
      <c r="A1100" t="s">
        <v>558</v>
      </c>
      <c r="B1100" t="s">
        <v>22</v>
      </c>
      <c r="C1100" s="8">
        <v>684</v>
      </c>
      <c r="D1100" t="str">
        <f>VLOOKUP(Tabulation!$B1100,Constants!$A:$C,2,FALSE)</f>
        <v>Customer Service Request Premise</v>
      </c>
      <c r="E1100" t="str">
        <f>VLOOKUP(Tabulation!$B1100,Constants!$A:$C,3,FALSE)</f>
        <v>Medium Volume</v>
      </c>
    </row>
    <row r="1101" spans="1:5">
      <c r="A1101" t="s">
        <v>558</v>
      </c>
      <c r="B1101" t="s">
        <v>24</v>
      </c>
      <c r="C1101" s="8">
        <v>2091</v>
      </c>
      <c r="D1101" t="str">
        <f>VLOOKUP(Tabulation!$B1101,Constants!$A:$C,2,FALSE)</f>
        <v>Customer Service Request SA</v>
      </c>
      <c r="E1101" t="str">
        <f>VLOOKUP(Tabulation!$B1101,Constants!$A:$C,3,FALSE)</f>
        <v>Medium Volume</v>
      </c>
    </row>
    <row r="1102" spans="1:5">
      <c r="A1102" t="s">
        <v>558</v>
      </c>
      <c r="B1102" t="s">
        <v>26</v>
      </c>
      <c r="C1102" s="8">
        <v>0</v>
      </c>
      <c r="D1102" t="str">
        <f>VLOOKUP(Tabulation!$B1102,Constants!$A:$C,2,FALSE)</f>
        <v>Customer Service Request Service Location</v>
      </c>
      <c r="E1102" t="str">
        <f>VLOOKUP(Tabulation!$B1102,Constants!$A:$C,3,FALSE)</f>
        <v>Medium Volume</v>
      </c>
    </row>
    <row r="1103" spans="1:5">
      <c r="A1103" t="s">
        <v>558</v>
      </c>
      <c r="B1103" t="s">
        <v>28</v>
      </c>
      <c r="C1103" s="8">
        <v>0</v>
      </c>
      <c r="D1103" t="str">
        <f>VLOOKUP(Tabulation!$B1103,Constants!$A:$C,2,FALSE)</f>
        <v>Customer Relationship Request</v>
      </c>
      <c r="E1103" t="str">
        <f>VLOOKUP(Tabulation!$B1103,Constants!$A:$C,3,FALSE)</f>
        <v>Medium Volume</v>
      </c>
    </row>
    <row r="1104" spans="1:5">
      <c r="A1104" t="s">
        <v>558</v>
      </c>
      <c r="B1104" t="s">
        <v>30</v>
      </c>
      <c r="C1104" s="8">
        <v>0</v>
      </c>
      <c r="D1104" t="str">
        <f>VLOOKUP(Tabulation!$B1104,Constants!$A:$C,2,FALSE)</f>
        <v>Lead</v>
      </c>
      <c r="E1104" t="str">
        <f>VLOOKUP(Tabulation!$B1104,Constants!$A:$C,3,FALSE)</f>
        <v>Medium Volume</v>
      </c>
    </row>
    <row r="1105" spans="1:5">
      <c r="A1105" t="s">
        <v>558</v>
      </c>
      <c r="B1105" t="s">
        <v>32</v>
      </c>
      <c r="C1105" s="8">
        <v>0</v>
      </c>
      <c r="D1105" t="str">
        <f>VLOOKUP(Tabulation!$B1105,Constants!$A:$C,2,FALSE)</f>
        <v>Lead Event</v>
      </c>
      <c r="E1105" t="str">
        <f>VLOOKUP(Tabulation!$B1105,Constants!$A:$C,3,FALSE)</f>
        <v>Medium Volume</v>
      </c>
    </row>
    <row r="1106" spans="1:5">
      <c r="A1106" t="s">
        <v>558</v>
      </c>
      <c r="B1106" t="s">
        <v>34</v>
      </c>
      <c r="C1106" s="8">
        <v>0</v>
      </c>
      <c r="D1106" t="str">
        <f>VLOOKUP(Tabulation!$B1106,Constants!$A:$C,2,FALSE)</f>
        <v>Market Charge</v>
      </c>
      <c r="E1106" t="str">
        <f>VLOOKUP(Tabulation!$B1106,Constants!$A:$C,3,FALSE)</f>
        <v>Medium Volume</v>
      </c>
    </row>
    <row r="1107" spans="1:5">
      <c r="A1107" t="s">
        <v>558</v>
      </c>
      <c r="B1107" t="s">
        <v>36</v>
      </c>
      <c r="C1107" s="8">
        <v>0</v>
      </c>
      <c r="D1107" t="str">
        <f>VLOOKUP(Tabulation!$B1107,Constants!$A:$C,2,FALSE)</f>
        <v>Market Payment</v>
      </c>
      <c r="E1107" t="str">
        <f>VLOOKUP(Tabulation!$B1107,Constants!$A:$C,3,FALSE)</f>
        <v>Medium Volume</v>
      </c>
    </row>
    <row r="1108" spans="1:5">
      <c r="A1108" t="s">
        <v>558</v>
      </c>
      <c r="B1108" t="s">
        <v>38</v>
      </c>
      <c r="C1108" s="8">
        <v>0</v>
      </c>
      <c r="D1108" t="str">
        <f>VLOOKUP(Tabulation!$B1108,Constants!$A:$C,2,FALSE)</f>
        <v>Market Usage</v>
      </c>
      <c r="E1108" t="str">
        <f>VLOOKUP(Tabulation!$B1108,Constants!$A:$C,3,FALSE)</f>
        <v>Medium Volume</v>
      </c>
    </row>
    <row r="1109" spans="1:5">
      <c r="A1109" t="s">
        <v>558</v>
      </c>
      <c r="B1109" t="s">
        <v>40</v>
      </c>
      <c r="C1109" s="8">
        <v>0</v>
      </c>
      <c r="D1109" t="str">
        <f>VLOOKUP(Tabulation!$B1109,Constants!$A:$C,2,FALSE)</f>
        <v>Registration Point</v>
      </c>
      <c r="E1109" t="str">
        <f>VLOOKUP(Tabulation!$B1109,Constants!$A:$C,3,FALSE)</f>
        <v>Medium Volume</v>
      </c>
    </row>
    <row r="1110" spans="1:5">
      <c r="A1110" t="s">
        <v>558</v>
      </c>
      <c r="B1110" t="s">
        <v>42</v>
      </c>
      <c r="C1110" s="8">
        <v>0</v>
      </c>
      <c r="D1110" t="str">
        <f>VLOOKUP(Tabulation!$B1110,Constants!$A:$C,2,FALSE)</f>
        <v>Communication Preference</v>
      </c>
      <c r="E1110" t="str">
        <f>VLOOKUP(Tabulation!$B1110,Constants!$A:$C,3,FALSE)</f>
        <v>Medium Volume</v>
      </c>
    </row>
    <row r="1111" spans="1:5">
      <c r="A1111" t="s">
        <v>558</v>
      </c>
      <c r="B1111" t="s">
        <v>44</v>
      </c>
      <c r="C1111" s="8">
        <v>52675</v>
      </c>
      <c r="D1111" t="str">
        <f>VLOOKUP(Tabulation!$B1111,Constants!$A:$C,2,FALSE)</f>
        <v>Off Cycle Bill Generator</v>
      </c>
      <c r="E1111" t="str">
        <f>VLOOKUP(Tabulation!$B1111,Constants!$A:$C,3,FALSE)</f>
        <v>Medium Volume</v>
      </c>
    </row>
    <row r="1112" spans="1:5">
      <c r="A1112" t="s">
        <v>558</v>
      </c>
      <c r="B1112" t="s">
        <v>46</v>
      </c>
      <c r="C1112" s="8">
        <v>358</v>
      </c>
      <c r="D1112" t="str">
        <f>VLOOKUP(Tabulation!$B1112,Constants!$A:$C,2,FALSE)</f>
        <v>Payment Arrangement Request</v>
      </c>
      <c r="E1112" t="str">
        <f>VLOOKUP(Tabulation!$B1112,Constants!$A:$C,3,FALSE)</f>
        <v>Medium Volume</v>
      </c>
    </row>
    <row r="1113" spans="1:5">
      <c r="A1113" t="s">
        <v>558</v>
      </c>
      <c r="B1113" t="s">
        <v>50</v>
      </c>
      <c r="C1113" s="8">
        <v>15360951</v>
      </c>
      <c r="D1113" t="str">
        <f>VLOOKUP(Tabulation!$B1113,Constants!$A:$C,2,FALSE)</f>
        <v>Usage</v>
      </c>
      <c r="E1113" t="str">
        <f>VLOOKUP(Tabulation!$B1113,Constants!$A:$C,3,FALSE)</f>
        <v>Medium Volume</v>
      </c>
    </row>
    <row r="1114" spans="1:5">
      <c r="A1114" t="s">
        <v>558</v>
      </c>
      <c r="B1114" t="s">
        <v>52</v>
      </c>
      <c r="C1114" s="8">
        <v>0</v>
      </c>
      <c r="D1114" t="str">
        <f>VLOOKUP(Tabulation!$B1114,Constants!$A:$C,2,FALSE)</f>
        <v>Web User</v>
      </c>
      <c r="E1114" t="str">
        <f>VLOOKUP(Tabulation!$B1114,Constants!$A:$C,3,FALSE)</f>
        <v>Medium Volume</v>
      </c>
    </row>
    <row r="1115" spans="1:5">
      <c r="A1115" t="s">
        <v>558</v>
      </c>
      <c r="B1115" t="s">
        <v>54</v>
      </c>
      <c r="C1115" s="8">
        <v>0</v>
      </c>
      <c r="D1115" t="str">
        <f>VLOOKUP(Tabulation!$B1115,Constants!$A:$C,2,FALSE)</f>
        <v>Web User Account</v>
      </c>
      <c r="E1115" t="str">
        <f>VLOOKUP(Tabulation!$B1115,Constants!$A:$C,3,FALSE)</f>
        <v>Medium Volume</v>
      </c>
    </row>
    <row r="1116" spans="1:5">
      <c r="A1116" t="s">
        <v>558</v>
      </c>
      <c r="B1116" t="s">
        <v>56</v>
      </c>
      <c r="C1116" s="8">
        <v>59950</v>
      </c>
      <c r="D1116" t="str">
        <f>VLOOKUP(Tabulation!$B1116,Constants!$A:$C,2,FALSE)</f>
        <v>Account</v>
      </c>
      <c r="E1116" t="str">
        <f>VLOOKUP(Tabulation!$B1116,Constants!$A:$C,3,FALSE)</f>
        <v>Medium Volume</v>
      </c>
    </row>
    <row r="1117" spans="1:5">
      <c r="A1117" t="s">
        <v>558</v>
      </c>
      <c r="B1117" t="s">
        <v>58</v>
      </c>
      <c r="C1117" s="8">
        <v>8715478</v>
      </c>
      <c r="D1117" t="str">
        <f>VLOOKUP(Tabulation!$B1117,Constants!$A:$C,2,FALSE)</f>
        <v>Adjustment</v>
      </c>
      <c r="E1117" t="str">
        <f>VLOOKUP(Tabulation!$B1117,Constants!$A:$C,3,FALSE)</f>
        <v>Medium Volume</v>
      </c>
    </row>
    <row r="1118" spans="1:5">
      <c r="A1118" t="s">
        <v>558</v>
      </c>
      <c r="B1118" t="s">
        <v>60</v>
      </c>
      <c r="C1118" s="8">
        <v>0</v>
      </c>
      <c r="D1118" t="str">
        <f>VLOOKUP(Tabulation!$B1118,Constants!$A:$C,2,FALSE)</f>
        <v>Adjustment Staging Control</v>
      </c>
      <c r="E1118" t="str">
        <f>VLOOKUP(Tabulation!$B1118,Constants!$A:$C,3,FALSE)</f>
        <v>Medium Volume</v>
      </c>
    </row>
    <row r="1119" spans="1:5">
      <c r="A1119" t="s">
        <v>558</v>
      </c>
      <c r="B1119" t="s">
        <v>62</v>
      </c>
      <c r="C1119" s="8">
        <v>0</v>
      </c>
      <c r="D1119" t="str">
        <f>VLOOKUP(Tabulation!$B1119,Constants!$A:$C,2,FALSE)</f>
        <v>Adjustment Upload</v>
      </c>
      <c r="E1119" t="str">
        <f>VLOOKUP(Tabulation!$B1119,Constants!$A:$C,3,FALSE)</f>
        <v>Medium Volume</v>
      </c>
    </row>
    <row r="1120" spans="1:5">
      <c r="A1120" t="s">
        <v>558</v>
      </c>
      <c r="B1120" t="s">
        <v>64</v>
      </c>
      <c r="C1120" s="8">
        <v>0</v>
      </c>
      <c r="D1120" t="str">
        <f>VLOOKUP(Tabulation!$B1120,Constants!$A:$C,2,FALSE)</f>
        <v>Activity Request</v>
      </c>
      <c r="E1120" t="str">
        <f>VLOOKUP(Tabulation!$B1120,Constants!$A:$C,3,FALSE)</f>
        <v>Medium Volume</v>
      </c>
    </row>
    <row r="1121" spans="1:5">
      <c r="A1121" t="s">
        <v>558</v>
      </c>
      <c r="B1121" t="s">
        <v>66</v>
      </c>
      <c r="C1121" s="8">
        <v>2468</v>
      </c>
      <c r="D1121" t="str">
        <f>VLOOKUP(Tabulation!$B1121,Constants!$A:$C,2,FALSE)</f>
        <v>Approval Request</v>
      </c>
      <c r="E1121" t="str">
        <f>VLOOKUP(Tabulation!$B1121,Constants!$A:$C,3,FALSE)</f>
        <v>Medium Volume</v>
      </c>
    </row>
    <row r="1122" spans="1:5">
      <c r="A1122" t="s">
        <v>558</v>
      </c>
      <c r="B1122" t="s">
        <v>68</v>
      </c>
      <c r="C1122" s="8">
        <v>0</v>
      </c>
      <c r="D1122" t="str">
        <f>VLOOKUP(Tabulation!$B1122,Constants!$A:$C,2,FALSE)</f>
        <v>Audit</v>
      </c>
      <c r="E1122" t="str">
        <f>VLOOKUP(Tabulation!$B1122,Constants!$A:$C,3,FALSE)</f>
        <v>Medium Volume</v>
      </c>
    </row>
    <row r="1123" spans="1:5">
      <c r="A1123" t="s">
        <v>558</v>
      </c>
      <c r="B1123" t="s">
        <v>70</v>
      </c>
      <c r="C1123" s="8">
        <v>21</v>
      </c>
      <c r="D1123" t="str">
        <f>VLOOKUP(Tabulation!$B1123,Constants!$A:$C,2,FALSE)</f>
        <v>Balance Control Group</v>
      </c>
      <c r="E1123" t="str">
        <f>VLOOKUP(Tabulation!$B1123,Constants!$A:$C,3,FALSE)</f>
        <v>Medium Volume</v>
      </c>
    </row>
    <row r="1124" spans="1:5">
      <c r="A1124" t="s">
        <v>558</v>
      </c>
      <c r="B1124" t="s">
        <v>72</v>
      </c>
      <c r="C1124" s="8">
        <v>2928</v>
      </c>
      <c r="D1124" t="str">
        <f>VLOOKUP(Tabulation!$B1124,Constants!$A:$C,2,FALSE)</f>
        <v>Batch Job Ad-Hoc Queues</v>
      </c>
      <c r="E1124" t="str">
        <f>VLOOKUP(Tabulation!$B1124,Constants!$A:$C,3,FALSE)</f>
        <v>Medium Volume</v>
      </c>
    </row>
    <row r="1125" spans="1:5">
      <c r="A1125" t="s">
        <v>558</v>
      </c>
      <c r="B1125" t="s">
        <v>74</v>
      </c>
      <c r="C1125" s="8">
        <v>312507</v>
      </c>
      <c r="D1125" t="str">
        <f>VLOOKUP(Tabulation!$B1125,Constants!$A:$C,2,FALSE)</f>
        <v>Batch Run</v>
      </c>
      <c r="E1125" t="str">
        <f>VLOOKUP(Tabulation!$B1125,Constants!$A:$C,3,FALSE)</f>
        <v>Medium Volume</v>
      </c>
    </row>
    <row r="1126" spans="1:5">
      <c r="A1126" t="s">
        <v>558</v>
      </c>
      <c r="B1126" t="s">
        <v>76</v>
      </c>
      <c r="C1126" s="8">
        <v>0</v>
      </c>
      <c r="D1126" t="str">
        <f>VLOOKUP(Tabulation!$B1126,Constants!$A:$C,2,FALSE)</f>
        <v>Billable Charge Upload</v>
      </c>
      <c r="E1126" t="str">
        <f>VLOOKUP(Tabulation!$B1126,Constants!$A:$C,3,FALSE)</f>
        <v>Medium Volume</v>
      </c>
    </row>
    <row r="1127" spans="1:5">
      <c r="A1127" t="s">
        <v>558</v>
      </c>
      <c r="B1127" t="s">
        <v>78</v>
      </c>
      <c r="C1127" s="8">
        <v>4175472</v>
      </c>
      <c r="D1127" t="str">
        <f>VLOOKUP(Tabulation!$B1127,Constants!$A:$C,2,FALSE)</f>
        <v>Bill Header</v>
      </c>
      <c r="E1127" t="str">
        <f>VLOOKUP(Tabulation!$B1127,Constants!$A:$C,3,FALSE)</f>
        <v>Medium Volume</v>
      </c>
    </row>
    <row r="1128" spans="1:5">
      <c r="A1128" t="s">
        <v>558</v>
      </c>
      <c r="B1128" t="s">
        <v>80</v>
      </c>
      <c r="C1128" s="8">
        <v>1893</v>
      </c>
      <c r="D1128" t="str">
        <f>VLOOKUP(Tabulation!$B1128,Constants!$A:$C,2,FALSE)</f>
        <v>Billable Charge</v>
      </c>
      <c r="E1128" t="str">
        <f>VLOOKUP(Tabulation!$B1128,Constants!$A:$C,3,FALSE)</f>
        <v>Medium Volume</v>
      </c>
    </row>
    <row r="1129" spans="1:5">
      <c r="A1129" t="s">
        <v>558</v>
      </c>
      <c r="B1129" t="s">
        <v>82</v>
      </c>
      <c r="C1129" s="8">
        <v>0</v>
      </c>
      <c r="D1129" t="str">
        <f>VLOOKUP(Tabulation!$B1129,Constants!$A:$C,2,FALSE)</f>
        <v>Bill Review Schedule</v>
      </c>
      <c r="E1129" t="str">
        <f>VLOOKUP(Tabulation!$B1129,Constants!$A:$C,3,FALSE)</f>
        <v>Medium Volume</v>
      </c>
    </row>
    <row r="1130" spans="1:5">
      <c r="A1130" t="s">
        <v>558</v>
      </c>
      <c r="B1130" t="s">
        <v>84</v>
      </c>
      <c r="C1130" s="8">
        <v>0</v>
      </c>
      <c r="D1130" t="str">
        <f>VLOOKUP(Tabulation!$B1130,Constants!$A:$C,2,FALSE)</f>
        <v>Bill Print Group</v>
      </c>
      <c r="E1130" t="str">
        <f>VLOOKUP(Tabulation!$B1130,Constants!$A:$C,3,FALSE)</f>
        <v>Medium Volume</v>
      </c>
    </row>
    <row r="1131" spans="1:5">
      <c r="A1131" t="s">
        <v>558</v>
      </c>
      <c r="B1131" t="s">
        <v>86</v>
      </c>
      <c r="C1131" s="8">
        <v>12920736</v>
      </c>
      <c r="D1131" t="str">
        <f>VLOOKUP(Tabulation!$B1131,Constants!$A:$C,2,FALSE)</f>
        <v>Bill Segment</v>
      </c>
      <c r="E1131" t="str">
        <f>VLOOKUP(Tabulation!$B1131,Constants!$A:$C,3,FALSE)</f>
        <v>Medium Volume</v>
      </c>
    </row>
    <row r="1132" spans="1:5">
      <c r="A1132" t="s">
        <v>558</v>
      </c>
      <c r="B1132" t="s">
        <v>88</v>
      </c>
      <c r="C1132" s="8">
        <v>0</v>
      </c>
      <c r="D1132" t="str">
        <f>VLOOKUP(Tabulation!$B1132,Constants!$A:$C,2,FALSE)</f>
        <v>Budget Review</v>
      </c>
      <c r="E1132" t="str">
        <f>VLOOKUP(Tabulation!$B1132,Constants!$A:$C,3,FALSE)</f>
        <v>Medium Volume</v>
      </c>
    </row>
    <row r="1133" spans="1:5">
      <c r="A1133" t="s">
        <v>558</v>
      </c>
      <c r="B1133" t="s">
        <v>90</v>
      </c>
      <c r="C1133" s="8">
        <v>49</v>
      </c>
      <c r="D1133" t="str">
        <f>VLOOKUP(Tabulation!$B1133,Constants!$A:$C,2,FALSE)</f>
        <v>Case</v>
      </c>
      <c r="E1133" t="str">
        <f>VLOOKUP(Tabulation!$B1133,Constants!$A:$C,3,FALSE)</f>
        <v>Medium Volume</v>
      </c>
    </row>
    <row r="1134" spans="1:5">
      <c r="A1134" t="s">
        <v>558</v>
      </c>
      <c r="B1134" t="s">
        <v>92</v>
      </c>
      <c r="C1134" s="8">
        <v>933459</v>
      </c>
      <c r="D1134" t="str">
        <f>VLOOKUP(Tabulation!$B1134,Constants!$A:$C,2,FALSE)</f>
        <v>Customer Contact</v>
      </c>
      <c r="E1134" t="str">
        <f>VLOOKUP(Tabulation!$B1134,Constants!$A:$C,3,FALSE)</f>
        <v>Medium Volume</v>
      </c>
    </row>
    <row r="1135" spans="1:5">
      <c r="A1135" t="s">
        <v>558</v>
      </c>
      <c r="B1135" t="s">
        <v>94</v>
      </c>
      <c r="C1135" s="8">
        <v>0</v>
      </c>
      <c r="D1135" t="str">
        <f>VLOOKUP(Tabulation!$B1135,Constants!$A:$C,2,FALSE)</f>
        <v>Collection Agency Referral</v>
      </c>
      <c r="E1135" t="str">
        <f>VLOOKUP(Tabulation!$B1135,Constants!$A:$C,3,FALSE)</f>
        <v>Medium Volume</v>
      </c>
    </row>
    <row r="1136" spans="1:5">
      <c r="A1136" t="s">
        <v>558</v>
      </c>
      <c r="B1136" t="s">
        <v>96</v>
      </c>
      <c r="C1136" s="8">
        <v>19502</v>
      </c>
      <c r="D1136" t="str">
        <f>VLOOKUP(Tabulation!$B1136,Constants!$A:$C,2,FALSE)</f>
        <v>Collection Process</v>
      </c>
      <c r="E1136" t="str">
        <f>VLOOKUP(Tabulation!$B1136,Constants!$A:$C,3,FALSE)</f>
        <v>Medium Volume</v>
      </c>
    </row>
    <row r="1137" spans="1:5">
      <c r="A1137" t="s">
        <v>558</v>
      </c>
      <c r="B1137" t="s">
        <v>98</v>
      </c>
      <c r="C1137" s="8">
        <v>0</v>
      </c>
      <c r="D1137" t="str">
        <f>VLOOKUP(Tabulation!$B1137,Constants!$A:$C,2,FALSE)</f>
        <v xml:space="preserve">Contract Option  </v>
      </c>
      <c r="E1137" t="str">
        <f>VLOOKUP(Tabulation!$B1137,Constants!$A:$C,3,FALSE)</f>
        <v>Medium Volume</v>
      </c>
    </row>
    <row r="1138" spans="1:5">
      <c r="A1138" t="s">
        <v>558</v>
      </c>
      <c r="B1138" t="s">
        <v>100</v>
      </c>
      <c r="C1138" s="8">
        <v>0</v>
      </c>
      <c r="D1138" t="str">
        <f>VLOOKUP(Tabulation!$B1138,Constants!$A:$C,2,FALSE)</f>
        <v>Contract Option Event</v>
      </c>
      <c r="E1138" t="str">
        <f>VLOOKUP(Tabulation!$B1138,Constants!$A:$C,3,FALSE)</f>
        <v>Medium Volume</v>
      </c>
    </row>
    <row r="1139" spans="1:5">
      <c r="A1139" t="s">
        <v>558</v>
      </c>
      <c r="B1139" t="s">
        <v>102</v>
      </c>
      <c r="C1139" s="8">
        <v>0</v>
      </c>
      <c r="D1139" t="str">
        <f>VLOOKUP(Tabulation!$B1139,Constants!$A:$C,2,FALSE)</f>
        <v>Cut Process</v>
      </c>
      <c r="E1139" t="str">
        <f>VLOOKUP(Tabulation!$B1139,Constants!$A:$C,3,FALSE)</f>
        <v>Medium Volume</v>
      </c>
    </row>
    <row r="1140" spans="1:5">
      <c r="A1140" t="s">
        <v>558</v>
      </c>
      <c r="B1140" t="s">
        <v>104</v>
      </c>
      <c r="C1140" s="8">
        <v>0</v>
      </c>
      <c r="D1140" t="str">
        <f>VLOOKUP(Tabulation!$B1140,Constants!$A:$C,2,FALSE)</f>
        <v>Declaration</v>
      </c>
      <c r="E1140" t="str">
        <f>VLOOKUP(Tabulation!$B1140,Constants!$A:$C,3,FALSE)</f>
        <v>Medium Volume</v>
      </c>
    </row>
    <row r="1141" spans="1:5">
      <c r="A1141" t="s">
        <v>558</v>
      </c>
      <c r="B1141" t="s">
        <v>106</v>
      </c>
      <c r="C1141" s="8">
        <v>2022</v>
      </c>
      <c r="D1141" t="str">
        <f>VLOOKUP(Tabulation!$B1141,Constants!$A:$C,2,FALSE)</f>
        <v>Deposit Control</v>
      </c>
      <c r="E1141" t="str">
        <f>VLOOKUP(Tabulation!$B1141,Constants!$A:$C,3,FALSE)</f>
        <v>Medium Volume</v>
      </c>
    </row>
    <row r="1142" spans="1:5">
      <c r="A1142" t="s">
        <v>558</v>
      </c>
      <c r="B1142" t="s">
        <v>108</v>
      </c>
      <c r="C1142" s="8">
        <v>167</v>
      </c>
      <c r="D1142" t="str">
        <f>VLOOKUP(Tabulation!$B1142,Constants!$A:$C,2,FALSE)</f>
        <v>Deposit Control Staging</v>
      </c>
      <c r="E1142" t="str">
        <f>VLOOKUP(Tabulation!$B1142,Constants!$A:$C,3,FALSE)</f>
        <v>Medium Volume</v>
      </c>
    </row>
    <row r="1143" spans="1:5">
      <c r="A1143" t="s">
        <v>558</v>
      </c>
      <c r="B1143" t="s">
        <v>110</v>
      </c>
      <c r="C1143" s="8">
        <v>0</v>
      </c>
      <c r="D1143" t="str">
        <f>VLOOKUP(Tabulation!$B1143,Constants!$A:$C,2,FALSE)</f>
        <v>Deposit Review</v>
      </c>
      <c r="E1143" t="str">
        <f>VLOOKUP(Tabulation!$B1143,Constants!$A:$C,3,FALSE)</f>
        <v>Medium Volume</v>
      </c>
    </row>
    <row r="1144" spans="1:5">
      <c r="A1144" t="s">
        <v>558</v>
      </c>
      <c r="B1144" t="s">
        <v>112</v>
      </c>
      <c r="C1144" s="8">
        <v>0</v>
      </c>
      <c r="D1144" t="str">
        <f>VLOOKUP(Tabulation!$B1144,Constants!$A:$C,2,FALSE)</f>
        <v>Device Test</v>
      </c>
      <c r="E1144" t="str">
        <f>VLOOKUP(Tabulation!$B1144,Constants!$A:$C,3,FALSE)</f>
        <v>Medium Volume</v>
      </c>
    </row>
    <row r="1145" spans="1:5">
      <c r="A1145" t="s">
        <v>558</v>
      </c>
      <c r="B1145" t="s">
        <v>114</v>
      </c>
      <c r="C1145" s="8">
        <v>0</v>
      </c>
      <c r="D1145" t="str">
        <f>VLOOKUP(Tabulation!$B1145,Constants!$A:$C,2,FALSE)</f>
        <v>Device Test Selection</v>
      </c>
      <c r="E1145" t="str">
        <f>VLOOKUP(Tabulation!$B1145,Constants!$A:$C,3,FALSE)</f>
        <v>Medium Volume</v>
      </c>
    </row>
    <row r="1146" spans="1:5">
      <c r="A1146" t="s">
        <v>558</v>
      </c>
      <c r="B1146" t="s">
        <v>116</v>
      </c>
      <c r="C1146" s="8">
        <v>0</v>
      </c>
      <c r="D1146" t="str">
        <f>VLOOKUP(Tabulation!$B1146,Constants!$A:$C,2,FALSE)</f>
        <v>Order</v>
      </c>
      <c r="E1146" t="str">
        <f>VLOOKUP(Tabulation!$B1146,Constants!$A:$C,3,FALSE)</f>
        <v>Medium Volume</v>
      </c>
    </row>
    <row r="1147" spans="1:5">
      <c r="A1147" t="s">
        <v>558</v>
      </c>
      <c r="B1147" t="s">
        <v>118</v>
      </c>
      <c r="C1147" s="8">
        <v>26866</v>
      </c>
      <c r="D1147" t="str">
        <f>VLOOKUP(Tabulation!$B1147,Constants!$A:$C,2,FALSE)</f>
        <v>Field Activity</v>
      </c>
      <c r="E1147" t="str">
        <f>VLOOKUP(Tabulation!$B1147,Constants!$A:$C,3,FALSE)</f>
        <v>Medium Volume</v>
      </c>
    </row>
    <row r="1148" spans="1:5">
      <c r="A1148" t="s">
        <v>558</v>
      </c>
      <c r="B1148" t="s">
        <v>120</v>
      </c>
      <c r="C1148" s="8">
        <v>0</v>
      </c>
      <c r="D1148" t="str">
        <f>VLOOKUP(Tabulation!$B1148,Constants!$A:$C,2,FALSE)</f>
        <v>FA Upload Staging</v>
      </c>
      <c r="E1148" t="str">
        <f>VLOOKUP(Tabulation!$B1148,Constants!$A:$C,3,FALSE)</f>
        <v>Medium Volume</v>
      </c>
    </row>
    <row r="1149" spans="1:5">
      <c r="A1149" t="s">
        <v>558</v>
      </c>
      <c r="B1149" t="s">
        <v>122</v>
      </c>
      <c r="C1149" s="8">
        <v>0</v>
      </c>
      <c r="D1149" t="str">
        <f>VLOOKUP(Tabulation!$B1149,Constants!$A:$C,2,FALSE)</f>
        <v>Field Order</v>
      </c>
      <c r="E1149" t="str">
        <f>VLOOKUP(Tabulation!$B1149,Constants!$A:$C,3,FALSE)</f>
        <v>Medium Volume</v>
      </c>
    </row>
    <row r="1150" spans="1:5">
      <c r="A1150" t="s">
        <v>558</v>
      </c>
      <c r="B1150" t="s">
        <v>124</v>
      </c>
      <c r="C1150" s="8">
        <v>0</v>
      </c>
      <c r="D1150" t="str">
        <f>VLOOKUP(Tabulation!$B1150,Constants!$A:$C,2,FALSE)</f>
        <v>Field Order Download Staging</v>
      </c>
      <c r="E1150" t="str">
        <f>VLOOKUP(Tabulation!$B1150,Constants!$A:$C,3,FALSE)</f>
        <v>Medium Volume</v>
      </c>
    </row>
    <row r="1151" spans="1:5">
      <c r="A1151" t="s">
        <v>558</v>
      </c>
      <c r="B1151" t="s">
        <v>126</v>
      </c>
      <c r="C1151" s="8">
        <v>29847799</v>
      </c>
      <c r="D1151" t="str">
        <f>VLOOKUP(Tabulation!$B1151,Constants!$A:$C,2,FALSE)</f>
        <v>Financial Transaction</v>
      </c>
      <c r="E1151" t="str">
        <f>VLOOKUP(Tabulation!$B1151,Constants!$A:$C,3,FALSE)</f>
        <v>Medium Volume</v>
      </c>
    </row>
    <row r="1152" spans="1:5">
      <c r="A1152" t="s">
        <v>558</v>
      </c>
      <c r="B1152" t="s">
        <v>128</v>
      </c>
      <c r="C1152" s="8">
        <v>0</v>
      </c>
      <c r="D1152" t="str">
        <f>VLOOKUP(Tabulation!$B1152,Constants!$A:$C,2,FALSE)</f>
        <v>Interval Data Set</v>
      </c>
      <c r="E1152" t="str">
        <f>VLOOKUP(Tabulation!$B1152,Constants!$A:$C,3,FALSE)</f>
        <v>Medium Volume</v>
      </c>
    </row>
    <row r="1153" spans="1:5">
      <c r="A1153" t="s">
        <v>558</v>
      </c>
      <c r="B1153" t="s">
        <v>130</v>
      </c>
      <c r="C1153" s="8">
        <v>0</v>
      </c>
      <c r="D1153" t="str">
        <f>VLOOKUP(Tabulation!$B1153,Constants!$A:$C,2,FALSE)</f>
        <v>Interval Data Profile</v>
      </c>
      <c r="E1153" t="str">
        <f>VLOOKUP(Tabulation!$B1153,Constants!$A:$C,3,FALSE)</f>
        <v>Medium Volume</v>
      </c>
    </row>
    <row r="1154" spans="1:5">
      <c r="A1154" t="s">
        <v>558</v>
      </c>
      <c r="B1154" t="s">
        <v>132</v>
      </c>
      <c r="C1154" s="8">
        <v>0</v>
      </c>
      <c r="D1154" t="str">
        <f>VLOOKUP(Tabulation!$B1154,Constants!$A:$C,2,FALSE)</f>
        <v>Interval Value Set</v>
      </c>
      <c r="E1154" t="str">
        <f>VLOOKUP(Tabulation!$B1154,Constants!$A:$C,3,FALSE)</f>
        <v>Medium Volume</v>
      </c>
    </row>
    <row r="1155" spans="1:5">
      <c r="A1155" t="s">
        <v>558</v>
      </c>
      <c r="B1155" t="s">
        <v>134</v>
      </c>
      <c r="C1155" s="8">
        <v>0</v>
      </c>
      <c r="D1155" t="str">
        <f>VLOOKUP(Tabulation!$B1155,Constants!$A:$C,2,FALSE)</f>
        <v>Item</v>
      </c>
      <c r="E1155" t="str">
        <f>VLOOKUP(Tabulation!$B1155,Constants!$A:$C,3,FALSE)</f>
        <v>Medium Volume</v>
      </c>
    </row>
    <row r="1156" spans="1:5">
      <c r="A1156" t="s">
        <v>558</v>
      </c>
      <c r="B1156" t="s">
        <v>136</v>
      </c>
      <c r="C1156" s="8">
        <v>0</v>
      </c>
      <c r="D1156" t="str">
        <f>VLOOKUP(Tabulation!$B1156,Constants!$A:$C,2,FALSE)</f>
        <v>Item Type SQ Estimate</v>
      </c>
      <c r="E1156" t="str">
        <f>VLOOKUP(Tabulation!$B1156,Constants!$A:$C,3,FALSE)</f>
        <v>Medium Volume</v>
      </c>
    </row>
    <row r="1157" spans="1:5">
      <c r="A1157" t="s">
        <v>558</v>
      </c>
      <c r="B1157" t="s">
        <v>138</v>
      </c>
      <c r="C1157" s="8">
        <v>0</v>
      </c>
      <c r="D1157" t="str">
        <f>VLOOKUP(Tabulation!$B1157,Constants!$A:$C,2,FALSE)</f>
        <v>Landlord Agreement</v>
      </c>
      <c r="E1157" t="str">
        <f>VLOOKUP(Tabulation!$B1157,Constants!$A:$C,3,FALSE)</f>
        <v>Medium Volume</v>
      </c>
    </row>
    <row r="1158" spans="1:5">
      <c r="A1158" t="s">
        <v>558</v>
      </c>
      <c r="B1158" t="s">
        <v>140</v>
      </c>
      <c r="C1158" s="8">
        <v>0</v>
      </c>
      <c r="D1158" t="str">
        <f>VLOOKUP(Tabulation!$B1158,Constants!$A:$C,2,FALSE)</f>
        <v>Match Event</v>
      </c>
      <c r="E1158" t="str">
        <f>VLOOKUP(Tabulation!$B1158,Constants!$A:$C,3,FALSE)</f>
        <v>Medium Volume</v>
      </c>
    </row>
    <row r="1159" spans="1:5">
      <c r="A1159" t="s">
        <v>558</v>
      </c>
      <c r="B1159" t="s">
        <v>142</v>
      </c>
      <c r="C1159" s="8">
        <v>0</v>
      </c>
      <c r="D1159" t="str">
        <f>VLOOKUP(Tabulation!$B1159,Constants!$A:$C,2,FALSE)</f>
        <v>Meter Read</v>
      </c>
      <c r="E1159" t="str">
        <f>VLOOKUP(Tabulation!$B1159,Constants!$A:$C,3,FALSE)</f>
        <v>Medium Volume</v>
      </c>
    </row>
    <row r="1160" spans="1:5">
      <c r="A1160" t="s">
        <v>558</v>
      </c>
      <c r="B1160" t="s">
        <v>144</v>
      </c>
      <c r="C1160" s="8">
        <v>0</v>
      </c>
      <c r="D1160" t="str">
        <f>VLOOKUP(Tabulation!$B1160,Constants!$A:$C,2,FALSE)</f>
        <v>Meter Read Download Staging</v>
      </c>
      <c r="E1160" t="str">
        <f>VLOOKUP(Tabulation!$B1160,Constants!$A:$C,3,FALSE)</f>
        <v>Medium Volume</v>
      </c>
    </row>
    <row r="1161" spans="1:5">
      <c r="A1161" t="s">
        <v>558</v>
      </c>
      <c r="B1161" t="s">
        <v>146</v>
      </c>
      <c r="C1161" s="8">
        <v>0</v>
      </c>
      <c r="D1161" t="str">
        <f>VLOOKUP(Tabulation!$B1161,Constants!$A:$C,2,FALSE)</f>
        <v>Meter Read Upload Staging</v>
      </c>
      <c r="E1161" t="str">
        <f>VLOOKUP(Tabulation!$B1161,Constants!$A:$C,3,FALSE)</f>
        <v>Medium Volume</v>
      </c>
    </row>
    <row r="1162" spans="1:5">
      <c r="A1162" t="s">
        <v>558</v>
      </c>
      <c r="B1162" t="s">
        <v>148</v>
      </c>
      <c r="C1162" s="8">
        <v>916103</v>
      </c>
      <c r="D1162" t="str">
        <f>VLOOKUP(Tabulation!$B1162,Constants!$A:$C,2,FALSE)</f>
        <v>Message Log</v>
      </c>
      <c r="E1162" t="str">
        <f>VLOOKUP(Tabulation!$B1162,Constants!$A:$C,3,FALSE)</f>
        <v>Medium Volume</v>
      </c>
    </row>
    <row r="1163" spans="1:5">
      <c r="A1163" t="s">
        <v>558</v>
      </c>
      <c r="B1163" t="s">
        <v>150</v>
      </c>
      <c r="C1163" s="8">
        <v>0</v>
      </c>
      <c r="D1163" t="str">
        <f>VLOOKUP(Tabulation!$B1163,Constants!$A:$C,2,FALSE)</f>
        <v>Meter</v>
      </c>
      <c r="E1163" t="str">
        <f>VLOOKUP(Tabulation!$B1163,Constants!$A:$C,3,FALSE)</f>
        <v>Medium Volume</v>
      </c>
    </row>
    <row r="1164" spans="1:5">
      <c r="A1164" t="s">
        <v>558</v>
      </c>
      <c r="B1164" t="s">
        <v>152</v>
      </c>
      <c r="C1164" s="8">
        <v>0</v>
      </c>
      <c r="D1164" t="str">
        <f>VLOOKUP(Tabulation!$B1164,Constants!$A:$C,2,FALSE)</f>
        <v>Meter Configuration</v>
      </c>
      <c r="E1164" t="str">
        <f>VLOOKUP(Tabulation!$B1164,Constants!$A:$C,3,FALSE)</f>
        <v>Medium Volume</v>
      </c>
    </row>
    <row r="1165" spans="1:5">
      <c r="A1165" t="s">
        <v>558</v>
      </c>
      <c r="B1165" t="s">
        <v>154</v>
      </c>
      <c r="C1165" s="8">
        <v>0</v>
      </c>
      <c r="D1165" t="str">
        <f>VLOOKUP(Tabulation!$B1165,Constants!$A:$C,2,FALSE)</f>
        <v>Notification Download Staging</v>
      </c>
      <c r="E1165" t="str">
        <f>VLOOKUP(Tabulation!$B1165,Constants!$A:$C,3,FALSE)</f>
        <v>Medium Volume</v>
      </c>
    </row>
    <row r="1166" spans="1:5">
      <c r="A1166" t="s">
        <v>558</v>
      </c>
      <c r="B1166" t="s">
        <v>156</v>
      </c>
      <c r="C1166" s="8">
        <v>0</v>
      </c>
      <c r="D1166" t="str">
        <f>VLOOKUP(Tabulation!$B1166,Constants!$A:$C,2,FALSE)</f>
        <v>Notification Upload Staging</v>
      </c>
      <c r="E1166" t="str">
        <f>VLOOKUP(Tabulation!$B1166,Constants!$A:$C,3,FALSE)</f>
        <v>Medium Volume</v>
      </c>
    </row>
    <row r="1167" spans="1:5">
      <c r="A1167" t="s">
        <v>558</v>
      </c>
      <c r="B1167" t="s">
        <v>158</v>
      </c>
      <c r="C1167" s="8">
        <v>0</v>
      </c>
      <c r="D1167" t="str">
        <f>VLOOKUP(Tabulation!$B1167,Constants!$A:$C,2,FALSE)</f>
        <v>NT Upload Staging Extension Sample</v>
      </c>
      <c r="E1167" t="str">
        <f>VLOOKUP(Tabulation!$B1167,Constants!$A:$C,3,FALSE)</f>
        <v>Medium Volume</v>
      </c>
    </row>
    <row r="1168" spans="1:5">
      <c r="A1168" t="s">
        <v>558</v>
      </c>
      <c r="B1168" t="s">
        <v>160</v>
      </c>
      <c r="C1168" s="8">
        <v>0</v>
      </c>
      <c r="D1168" t="str">
        <f>VLOOKUP(Tabulation!$B1168,Constants!$A:$C,2,FALSE)</f>
        <v>Overdue Process</v>
      </c>
      <c r="E1168" t="str">
        <f>VLOOKUP(Tabulation!$B1168,Constants!$A:$C,3,FALSE)</f>
        <v>Medium Volume</v>
      </c>
    </row>
    <row r="1169" spans="1:5">
      <c r="A1169" t="s">
        <v>558</v>
      </c>
      <c r="B1169" t="s">
        <v>162</v>
      </c>
      <c r="C1169" s="8">
        <v>2731089</v>
      </c>
      <c r="D1169" t="str">
        <f>VLOOKUP(Tabulation!$B1169,Constants!$A:$C,2,FALSE)</f>
        <v>Payment Header</v>
      </c>
      <c r="E1169" t="str">
        <f>VLOOKUP(Tabulation!$B1169,Constants!$A:$C,3,FALSE)</f>
        <v>Medium Volume</v>
      </c>
    </row>
    <row r="1170" spans="1:5">
      <c r="A1170" t="s">
        <v>558</v>
      </c>
      <c r="B1170" t="s">
        <v>164</v>
      </c>
      <c r="C1170" s="8">
        <v>2729439</v>
      </c>
      <c r="D1170" t="str">
        <f>VLOOKUP(Tabulation!$B1170,Constants!$A:$C,2,FALSE)</f>
        <v>Payment Event</v>
      </c>
      <c r="E1170" t="str">
        <f>VLOOKUP(Tabulation!$B1170,Constants!$A:$C,3,FALSE)</f>
        <v>Medium Volume</v>
      </c>
    </row>
    <row r="1171" spans="1:5">
      <c r="A1171" t="s">
        <v>558</v>
      </c>
      <c r="B1171" t="s">
        <v>166</v>
      </c>
      <c r="C1171" s="8">
        <v>32519</v>
      </c>
      <c r="D1171" t="str">
        <f>VLOOKUP(Tabulation!$B1171,Constants!$A:$C,2,FALSE)</f>
        <v>Payment Tender Staging</v>
      </c>
      <c r="E1171" t="str">
        <f>VLOOKUP(Tabulation!$B1171,Constants!$A:$C,3,FALSE)</f>
        <v>Medium Volume</v>
      </c>
    </row>
    <row r="1172" spans="1:5">
      <c r="A1172" t="s">
        <v>558</v>
      </c>
      <c r="B1172" t="s">
        <v>168</v>
      </c>
      <c r="C1172" s="8">
        <v>58435</v>
      </c>
      <c r="D1172" t="str">
        <f>VLOOKUP(Tabulation!$B1172,Constants!$A:$C,2,FALSE)</f>
        <v>Person</v>
      </c>
      <c r="E1172" t="str">
        <f>VLOOKUP(Tabulation!$B1172,Constants!$A:$C,3,FALSE)</f>
        <v>Medium Volume</v>
      </c>
    </row>
    <row r="1173" spans="1:5">
      <c r="A1173" t="s">
        <v>558</v>
      </c>
      <c r="B1173" t="s">
        <v>170</v>
      </c>
      <c r="C1173" s="8">
        <v>0</v>
      </c>
      <c r="D1173" t="str">
        <f>VLOOKUP(Tabulation!$B1173,Constants!$A:$C,2,FALSE)</f>
        <v>Payment Event Upload Staging</v>
      </c>
      <c r="E1173" t="str">
        <f>VLOOKUP(Tabulation!$B1173,Constants!$A:$C,3,FALSE)</f>
        <v>Medium Volume</v>
      </c>
    </row>
    <row r="1174" spans="1:5">
      <c r="A1174" t="s">
        <v>558</v>
      </c>
      <c r="B1174" t="s">
        <v>172</v>
      </c>
      <c r="C1174" s="8">
        <v>7</v>
      </c>
      <c r="D1174" t="str">
        <f>VLOOKUP(Tabulation!$B1174,Constants!$A:$C,2,FALSE)</f>
        <v>Pay Plan</v>
      </c>
      <c r="E1174" t="str">
        <f>VLOOKUP(Tabulation!$B1174,Constants!$A:$C,3,FALSE)</f>
        <v>Medium Volume</v>
      </c>
    </row>
    <row r="1175" spans="1:5">
      <c r="A1175" t="s">
        <v>558</v>
      </c>
      <c r="B1175" t="s">
        <v>174</v>
      </c>
      <c r="C1175" s="8">
        <v>49890</v>
      </c>
      <c r="D1175" t="str">
        <f>VLOOKUP(Tabulation!$B1175,Constants!$A:$C,2,FALSE)</f>
        <v>Premise</v>
      </c>
      <c r="E1175" t="str">
        <f>VLOOKUP(Tabulation!$B1175,Constants!$A:$C,3,FALSE)</f>
        <v>Medium Volume</v>
      </c>
    </row>
    <row r="1176" spans="1:5">
      <c r="A1176" t="s">
        <v>558</v>
      </c>
      <c r="B1176" t="s">
        <v>176</v>
      </c>
      <c r="C1176" s="8">
        <v>0</v>
      </c>
      <c r="D1176" t="str">
        <f>VLOOKUP(Tabulation!$B1176,Constants!$A:$C,2,FALSE)</f>
        <v>Quote</v>
      </c>
      <c r="E1176" t="str">
        <f>VLOOKUP(Tabulation!$B1176,Constants!$A:$C,3,FALSE)</f>
        <v>Medium Volume</v>
      </c>
    </row>
    <row r="1177" spans="1:5">
      <c r="A1177" t="s">
        <v>558</v>
      </c>
      <c r="B1177" t="s">
        <v>178</v>
      </c>
      <c r="C1177" s="8">
        <v>0</v>
      </c>
      <c r="D1177" t="str">
        <f>VLOOKUP(Tabulation!$B1177,Constants!$A:$C,2,FALSE)</f>
        <v>Rebate Claim</v>
      </c>
      <c r="E1177" t="str">
        <f>VLOOKUP(Tabulation!$B1177,Constants!$A:$C,3,FALSE)</f>
        <v>Medium Volume</v>
      </c>
    </row>
    <row r="1178" spans="1:5">
      <c r="A1178" t="s">
        <v>558</v>
      </c>
      <c r="B1178" t="s">
        <v>180</v>
      </c>
      <c r="C1178" s="8">
        <v>0</v>
      </c>
      <c r="D1178" t="str">
        <f>VLOOKUP(Tabulation!$B1178,Constants!$A:$C,2,FALSE)</f>
        <v>Rebate Claim Line</v>
      </c>
      <c r="E1178" t="str">
        <f>VLOOKUP(Tabulation!$B1178,Constants!$A:$C,3,FALSE)</f>
        <v>Medium Volume</v>
      </c>
    </row>
    <row r="1179" spans="1:5">
      <c r="A1179" t="s">
        <v>558</v>
      </c>
      <c r="B1179" t="s">
        <v>182</v>
      </c>
      <c r="C1179" s="8">
        <v>0</v>
      </c>
      <c r="D1179" t="str">
        <f>VLOOKUP(Tabulation!$B1179,Constants!$A:$C,2,FALSE)</f>
        <v>Interval Register Data Set</v>
      </c>
      <c r="E1179" t="str">
        <f>VLOOKUP(Tabulation!$B1179,Constants!$A:$C,3,FALSE)</f>
        <v>Medium Volume</v>
      </c>
    </row>
    <row r="1180" spans="1:5">
      <c r="A1180" t="s">
        <v>558</v>
      </c>
      <c r="B1180" t="s">
        <v>184</v>
      </c>
      <c r="C1180" s="8">
        <v>194102</v>
      </c>
      <c r="D1180" t="str">
        <f>VLOOKUP(Tabulation!$B1180,Constants!$A:$C,2,FALSE)</f>
        <v>SA (Service Agreement)</v>
      </c>
      <c r="E1180" t="str">
        <f>VLOOKUP(Tabulation!$B1180,Constants!$A:$C,3,FALSE)</f>
        <v>Medium Volume</v>
      </c>
    </row>
    <row r="1181" spans="1:5">
      <c r="A1181" t="s">
        <v>558</v>
      </c>
      <c r="B1181" t="s">
        <v>186</v>
      </c>
      <c r="C1181" s="8">
        <v>0</v>
      </c>
      <c r="D1181" t="str">
        <f>VLOOKUP(Tabulation!$B1181,Constants!$A:$C,2,FALSE)</f>
        <v>SA Relationship</v>
      </c>
      <c r="E1181" t="str">
        <f>VLOOKUP(Tabulation!$B1181,Constants!$A:$C,3,FALSE)</f>
        <v>Medium Volume</v>
      </c>
    </row>
    <row r="1182" spans="1:5">
      <c r="A1182" t="s">
        <v>558</v>
      </c>
      <c r="B1182" t="s">
        <v>188</v>
      </c>
      <c r="C1182" s="8">
        <v>0</v>
      </c>
      <c r="D1182" t="str">
        <f>VLOOKUP(Tabulation!$B1182,Constants!$A:$C,2,FALSE)</f>
        <v>Service Credit Membership</v>
      </c>
      <c r="E1182" t="str">
        <f>VLOOKUP(Tabulation!$B1182,Constants!$A:$C,3,FALSE)</f>
        <v>Medium Volume</v>
      </c>
    </row>
    <row r="1183" spans="1:5">
      <c r="A1183" t="s">
        <v>558</v>
      </c>
      <c r="B1183" t="s">
        <v>190</v>
      </c>
      <c r="C1183" s="8">
        <v>0</v>
      </c>
      <c r="D1183" t="str">
        <f>VLOOKUP(Tabulation!$B1183,Constants!$A:$C,2,FALSE)</f>
        <v>Service Credit Event</v>
      </c>
      <c r="E1183" t="str">
        <f>VLOOKUP(Tabulation!$B1183,Constants!$A:$C,3,FALSE)</f>
        <v>Medium Volume</v>
      </c>
    </row>
    <row r="1184" spans="1:5">
      <c r="A1184" t="s">
        <v>558</v>
      </c>
      <c r="B1184" t="s">
        <v>192</v>
      </c>
      <c r="C1184" s="8">
        <v>30490</v>
      </c>
      <c r="D1184" t="str">
        <f>VLOOKUP(Tabulation!$B1184,Constants!$A:$C,2,FALSE)</f>
        <v>Severance Process</v>
      </c>
      <c r="E1184" t="str">
        <f>VLOOKUP(Tabulation!$B1184,Constants!$A:$C,3,FALSE)</f>
        <v>Medium Volume</v>
      </c>
    </row>
    <row r="1185" spans="1:5">
      <c r="A1185" t="s">
        <v>558</v>
      </c>
      <c r="B1185" t="s">
        <v>194</v>
      </c>
      <c r="C1185" s="8">
        <v>44699</v>
      </c>
      <c r="D1185" t="str">
        <f>VLOOKUP(Tabulation!$B1185,Constants!$A:$C,2,FALSE)</f>
        <v>Service Point - CCB</v>
      </c>
      <c r="E1185" t="str">
        <f>VLOOKUP(Tabulation!$B1185,Constants!$A:$C,3,FALSE)</f>
        <v>Medium Volume</v>
      </c>
    </row>
    <row r="1186" spans="1:5">
      <c r="A1186" t="s">
        <v>558</v>
      </c>
      <c r="B1186" t="s">
        <v>199</v>
      </c>
      <c r="C1186" s="8">
        <v>0</v>
      </c>
      <c r="D1186" t="str">
        <f>VLOOKUP(Tabulation!$B1186,Constants!$A:$C,2,FALSE)</f>
        <v>SP Item History</v>
      </c>
      <c r="E1186" t="str">
        <f>VLOOKUP(Tabulation!$B1186,Constants!$A:$C,3,FALSE)</f>
        <v>Medium Volume</v>
      </c>
    </row>
    <row r="1187" spans="1:5">
      <c r="A1187" t="s">
        <v>558</v>
      </c>
      <c r="B1187" t="s">
        <v>201</v>
      </c>
      <c r="C1187" s="8">
        <v>0</v>
      </c>
      <c r="D1187" t="str">
        <f>VLOOKUP(Tabulation!$B1187,Constants!$A:$C,2,FALSE)</f>
        <v>SP/Meter History</v>
      </c>
      <c r="E1187" t="str">
        <f>VLOOKUP(Tabulation!$B1187,Constants!$A:$C,3,FALSE)</f>
        <v>Medium Volume</v>
      </c>
    </row>
    <row r="1188" spans="1:5">
      <c r="A1188" t="s">
        <v>558</v>
      </c>
      <c r="B1188" t="s">
        <v>203</v>
      </c>
      <c r="C1188" s="8">
        <v>0</v>
      </c>
      <c r="D1188" t="str">
        <f>VLOOKUP(Tabulation!$B1188,Constants!$A:$C,2,FALSE)</f>
        <v>Stock Location</v>
      </c>
      <c r="E1188" t="str">
        <f>VLOOKUP(Tabulation!$B1188,Constants!$A:$C,3,FALSE)</f>
        <v>Medium Volume</v>
      </c>
    </row>
    <row r="1189" spans="1:5">
      <c r="A1189" t="s">
        <v>558</v>
      </c>
      <c r="B1189" t="s">
        <v>205</v>
      </c>
      <c r="C1189" s="8">
        <v>0</v>
      </c>
      <c r="D1189" t="str">
        <f>VLOOKUP(Tabulation!$B1189,Constants!$A:$C,2,FALSE)</f>
        <v>Statement</v>
      </c>
      <c r="E1189" t="str">
        <f>VLOOKUP(Tabulation!$B1189,Constants!$A:$C,3,FALSE)</f>
        <v>Medium Volume</v>
      </c>
    </row>
    <row r="1190" spans="1:5">
      <c r="A1190" t="s">
        <v>558</v>
      </c>
      <c r="B1190" t="s">
        <v>207</v>
      </c>
      <c r="C1190" s="8">
        <v>0</v>
      </c>
      <c r="D1190" t="str">
        <f>VLOOKUP(Tabulation!$B1190,Constants!$A:$C,2,FALSE)</f>
        <v>Statement Construct</v>
      </c>
      <c r="E1190" t="str">
        <f>VLOOKUP(Tabulation!$B1190,Constants!$A:$C,3,FALSE)</f>
        <v>Medium Volume</v>
      </c>
    </row>
    <row r="1191" spans="1:5">
      <c r="A1191" t="s">
        <v>558</v>
      </c>
      <c r="B1191" t="s">
        <v>209</v>
      </c>
      <c r="C1191" s="8">
        <v>0</v>
      </c>
      <c r="D1191" t="str">
        <f>VLOOKUP(Tabulation!$B1191,Constants!$A:$C,2,FALSE)</f>
        <v>Service Route Download Staging</v>
      </c>
      <c r="E1191" t="str">
        <f>VLOOKUP(Tabulation!$B1191,Constants!$A:$C,3,FALSE)</f>
        <v>Medium Volume</v>
      </c>
    </row>
    <row r="1192" spans="1:5">
      <c r="A1192" t="s">
        <v>558</v>
      </c>
      <c r="B1192" t="s">
        <v>211</v>
      </c>
      <c r="C1192" s="8">
        <v>5095769</v>
      </c>
      <c r="D1192" t="str">
        <f>VLOOKUP(Tabulation!$B1192,Constants!$A:$C,2,FALSE)</f>
        <v>To Do Entry</v>
      </c>
      <c r="E1192" t="str">
        <f>VLOOKUP(Tabulation!$B1192,Constants!$A:$C,3,FALSE)</f>
        <v>Medium Volume</v>
      </c>
    </row>
    <row r="1193" spans="1:5">
      <c r="A1193" t="s">
        <v>558</v>
      </c>
      <c r="B1193" t="s">
        <v>213</v>
      </c>
      <c r="C1193" s="8">
        <v>4042</v>
      </c>
      <c r="D1193" t="str">
        <f>VLOOKUP(Tabulation!$B1193,Constants!$A:$C,2,FALSE)</f>
        <v>Tender Control</v>
      </c>
      <c r="E1193" t="str">
        <f>VLOOKUP(Tabulation!$B1193,Constants!$A:$C,3,FALSE)</f>
        <v>Medium Volume</v>
      </c>
    </row>
    <row r="1194" spans="1:5">
      <c r="A1194" t="s">
        <v>558</v>
      </c>
      <c r="B1194" t="s">
        <v>215</v>
      </c>
      <c r="C1194" s="8">
        <v>0</v>
      </c>
      <c r="D1194" t="str">
        <f>VLOOKUP(Tabulation!$B1194,Constants!$A:$C,2,FALSE)</f>
        <v>Terms of Service</v>
      </c>
      <c r="E1194" t="str">
        <f>VLOOKUP(Tabulation!$B1194,Constants!$A:$C,3,FALSE)</f>
        <v>Medium Volume</v>
      </c>
    </row>
    <row r="1195" spans="1:5">
      <c r="A1195" t="s">
        <v>558</v>
      </c>
      <c r="B1195" t="s">
        <v>217</v>
      </c>
      <c r="C1195" s="8">
        <v>0</v>
      </c>
      <c r="D1195" t="str">
        <f>VLOOKUP(Tabulation!$B1195,Constants!$A:$C,2,FALSE)</f>
        <v>TOU Data Set</v>
      </c>
      <c r="E1195" t="str">
        <f>VLOOKUP(Tabulation!$B1195,Constants!$A:$C,3,FALSE)</f>
        <v>Medium Volume</v>
      </c>
    </row>
    <row r="1196" spans="1:5">
      <c r="A1196" t="s">
        <v>558</v>
      </c>
      <c r="B1196" t="s">
        <v>219</v>
      </c>
      <c r="C1196" s="8">
        <v>0</v>
      </c>
      <c r="D1196" t="str">
        <f>VLOOKUP(Tabulation!$B1196,Constants!$A:$C,2,FALSE)</f>
        <v>Time Of Use Map Classic</v>
      </c>
      <c r="E1196" t="str">
        <f>VLOOKUP(Tabulation!$B1196,Constants!$A:$C,3,FALSE)</f>
        <v>Medium Volume</v>
      </c>
    </row>
    <row r="1197" spans="1:5">
      <c r="A1197" t="s">
        <v>558</v>
      </c>
      <c r="B1197" t="s">
        <v>221</v>
      </c>
      <c r="C1197" s="8">
        <v>0</v>
      </c>
      <c r="D1197" t="str">
        <f>VLOOKUP(Tabulation!$B1197,Constants!$A:$C,2,FALSE)</f>
        <v>Trend</v>
      </c>
      <c r="E1197" t="str">
        <f>VLOOKUP(Tabulation!$B1197,Constants!$A:$C,3,FALSE)</f>
        <v>Medium Volume</v>
      </c>
    </row>
    <row r="1198" spans="1:5">
      <c r="A1198" t="s">
        <v>558</v>
      </c>
      <c r="B1198" t="s">
        <v>223</v>
      </c>
      <c r="C1198" s="8">
        <v>0</v>
      </c>
      <c r="D1198" t="str">
        <f>VLOOKUP(Tabulation!$B1198,Constants!$A:$C,2,FALSE)</f>
        <v>Umbrella Agreement</v>
      </c>
      <c r="E1198" t="str">
        <f>VLOOKUP(Tabulation!$B1198,Constants!$A:$C,3,FALSE)</f>
        <v>Medium Volume</v>
      </c>
    </row>
    <row r="1199" spans="1:5">
      <c r="A1199" t="s">
        <v>558</v>
      </c>
      <c r="B1199" t="s">
        <v>225</v>
      </c>
      <c r="C1199" s="8">
        <v>567</v>
      </c>
      <c r="D1199" t="str">
        <f>VLOOKUP(Tabulation!$B1199,Constants!$A:$C,2,FALSE)</f>
        <v>Validation Error</v>
      </c>
      <c r="E1199" t="str">
        <f>VLOOKUP(Tabulation!$B1199,Constants!$A:$C,3,FALSE)</f>
        <v>Medium Volume</v>
      </c>
    </row>
    <row r="1200" spans="1:5">
      <c r="A1200" t="s">
        <v>558</v>
      </c>
      <c r="B1200" t="s">
        <v>227</v>
      </c>
      <c r="C1200" s="8">
        <v>0</v>
      </c>
      <c r="D1200" t="str">
        <f>VLOOKUP(Tabulation!$B1200,Constants!$A:$C,2,FALSE)</f>
        <v>Validation Error Foreign Keys</v>
      </c>
      <c r="E1200" t="str">
        <f>VLOOKUP(Tabulation!$B1200,Constants!$A:$C,3,FALSE)</f>
        <v>Medium Volume</v>
      </c>
    </row>
    <row r="1201" spans="1:5">
      <c r="A1201" t="s">
        <v>558</v>
      </c>
      <c r="B1201" t="s">
        <v>229</v>
      </c>
      <c r="C1201" s="8">
        <v>0</v>
      </c>
      <c r="D1201" t="str">
        <f>VLOOKUP(Tabulation!$B1201,Constants!$A:$C,2,FALSE)</f>
        <v>WF Process</v>
      </c>
      <c r="E1201" t="str">
        <f>VLOOKUP(Tabulation!$B1201,Constants!$A:$C,3,FALSE)</f>
        <v>Medium Volume</v>
      </c>
    </row>
    <row r="1202" spans="1:5">
      <c r="A1202" t="s">
        <v>558</v>
      </c>
      <c r="B1202" t="s">
        <v>231</v>
      </c>
      <c r="C1202" s="8">
        <v>0</v>
      </c>
      <c r="D1202" t="str">
        <f>VLOOKUP(Tabulation!$B1202,Constants!$A:$C,2,FALSE)</f>
        <v>Write Off Process</v>
      </c>
      <c r="E1202" t="str">
        <f>VLOOKUP(Tabulation!$B1202,Constants!$A:$C,3,FALSE)</f>
        <v>Medium Volume</v>
      </c>
    </row>
    <row r="1203" spans="1:5">
      <c r="A1203" t="s">
        <v>558</v>
      </c>
      <c r="B1203" t="s">
        <v>233</v>
      </c>
      <c r="C1203" s="8">
        <v>0</v>
      </c>
      <c r="D1203" t="str">
        <f>VLOOKUP(Tabulation!$B1203,Constants!$A:$C,2,FALSE)</f>
        <v>XAI Download</v>
      </c>
      <c r="E1203" t="str">
        <f>VLOOKUP(Tabulation!$B1203,Constants!$A:$C,3,FALSE)</f>
        <v>Medium Volume</v>
      </c>
    </row>
    <row r="1204" spans="1:5">
      <c r="A1204" t="s">
        <v>558</v>
      </c>
      <c r="B1204" t="s">
        <v>235</v>
      </c>
      <c r="C1204" s="8">
        <v>0</v>
      </c>
      <c r="D1204" t="str">
        <f>VLOOKUP(Tabulation!$B1204,Constants!$A:$C,2,FALSE)</f>
        <v>XAI Upload Staging</v>
      </c>
      <c r="E1204" t="str">
        <f>VLOOKUP(Tabulation!$B1204,Constants!$A:$C,3,FALSE)</f>
        <v>Medium Volume</v>
      </c>
    </row>
    <row r="1205" spans="1:5">
      <c r="A1205" t="s">
        <v>558</v>
      </c>
      <c r="B1205" t="s">
        <v>237</v>
      </c>
      <c r="C1205" s="8">
        <v>0</v>
      </c>
      <c r="D1205" t="str">
        <f>VLOOKUP(Tabulation!$B1205,Constants!$A:$C,2,FALSE)</f>
        <v>XAI Staging Control</v>
      </c>
      <c r="E1205" t="str">
        <f>VLOOKUP(Tabulation!$B1205,Constants!$A:$C,3,FALSE)</f>
        <v>Medium Volume</v>
      </c>
    </row>
    <row r="1206" spans="1:5">
      <c r="A1206" t="s">
        <v>558</v>
      </c>
      <c r="B1206" t="s">
        <v>239</v>
      </c>
      <c r="C1206" s="8">
        <v>1064631</v>
      </c>
      <c r="D1206" t="str">
        <f>VLOOKUP(Tabulation!$B1206,Constants!$A:$C,2,FALSE)</f>
        <v>Activity</v>
      </c>
      <c r="E1206" t="str">
        <f>VLOOKUP(Tabulation!$B1206,Constants!$A:$C,3,FALSE)</f>
        <v>Medium Volume</v>
      </c>
    </row>
    <row r="1207" spans="1:5">
      <c r="A1207" t="s">
        <v>558</v>
      </c>
      <c r="B1207" t="s">
        <v>241</v>
      </c>
      <c r="C1207" s="8">
        <v>0</v>
      </c>
      <c r="D1207" t="str">
        <f>VLOOKUP(Tabulation!$B1207,Constants!$A:$C,2,FALSE)</f>
        <v>Attribute Data Snapshot</v>
      </c>
      <c r="E1207" t="str">
        <f>VLOOKUP(Tabulation!$B1207,Constants!$A:$C,3,FALSE)</f>
        <v>Medium Volume</v>
      </c>
    </row>
    <row r="1208" spans="1:5">
      <c r="A1208" t="s">
        <v>558</v>
      </c>
      <c r="B1208" t="s">
        <v>243</v>
      </c>
      <c r="C1208" s="8">
        <v>0</v>
      </c>
      <c r="D1208" t="str">
        <f>VLOOKUP(Tabulation!$B1208,Constants!$A:$C,2,FALSE)</f>
        <v>Aggregation Group Run</v>
      </c>
      <c r="E1208" t="str">
        <f>VLOOKUP(Tabulation!$B1208,Constants!$A:$C,3,FALSE)</f>
        <v>Medium Volume</v>
      </c>
    </row>
    <row r="1209" spans="1:5">
      <c r="A1209" t="s">
        <v>558</v>
      </c>
      <c r="B1209" t="s">
        <v>245</v>
      </c>
      <c r="C1209" s="8">
        <v>0</v>
      </c>
      <c r="D1209" t="str">
        <f>VLOOKUP(Tabulation!$B1209,Constants!$A:$C,2,FALSE)</f>
        <v>Aggregation Measurement</v>
      </c>
      <c r="E1209" t="str">
        <f>VLOOKUP(Tabulation!$B1209,Constants!$A:$C,3,FALSE)</f>
        <v>Medium Volume</v>
      </c>
    </row>
    <row r="1210" spans="1:5">
      <c r="A1210" t="s">
        <v>558</v>
      </c>
      <c r="B1210" t="s">
        <v>247</v>
      </c>
      <c r="C1210" s="8">
        <v>0</v>
      </c>
      <c r="D1210" t="str">
        <f>VLOOKUP(Tabulation!$B1210,Constants!$A:$C,2,FALSE)</f>
        <v>Attribute Values</v>
      </c>
      <c r="E1210" t="str">
        <f>VLOOKUP(Tabulation!$B1210,Constants!$A:$C,3,FALSE)</f>
        <v>Medium Volume</v>
      </c>
    </row>
    <row r="1211" spans="1:5">
      <c r="A1211" t="s">
        <v>558</v>
      </c>
      <c r="B1211" t="s">
        <v>249</v>
      </c>
      <c r="C1211" s="8">
        <v>144857</v>
      </c>
      <c r="D1211" t="str">
        <f>VLOOKUP(Tabulation!$B1211,Constants!$A:$C,2,FALSE)</f>
        <v>Communication In</v>
      </c>
      <c r="E1211" t="str">
        <f>VLOOKUP(Tabulation!$B1211,Constants!$A:$C,3,FALSE)</f>
        <v>Medium Volume</v>
      </c>
    </row>
    <row r="1212" spans="1:5">
      <c r="A1212" t="s">
        <v>558</v>
      </c>
      <c r="B1212" t="s">
        <v>251</v>
      </c>
      <c r="C1212" s="8">
        <v>24950</v>
      </c>
      <c r="D1212" t="str">
        <f>VLOOKUP(Tabulation!$B1212,Constants!$A:$C,2,FALSE)</f>
        <v>Communication Out</v>
      </c>
      <c r="E1212" t="str">
        <f>VLOOKUP(Tabulation!$B1212,Constants!$A:$C,3,FALSE)</f>
        <v>Medium Volume</v>
      </c>
    </row>
    <row r="1213" spans="1:5">
      <c r="A1213" t="s">
        <v>558</v>
      </c>
      <c r="B1213" t="s">
        <v>253</v>
      </c>
      <c r="C1213" s="8">
        <v>772</v>
      </c>
      <c r="D1213" t="str">
        <f>VLOOKUP(Tabulation!$B1213,Constants!$A:$C,2,FALSE)</f>
        <v>Completion Event</v>
      </c>
      <c r="E1213" t="str">
        <f>VLOOKUP(Tabulation!$B1213,Constants!$A:$C,3,FALSE)</f>
        <v>Medium Volume</v>
      </c>
    </row>
    <row r="1214" spans="1:5">
      <c r="A1214" t="s">
        <v>558</v>
      </c>
      <c r="B1214" t="s">
        <v>255</v>
      </c>
      <c r="C1214" s="8">
        <v>58438</v>
      </c>
      <c r="D1214" t="str">
        <f>VLOOKUP(Tabulation!$B1214,Constants!$A:$C,2,FALSE)</f>
        <v>Contact</v>
      </c>
      <c r="E1214" t="str">
        <f>VLOOKUP(Tabulation!$B1214,Constants!$A:$C,3,FALSE)</f>
        <v>Low Volume</v>
      </c>
    </row>
    <row r="1215" spans="1:5">
      <c r="A1215" t="s">
        <v>558</v>
      </c>
      <c r="B1215" t="s">
        <v>257</v>
      </c>
      <c r="C1215" s="8">
        <v>108121</v>
      </c>
      <c r="D1215" t="str">
        <f>VLOOKUP(Tabulation!$B1215,Constants!$A:$C,2,FALSE)</f>
        <v>Device</v>
      </c>
      <c r="E1215" t="str">
        <f>VLOOKUP(Tabulation!$B1215,Constants!$A:$C,3,FALSE)</f>
        <v>Medium Volume</v>
      </c>
    </row>
    <row r="1216" spans="1:5">
      <c r="A1216" t="s">
        <v>558</v>
      </c>
      <c r="B1216" t="s">
        <v>259</v>
      </c>
      <c r="C1216" s="8">
        <v>63491</v>
      </c>
      <c r="D1216" t="str">
        <f>VLOOKUP(Tabulation!$B1216,Constants!$A:$C,2,FALSE)</f>
        <v>Device Configuration</v>
      </c>
      <c r="E1216" t="str">
        <f>VLOOKUP(Tabulation!$B1216,Constants!$A:$C,3,FALSE)</f>
        <v>Medium Volume</v>
      </c>
    </row>
    <row r="1217" spans="1:5">
      <c r="A1217" t="s">
        <v>558</v>
      </c>
      <c r="B1217" t="s">
        <v>261</v>
      </c>
      <c r="C1217" s="8">
        <v>1</v>
      </c>
      <c r="D1217" t="str">
        <f>VLOOKUP(Tabulation!$B1217,Constants!$A:$C,2,FALSE)</f>
        <v>Device Event</v>
      </c>
      <c r="E1217" t="str">
        <f>VLOOKUP(Tabulation!$B1217,Constants!$A:$C,3,FALSE)</f>
        <v>Medium Volume</v>
      </c>
    </row>
    <row r="1218" spans="1:5">
      <c r="A1218" t="s">
        <v>558</v>
      </c>
      <c r="B1218" t="s">
        <v>263</v>
      </c>
      <c r="C1218" s="8">
        <v>0</v>
      </c>
      <c r="D1218" t="str">
        <f>VLOOKUP(Tabulation!$B1218,Constants!$A:$C,2,FALSE)</f>
        <v>Dynamic Option</v>
      </c>
      <c r="E1218" t="str">
        <f>VLOOKUP(Tabulation!$B1218,Constants!$A:$C,3,FALSE)</f>
        <v>Medium Volume</v>
      </c>
    </row>
    <row r="1219" spans="1:5">
      <c r="A1219" t="s">
        <v>558</v>
      </c>
      <c r="B1219" t="s">
        <v>265</v>
      </c>
      <c r="C1219" s="8">
        <v>0</v>
      </c>
      <c r="D1219" t="str">
        <f>VLOOKUP(Tabulation!$B1219,Constants!$A:$C,2,FALSE)</f>
        <v>Dynamic Option Event</v>
      </c>
      <c r="E1219" t="str">
        <f>VLOOKUP(Tabulation!$B1219,Constants!$A:$C,3,FALSE)</f>
        <v>Medium Volume</v>
      </c>
    </row>
    <row r="1220" spans="1:5">
      <c r="A1220" t="s">
        <v>558</v>
      </c>
      <c r="B1220" t="s">
        <v>269</v>
      </c>
      <c r="C1220" s="8">
        <v>0</v>
      </c>
      <c r="D1220" t="str">
        <f>VLOOKUP(Tabulation!$B1220,Constants!$A:$C,2,FALSE)</f>
        <v>Facility</v>
      </c>
      <c r="E1220" t="str">
        <f>VLOOKUP(Tabulation!$B1220,Constants!$A:$C,3,FALSE)</f>
        <v>Medium Volume</v>
      </c>
    </row>
    <row r="1221" spans="1:5">
      <c r="A1221" t="s">
        <v>558</v>
      </c>
      <c r="B1221" t="s">
        <v>271</v>
      </c>
      <c r="C1221" s="8">
        <v>1161339</v>
      </c>
      <c r="D1221" t="str">
        <f>VLOOKUP(Tabulation!$B1221,Constants!$A:$C,2,FALSE)</f>
        <v>Initial Measurement Data</v>
      </c>
      <c r="E1221" t="str">
        <f>VLOOKUP(Tabulation!$B1221,Constants!$A:$C,3,FALSE)</f>
        <v>Medium Volume</v>
      </c>
    </row>
    <row r="1222" spans="1:5">
      <c r="A1222" t="s">
        <v>558</v>
      </c>
      <c r="B1222" t="s">
        <v>273</v>
      </c>
      <c r="C1222" s="8">
        <v>0</v>
      </c>
      <c r="D1222" t="str">
        <f>VLOOKUP(Tabulation!$B1222,Constants!$A:$C,2,FALSE)</f>
        <v>Initial Measurement Snapshot</v>
      </c>
      <c r="E1222" t="str">
        <f>VLOOKUP(Tabulation!$B1222,Constants!$A:$C,3,FALSE)</f>
        <v>Medium Volume</v>
      </c>
    </row>
    <row r="1223" spans="1:5">
      <c r="A1223" t="s">
        <v>558</v>
      </c>
      <c r="B1223" t="s">
        <v>275</v>
      </c>
      <c r="C1223" s="8">
        <v>60661</v>
      </c>
      <c r="D1223" t="str">
        <f>VLOOKUP(Tabulation!$B1223,Constants!$A:$C,2,FALSE)</f>
        <v>Install Event</v>
      </c>
      <c r="E1223" t="str">
        <f>VLOOKUP(Tabulation!$B1223,Constants!$A:$C,3,FALSE)</f>
        <v>Medium Volume</v>
      </c>
    </row>
    <row r="1224" spans="1:5">
      <c r="A1224" t="s">
        <v>558</v>
      </c>
      <c r="B1224" t="s">
        <v>277</v>
      </c>
      <c r="C1224" s="8">
        <v>0</v>
      </c>
      <c r="D1224" t="str">
        <f>VLOOKUP(Tabulation!$B1224,Constants!$A:$C,2,FALSE)</f>
        <v>Interval Snapshot Mapping</v>
      </c>
      <c r="E1224" t="str">
        <f>VLOOKUP(Tabulation!$B1224,Constants!$A:$C,3,FALSE)</f>
        <v>Medium Volume</v>
      </c>
    </row>
    <row r="1225" spans="1:5">
      <c r="A1225" t="s">
        <v>558</v>
      </c>
      <c r="B1225" t="s">
        <v>279</v>
      </c>
      <c r="C1225" s="8">
        <v>0</v>
      </c>
      <c r="D1225" t="str">
        <f>VLOOKUP(Tabulation!$B1225,Constants!$A:$C,2,FALSE)</f>
        <v>MC Comparison Period</v>
      </c>
      <c r="E1225" t="str">
        <f>VLOOKUP(Tabulation!$B1225,Constants!$A:$C,3,FALSE)</f>
        <v>Medium Volume</v>
      </c>
    </row>
    <row r="1226" spans="1:5">
      <c r="A1226" t="s">
        <v>558</v>
      </c>
      <c r="B1226" t="s">
        <v>281</v>
      </c>
      <c r="C1226" s="8">
        <v>0</v>
      </c>
      <c r="D1226" t="str">
        <f>VLOOKUP(Tabulation!$B1226,Constants!$A:$C,2,FALSE)</f>
        <v>Measurement Data Snapshot Interval</v>
      </c>
      <c r="E1226" t="str">
        <f>VLOOKUP(Tabulation!$B1226,Constants!$A:$C,3,FALSE)</f>
        <v>Medium Volume</v>
      </c>
    </row>
    <row r="1227" spans="1:5">
      <c r="A1227" t="s">
        <v>558</v>
      </c>
      <c r="B1227" t="s">
        <v>283</v>
      </c>
      <c r="C1227" s="8">
        <v>0</v>
      </c>
      <c r="D1227" t="str">
        <f>VLOOKUP(Tabulation!$B1227,Constants!$A:$C,2,FALSE)</f>
        <v>Measurement Data Snapshot Scalar</v>
      </c>
      <c r="E1227" t="str">
        <f>VLOOKUP(Tabulation!$B1227,Constants!$A:$C,3,FALSE)</f>
        <v>Medium Volume</v>
      </c>
    </row>
    <row r="1228" spans="1:5">
      <c r="A1228" t="s">
        <v>558</v>
      </c>
      <c r="B1228" t="s">
        <v>285</v>
      </c>
      <c r="C1228" s="8">
        <v>63503</v>
      </c>
      <c r="D1228" t="str">
        <f>VLOOKUP(Tabulation!$B1228,Constants!$A:$C,2,FALSE)</f>
        <v>Measuring Component</v>
      </c>
      <c r="E1228" t="str">
        <f>VLOOKUP(Tabulation!$B1228,Constants!$A:$C,3,FALSE)</f>
        <v>Medium Volume</v>
      </c>
    </row>
    <row r="1229" spans="1:5">
      <c r="A1229" t="s">
        <v>558</v>
      </c>
      <c r="B1229" t="s">
        <v>287</v>
      </c>
      <c r="C1229" s="8">
        <v>0</v>
      </c>
      <c r="D1229" t="str">
        <f>VLOOKUP(Tabulation!$B1229,Constants!$A:$C,2,FALSE)</f>
        <v>Market Award</v>
      </c>
      <c r="E1229" t="str">
        <f>VLOOKUP(Tabulation!$B1229,Constants!$A:$C,3,FALSE)</f>
        <v>Medium Volume</v>
      </c>
    </row>
    <row r="1230" spans="1:5">
      <c r="A1230" t="s">
        <v>558</v>
      </c>
      <c r="B1230" t="s">
        <v>289</v>
      </c>
      <c r="C1230" s="8">
        <v>0</v>
      </c>
      <c r="D1230" t="str">
        <f>VLOOKUP(Tabulation!$B1230,Constants!$A:$C,2,FALSE)</f>
        <v>Market Contract</v>
      </c>
      <c r="E1230" t="str">
        <f>VLOOKUP(Tabulation!$B1230,Constants!$A:$C,3,FALSE)</f>
        <v>Medium Volume</v>
      </c>
    </row>
    <row r="1231" spans="1:5">
      <c r="A1231" t="s">
        <v>558</v>
      </c>
      <c r="B1231" t="s">
        <v>291</v>
      </c>
      <c r="C1231" s="8">
        <v>0</v>
      </c>
      <c r="D1231" t="str">
        <f>VLOOKUP(Tabulation!$B1231,Constants!$A:$C,2,FALSE)</f>
        <v>Market Product</v>
      </c>
      <c r="E1231" t="str">
        <f>VLOOKUP(Tabulation!$B1231,Constants!$A:$C,3,FALSE)</f>
        <v>Medium Volume</v>
      </c>
    </row>
    <row r="1232" spans="1:5">
      <c r="A1232" t="s">
        <v>558</v>
      </c>
      <c r="B1232" t="s">
        <v>293</v>
      </c>
      <c r="C1232" s="8">
        <v>0</v>
      </c>
      <c r="D1232" t="str">
        <f>VLOOKUP(Tabulation!$B1232,Constants!$A:$C,2,FALSE)</f>
        <v>Registration Point</v>
      </c>
      <c r="E1232" t="str">
        <f>VLOOKUP(Tabulation!$B1232,Constants!$A:$C,3,FALSE)</f>
        <v>Medium Volume</v>
      </c>
    </row>
    <row r="1233" spans="1:5">
      <c r="A1233" t="s">
        <v>558</v>
      </c>
      <c r="B1233" t="s">
        <v>294</v>
      </c>
      <c r="C1233" s="8">
        <v>4625948</v>
      </c>
      <c r="D1233" t="str">
        <f>VLOOKUP(Tabulation!$B1233,Constants!$A:$C,2,FALSE)</f>
        <v>Measurement</v>
      </c>
      <c r="E1233" t="str">
        <f>VLOOKUP(Tabulation!$B1233,Constants!$A:$C,3,FALSE)</f>
        <v>Medium Volume</v>
      </c>
    </row>
    <row r="1234" spans="1:5">
      <c r="A1234" t="s">
        <v>558</v>
      </c>
      <c r="B1234" t="s">
        <v>296</v>
      </c>
      <c r="C1234" s="8">
        <v>10202</v>
      </c>
      <c r="D1234" t="str">
        <f>VLOOKUP(Tabulation!$B1234,Constants!$A:$C,2,FALSE)</f>
        <v>Measurement Log</v>
      </c>
      <c r="E1234" t="str">
        <f>VLOOKUP(Tabulation!$B1234,Constants!$A:$C,3,FALSE)</f>
        <v>Medium Volume</v>
      </c>
    </row>
    <row r="1235" spans="1:5">
      <c r="A1235" t="s">
        <v>558</v>
      </c>
      <c r="B1235" t="s">
        <v>298</v>
      </c>
      <c r="C1235" s="8">
        <v>0</v>
      </c>
      <c r="D1235" t="str">
        <f>VLOOKUP(Tabulation!$B1235,Constants!$A:$C,2,FALSE)</f>
        <v>Network Location</v>
      </c>
      <c r="E1235" t="str">
        <f>VLOOKUP(Tabulation!$B1235,Constants!$A:$C,3,FALSE)</f>
        <v>Medium Volume</v>
      </c>
    </row>
    <row r="1236" spans="1:5">
      <c r="A1236" t="s">
        <v>558</v>
      </c>
      <c r="B1236" t="s">
        <v>300</v>
      </c>
      <c r="C1236" s="8">
        <v>44699</v>
      </c>
      <c r="D1236" t="str">
        <f>VLOOKUP(Tabulation!$B1236,Constants!$A:$C,2,FALSE)</f>
        <v>Service Point - MDM</v>
      </c>
      <c r="E1236" t="str">
        <f>VLOOKUP(Tabulation!$B1236,Constants!$A:$C,3,FALSE)</f>
        <v>Medium Volume</v>
      </c>
    </row>
    <row r="1237" spans="1:5">
      <c r="A1237" t="s">
        <v>558</v>
      </c>
      <c r="B1237" t="s">
        <v>302</v>
      </c>
      <c r="C1237" s="8">
        <v>1020257</v>
      </c>
      <c r="D1237" t="str">
        <f>VLOOKUP(Tabulation!$B1237,Constants!$A:$C,2,FALSE)</f>
        <v>SP/Measurement Cycle Schedule Route</v>
      </c>
      <c r="E1237" t="str">
        <f>VLOOKUP(Tabulation!$B1237,Constants!$A:$C,3,FALSE)</f>
        <v>Medium Volume</v>
      </c>
    </row>
    <row r="1238" spans="1:5">
      <c r="A1238" t="s">
        <v>558</v>
      </c>
      <c r="B1238" t="s">
        <v>304</v>
      </c>
      <c r="C1238" s="8">
        <v>0</v>
      </c>
      <c r="D1238" t="str">
        <f>VLOOKUP(Tabulation!$B1238,Constants!$A:$C,2,FALSE)</f>
        <v>Service Point Quantity</v>
      </c>
      <c r="E1238" t="str">
        <f>VLOOKUP(Tabulation!$B1238,Constants!$A:$C,3,FALSE)</f>
        <v>Medium Volume</v>
      </c>
    </row>
    <row r="1239" spans="1:5">
      <c r="A1239" t="s">
        <v>558</v>
      </c>
      <c r="B1239" t="s">
        <v>306</v>
      </c>
      <c r="C1239" s="8">
        <v>0</v>
      </c>
      <c r="D1239" t="str">
        <f>VLOOKUP(Tabulation!$B1239,Constants!$A:$C,2,FALSE)</f>
        <v>Service Pont Snapshot Download</v>
      </c>
      <c r="E1239" t="str">
        <f>VLOOKUP(Tabulation!$B1239,Constants!$A:$C,3,FALSE)</f>
        <v>Medium Volume</v>
      </c>
    </row>
    <row r="1240" spans="1:5">
      <c r="A1240" t="s">
        <v>558</v>
      </c>
      <c r="B1240" t="s">
        <v>308</v>
      </c>
      <c r="C1240" s="8">
        <v>0</v>
      </c>
      <c r="D1240" t="str">
        <f>VLOOKUP(Tabulation!$B1240,Constants!$A:$C,2,FALSE)</f>
        <v>SP Unreported Usage Snapshot Download</v>
      </c>
      <c r="E1240" t="str">
        <f>VLOOKUP(Tabulation!$B1240,Constants!$A:$C,3,FALSE)</f>
        <v>Medium Volume</v>
      </c>
    </row>
    <row r="1241" spans="1:5">
      <c r="A1241" t="s">
        <v>558</v>
      </c>
      <c r="B1241" t="s">
        <v>310</v>
      </c>
      <c r="C1241" s="8">
        <v>0</v>
      </c>
      <c r="D1241" t="str">
        <f>VLOOKUP(Tabulation!$B1241,Constants!$A:$C,2,FALSE)</f>
        <v>Service Point Usage Snapshot Download</v>
      </c>
      <c r="E1241" t="str">
        <f>VLOOKUP(Tabulation!$B1241,Constants!$A:$C,3,FALSE)</f>
        <v>Medium Volume</v>
      </c>
    </row>
    <row r="1242" spans="1:5">
      <c r="A1242" t="s">
        <v>558</v>
      </c>
      <c r="B1242" t="s">
        <v>312</v>
      </c>
      <c r="C1242" s="8">
        <v>0</v>
      </c>
      <c r="D1242" t="str">
        <f>VLOOKUP(Tabulation!$B1242,Constants!$A:$C,2,FALSE)</f>
        <v>SP VEE Exception Snapshot Download</v>
      </c>
      <c r="E1242" t="str">
        <f>VLOOKUP(Tabulation!$B1242,Constants!$A:$C,3,FALSE)</f>
        <v>Medium Volume</v>
      </c>
    </row>
    <row r="1243" spans="1:5">
      <c r="A1243" t="s">
        <v>558</v>
      </c>
      <c r="B1243" t="s">
        <v>314</v>
      </c>
      <c r="C1243" s="8">
        <v>151934</v>
      </c>
      <c r="D1243" t="str">
        <f>VLOOKUP(Tabulation!$B1243,Constants!$A:$C,2,FALSE)</f>
        <v>Usage Subscription</v>
      </c>
      <c r="E1243" t="str">
        <f>VLOOKUP(Tabulation!$B1243,Constants!$A:$C,3,FALSE)</f>
        <v>Medium Volume</v>
      </c>
    </row>
    <row r="1244" spans="1:5">
      <c r="A1244" t="s">
        <v>558</v>
      </c>
      <c r="B1244" t="s">
        <v>316</v>
      </c>
      <c r="C1244" s="8">
        <v>25258673</v>
      </c>
      <c r="D1244" t="str">
        <f>VLOOKUP(Tabulation!$B1244,Constants!$A:$C,2,FALSE)</f>
        <v>Usage</v>
      </c>
      <c r="E1244" t="str">
        <f>VLOOKUP(Tabulation!$B1244,Constants!$A:$C,3,FALSE)</f>
        <v>Medium Volume</v>
      </c>
    </row>
    <row r="1245" spans="1:5">
      <c r="A1245" t="s">
        <v>558</v>
      </c>
      <c r="B1245" t="s">
        <v>317</v>
      </c>
      <c r="C1245" s="8">
        <v>1972616</v>
      </c>
      <c r="D1245" t="str">
        <f>VLOOKUP(Tabulation!$B1245,Constants!$A:$C,2,FALSE)</f>
        <v>Usage Transaction Exception</v>
      </c>
      <c r="E1245" t="str">
        <f>VLOOKUP(Tabulation!$B1245,Constants!$A:$C,3,FALSE)</f>
        <v>Medium Volume</v>
      </c>
    </row>
    <row r="1246" spans="1:5">
      <c r="A1246" t="s">
        <v>558</v>
      </c>
      <c r="B1246" t="s">
        <v>319</v>
      </c>
      <c r="C1246" s="8">
        <v>0</v>
      </c>
      <c r="D1246" t="str">
        <f>VLOOKUP(Tabulation!$B1246,Constants!$A:$C,2,FALSE)</f>
        <v>Usage Subscription Market Participant</v>
      </c>
      <c r="E1246" t="str">
        <f>VLOOKUP(Tabulation!$B1246,Constants!$A:$C,3,FALSE)</f>
        <v>Medium Volume</v>
      </c>
    </row>
    <row r="1247" spans="1:5">
      <c r="A1247" t="s">
        <v>558</v>
      </c>
      <c r="B1247" t="s">
        <v>321</v>
      </c>
      <c r="C1247" s="8">
        <v>0</v>
      </c>
      <c r="D1247" t="str">
        <f>VLOOKUP(Tabulation!$B1247,Constants!$A:$C,2,FALSE)</f>
        <v>Usage Subscription Quantity</v>
      </c>
      <c r="E1247" t="str">
        <f>VLOOKUP(Tabulation!$B1247,Constants!$A:$C,3,FALSE)</f>
        <v>Medium Volume</v>
      </c>
    </row>
    <row r="1248" spans="1:5">
      <c r="A1248" t="s">
        <v>558</v>
      </c>
      <c r="B1248" t="s">
        <v>323</v>
      </c>
      <c r="C1248" s="8">
        <v>0</v>
      </c>
      <c r="D1248" t="str">
        <f>VLOOKUP(Tabulation!$B1248,Constants!$A:$C,2,FALSE)</f>
        <v>Usage Subscription Usage Group Download</v>
      </c>
      <c r="E1248" t="str">
        <f>VLOOKUP(Tabulation!$B1248,Constants!$A:$C,3,FALSE)</f>
        <v>Medium Volume</v>
      </c>
    </row>
    <row r="1249" spans="1:5">
      <c r="A1249" t="s">
        <v>558</v>
      </c>
      <c r="B1249" t="s">
        <v>325</v>
      </c>
      <c r="C1249" s="8">
        <v>1936460</v>
      </c>
      <c r="D1249" t="str">
        <f>VLOOKUP(Tabulation!$B1249,Constants!$A:$C,2,FALSE)</f>
        <v>VEE Exception</v>
      </c>
      <c r="E1249" t="str">
        <f>VLOOKUP(Tabulation!$B1249,Constants!$A:$C,3,FALSE)</f>
        <v>Medium Volume</v>
      </c>
    </row>
    <row r="1250" spans="1:5">
      <c r="A1250" t="s">
        <v>558</v>
      </c>
      <c r="B1250" t="s">
        <v>327</v>
      </c>
      <c r="C1250" s="8">
        <v>3</v>
      </c>
      <c r="D1250" t="str">
        <f>VLOOKUP(Tabulation!$B1250,Constants!$A:$C,2,FALSE)</f>
        <v>Attachment</v>
      </c>
      <c r="E1250" t="str">
        <f>VLOOKUP(Tabulation!$B1250,Constants!$A:$C,3,FALSE)</f>
        <v>Medium Volume</v>
      </c>
    </row>
    <row r="1251" spans="1:5">
      <c r="A1251" t="s">
        <v>558</v>
      </c>
      <c r="B1251" t="s">
        <v>334</v>
      </c>
      <c r="C1251" s="8">
        <v>33</v>
      </c>
      <c r="D1251" t="str">
        <f>VLOOKUP(Tabulation!$B1251,Constants!$A:$C,2,FALSE)</f>
        <v>Bundle</v>
      </c>
      <c r="E1251" t="str">
        <f>VLOOKUP(Tabulation!$B1251,Constants!$A:$C,3,FALSE)</f>
        <v>Medium Volume</v>
      </c>
    </row>
    <row r="1252" spans="1:5">
      <c r="A1252" t="s">
        <v>558</v>
      </c>
      <c r="B1252" t="s">
        <v>336</v>
      </c>
      <c r="C1252" s="8">
        <v>0</v>
      </c>
      <c r="D1252" t="str">
        <f>VLOOKUP(Tabulation!$B1252,Constants!$A:$C,2,FALSE)</f>
        <v>Business Event Log</v>
      </c>
      <c r="E1252" t="str">
        <f>VLOOKUP(Tabulation!$B1252,Constants!$A:$C,3,FALSE)</f>
        <v>Medium Volume</v>
      </c>
    </row>
    <row r="1253" spans="1:5">
      <c r="A1253" t="s">
        <v>558</v>
      </c>
      <c r="B1253" t="s">
        <v>338</v>
      </c>
      <c r="C1253" s="8">
        <v>0</v>
      </c>
      <c r="D1253" t="str">
        <f>VLOOKUP(Tabulation!$B1253,Constants!$A:$C,2,FALSE)</f>
        <v>Business Flag</v>
      </c>
      <c r="E1253" t="str">
        <f>VLOOKUP(Tabulation!$B1253,Constants!$A:$C,3,FALSE)</f>
        <v>Medium Volume</v>
      </c>
    </row>
    <row r="1254" spans="1:5">
      <c r="A1254" t="s">
        <v>558</v>
      </c>
      <c r="B1254" t="s">
        <v>340</v>
      </c>
      <c r="C1254" s="8">
        <v>0</v>
      </c>
      <c r="D1254" t="str">
        <f>VLOOKUP(Tabulation!$B1254,Constants!$A:$C,2,FALSE)</f>
        <v>Calendar Dimension</v>
      </c>
      <c r="E1254" t="str">
        <f>VLOOKUP(Tabulation!$B1254,Constants!$A:$C,3,FALSE)</f>
        <v>Medium Volume</v>
      </c>
    </row>
    <row r="1255" spans="1:5">
      <c r="A1255" t="s">
        <v>558</v>
      </c>
      <c r="B1255" t="s">
        <v>342</v>
      </c>
      <c r="C1255" s="8">
        <v>0</v>
      </c>
      <c r="D1255" t="str">
        <f>VLOOKUP(Tabulation!$B1255,Constants!$A:$C,2,FALSE)</f>
        <v>Cube View</v>
      </c>
      <c r="E1255" t="str">
        <f>VLOOKUP(Tabulation!$B1255,Constants!$A:$C,3,FALSE)</f>
        <v>Medium Volume</v>
      </c>
    </row>
    <row r="1256" spans="1:5">
      <c r="A1256" t="s">
        <v>558</v>
      </c>
      <c r="B1256" t="s">
        <v>344</v>
      </c>
      <c r="C1256" s="8">
        <v>0</v>
      </c>
      <c r="D1256" t="str">
        <f>VLOOKUP(Tabulation!$B1256,Constants!$A:$C,2,FALSE)</f>
        <v>Deployment</v>
      </c>
      <c r="E1256" t="str">
        <f>VLOOKUP(Tabulation!$B1256,Constants!$A:$C,3,FALSE)</f>
        <v>Medium Volume</v>
      </c>
    </row>
    <row r="1257" spans="1:5">
      <c r="A1257" t="s">
        <v>558</v>
      </c>
      <c r="B1257" t="s">
        <v>346</v>
      </c>
      <c r="C1257" s="8">
        <v>0</v>
      </c>
      <c r="D1257" t="str">
        <f>VLOOKUP(Tabulation!$B1257,Constants!$A:$C,2,FALSE)</f>
        <v>Object Erasure Schedule</v>
      </c>
      <c r="E1257" t="str">
        <f>VLOOKUP(Tabulation!$B1257,Constants!$A:$C,3,FALSE)</f>
        <v>Medium Volume</v>
      </c>
    </row>
    <row r="1258" spans="1:5">
      <c r="A1258" t="s">
        <v>558</v>
      </c>
      <c r="B1258" t="s">
        <v>348</v>
      </c>
      <c r="C1258" s="8">
        <v>34</v>
      </c>
      <c r="D1258" t="str">
        <f>VLOOKUP(Tabulation!$B1258,Constants!$A:$C,2,FALSE)</f>
        <v>Fact</v>
      </c>
      <c r="E1258" t="str">
        <f>VLOOKUP(Tabulation!$B1258,Constants!$A:$C,3,FALSE)</f>
        <v>Medium Volume</v>
      </c>
    </row>
    <row r="1259" spans="1:5">
      <c r="A1259" t="s">
        <v>558</v>
      </c>
      <c r="B1259" t="s">
        <v>350</v>
      </c>
      <c r="C1259" s="8">
        <v>909484</v>
      </c>
      <c r="D1259" t="str">
        <f>VLOOKUP(Tabulation!$B1259,Constants!$A:$C,2,FALSE)</f>
        <v>General Process</v>
      </c>
      <c r="E1259" t="str">
        <f>VLOOKUP(Tabulation!$B1259,Constants!$A:$C,3,FALSE)</f>
        <v>Medium Volume</v>
      </c>
    </row>
    <row r="1260" spans="1:5">
      <c r="A1260" t="s">
        <v>558</v>
      </c>
      <c r="B1260" t="s">
        <v>352</v>
      </c>
      <c r="C1260" s="8">
        <v>0</v>
      </c>
      <c r="D1260" t="str">
        <f>VLOOKUP(Tabulation!$B1260,Constants!$A:$C,2,FALSE)</f>
        <v>General Audit</v>
      </c>
      <c r="E1260" t="str">
        <f>VLOOKUP(Tabulation!$B1260,Constants!$A:$C,3,FALSE)</f>
        <v>Medium Volume</v>
      </c>
    </row>
    <row r="1261" spans="1:5">
      <c r="A1261" t="s">
        <v>558</v>
      </c>
      <c r="B1261" t="s">
        <v>354</v>
      </c>
      <c r="C1261" s="8">
        <v>0</v>
      </c>
      <c r="D1261" t="str">
        <f>VLOOKUP(Tabulation!$B1261,Constants!$A:$C,2,FALSE)</f>
        <v>Mobile Data Terminal</v>
      </c>
      <c r="E1261" t="str">
        <f>VLOOKUP(Tabulation!$B1261,Constants!$A:$C,3,FALSE)</f>
        <v>Medium Volume</v>
      </c>
    </row>
    <row r="1262" spans="1:5">
      <c r="A1262" t="s">
        <v>558</v>
      </c>
      <c r="B1262" t="s">
        <v>356</v>
      </c>
      <c r="C1262" s="8">
        <v>0</v>
      </c>
      <c r="D1262" t="str">
        <f>VLOOKUP(Tabulation!$B1262,Constants!$A:$C,2,FALSE)</f>
        <v>Mobile Data Terminal Type</v>
      </c>
      <c r="E1262" t="str">
        <f>VLOOKUP(Tabulation!$B1262,Constants!$A:$C,3,FALSE)</f>
        <v>Medium Volume</v>
      </c>
    </row>
    <row r="1263" spans="1:5">
      <c r="A1263" t="s">
        <v>558</v>
      </c>
      <c r="B1263" t="s">
        <v>358</v>
      </c>
      <c r="C1263" s="8">
        <v>254</v>
      </c>
      <c r="D1263" t="str">
        <f>VLOOKUP(Tabulation!$B1263,Constants!$A:$C,2,FALSE)</f>
        <v>Migration Data Set</v>
      </c>
      <c r="E1263" t="str">
        <f>VLOOKUP(Tabulation!$B1263,Constants!$A:$C,3,FALSE)</f>
        <v>Medium Volume</v>
      </c>
    </row>
    <row r="1264" spans="1:5">
      <c r="A1264" t="s">
        <v>558</v>
      </c>
      <c r="B1264" t="s">
        <v>360</v>
      </c>
      <c r="C1264" s="8">
        <v>93597</v>
      </c>
      <c r="D1264" t="str">
        <f>VLOOKUP(Tabulation!$B1264,Constants!$A:$C,2,FALSE)</f>
        <v>Migration Object</v>
      </c>
      <c r="E1264" t="str">
        <f>VLOOKUP(Tabulation!$B1264,Constants!$A:$C,3,FALSE)</f>
        <v>Medium Volume</v>
      </c>
    </row>
    <row r="1265" spans="1:5">
      <c r="A1265" t="s">
        <v>558</v>
      </c>
      <c r="B1265" t="s">
        <v>362</v>
      </c>
      <c r="C1265" s="8">
        <v>11156</v>
      </c>
      <c r="D1265" t="str">
        <f>VLOOKUP(Tabulation!$B1265,Constants!$A:$C,2,FALSE)</f>
        <v>Migration Transaction</v>
      </c>
      <c r="E1265" t="str">
        <f>VLOOKUP(Tabulation!$B1265,Constants!$A:$C,3,FALSE)</f>
        <v>Medium Volume</v>
      </c>
    </row>
    <row r="1266" spans="1:5">
      <c r="A1266" t="s">
        <v>558</v>
      </c>
      <c r="B1266" t="s">
        <v>364</v>
      </c>
      <c r="C1266" s="8">
        <v>0</v>
      </c>
      <c r="D1266" t="str">
        <f>VLOOKUP(Tabulation!$B1266,Constants!$A:$C,2,FALSE)</f>
        <v>Inbound Market Message</v>
      </c>
      <c r="E1266" t="str">
        <f>VLOOKUP(Tabulation!$B1266,Constants!$A:$C,3,FALSE)</f>
        <v>Medium Volume</v>
      </c>
    </row>
    <row r="1267" spans="1:5">
      <c r="A1267" t="s">
        <v>558</v>
      </c>
      <c r="B1267" t="s">
        <v>366</v>
      </c>
      <c r="C1267" s="8">
        <v>0</v>
      </c>
      <c r="D1267" t="str">
        <f>VLOOKUP(Tabulation!$B1267,Constants!$A:$C,2,FALSE)</f>
        <v>Outbound Market Message</v>
      </c>
      <c r="E1267" t="str">
        <f>VLOOKUP(Tabulation!$B1267,Constants!$A:$C,3,FALSE)</f>
        <v>Medium Volume</v>
      </c>
    </row>
    <row r="1268" spans="1:5">
      <c r="A1268" t="s">
        <v>558</v>
      </c>
      <c r="B1268" t="s">
        <v>368</v>
      </c>
      <c r="C1268" s="8">
        <v>0</v>
      </c>
      <c r="D1268" t="str">
        <f>VLOOKUP(Tabulation!$B1268,Constants!$A:$C,2,FALSE)</f>
        <v>Market Process</v>
      </c>
      <c r="E1268" t="str">
        <f>VLOOKUP(Tabulation!$B1268,Constants!$A:$C,3,FALSE)</f>
        <v>Medium Volume</v>
      </c>
    </row>
    <row r="1269" spans="1:5">
      <c r="A1269" t="s">
        <v>558</v>
      </c>
      <c r="B1269" t="s">
        <v>370</v>
      </c>
      <c r="C1269" s="8">
        <v>0</v>
      </c>
      <c r="D1269" t="str">
        <f>VLOOKUP(Tabulation!$B1269,Constants!$A:$C,2,FALSE)</f>
        <v>Market Process Event</v>
      </c>
      <c r="E1269" t="str">
        <f>VLOOKUP(Tabulation!$B1269,Constants!$A:$C,3,FALSE)</f>
        <v>Medium Volume</v>
      </c>
    </row>
    <row r="1270" spans="1:5">
      <c r="A1270" t="s">
        <v>558</v>
      </c>
      <c r="B1270" t="s">
        <v>372</v>
      </c>
      <c r="C1270" s="8">
        <v>0</v>
      </c>
      <c r="D1270" t="str">
        <f>VLOOKUP(Tabulation!$B1270,Constants!$A:$C,2,FALSE)</f>
        <v>Object Revision</v>
      </c>
      <c r="E1270" t="str">
        <f>VLOOKUP(Tabulation!$B1270,Constants!$A:$C,3,FALSE)</f>
        <v>Medium Volume</v>
      </c>
    </row>
    <row r="1271" spans="1:5">
      <c r="A1271" t="s">
        <v>558</v>
      </c>
      <c r="B1271" t="s">
        <v>374</v>
      </c>
      <c r="C1271" s="8">
        <v>439263</v>
      </c>
      <c r="D1271" t="str">
        <f>VLOOKUP(Tabulation!$B1271,Constants!$A:$C,2,FALSE)</f>
        <v>Outbound Message</v>
      </c>
      <c r="E1271" t="str">
        <f>VLOOKUP(Tabulation!$B1271,Constants!$A:$C,3,FALSE)</f>
        <v>Medium Volume</v>
      </c>
    </row>
    <row r="1272" spans="1:5">
      <c r="A1272" t="s">
        <v>558</v>
      </c>
      <c r="B1272" t="s">
        <v>376</v>
      </c>
      <c r="C1272" s="8">
        <v>1790</v>
      </c>
      <c r="D1272" t="str">
        <f>VLOOKUP(Tabulation!$B1272,Constants!$A:$C,2,FALSE)</f>
        <v>Process Flow</v>
      </c>
      <c r="E1272" t="str">
        <f>VLOOKUP(Tabulation!$B1272,Constants!$A:$C,3,FALSE)</f>
        <v>Medium Volume</v>
      </c>
    </row>
    <row r="1273" spans="1:5">
      <c r="A1273" t="s">
        <v>558</v>
      </c>
      <c r="B1273" t="s">
        <v>378</v>
      </c>
      <c r="C1273" s="8">
        <v>0</v>
      </c>
      <c r="D1273" t="str">
        <f>VLOOKUP(Tabulation!$B1273,Constants!$A:$C,2,FALSE)</f>
        <v>Mobile Remote Message</v>
      </c>
      <c r="E1273" t="str">
        <f>VLOOKUP(Tabulation!$B1273,Constants!$A:$C,3,FALSE)</f>
        <v>Medium Volume</v>
      </c>
    </row>
    <row r="1274" spans="1:5">
      <c r="A1274" t="s">
        <v>558</v>
      </c>
      <c r="B1274" t="s">
        <v>380</v>
      </c>
      <c r="C1274" s="8">
        <v>0</v>
      </c>
      <c r="D1274" t="str">
        <f>VLOOKUP(Tabulation!$B1274,Constants!$A:$C,2,FALSE)</f>
        <v>Request</v>
      </c>
      <c r="E1274" t="str">
        <f>VLOOKUP(Tabulation!$B1274,Constants!$A:$C,3,FALSE)</f>
        <v>Medium Volume</v>
      </c>
    </row>
    <row r="1275" spans="1:5">
      <c r="A1275" t="s">
        <v>558</v>
      </c>
      <c r="B1275" t="s">
        <v>382</v>
      </c>
      <c r="C1275" s="8">
        <v>704</v>
      </c>
      <c r="D1275" t="str">
        <f>VLOOKUP(Tabulation!$B1275,Constants!$A:$C,2,FALSE)</f>
        <v>Statistics Snapshot</v>
      </c>
      <c r="E1275" t="str">
        <f>VLOOKUP(Tabulation!$B1275,Constants!$A:$C,3,FALSE)</f>
        <v>Low Volume</v>
      </c>
    </row>
    <row r="1276" spans="1:5">
      <c r="A1276" t="s">
        <v>558</v>
      </c>
      <c r="B1276" t="s">
        <v>384</v>
      </c>
      <c r="C1276" s="8">
        <v>395299</v>
      </c>
      <c r="D1276" t="str">
        <f>VLOOKUP(Tabulation!$B1276,Constants!$A:$C,2,FALSE)</f>
        <v>Service Task</v>
      </c>
      <c r="E1276" t="str">
        <f>VLOOKUP(Tabulation!$B1276,Constants!$A:$C,3,FALSE)</f>
        <v>Medium Volume</v>
      </c>
    </row>
    <row r="1277" spans="1:5">
      <c r="A1277" t="s">
        <v>558</v>
      </c>
      <c r="B1277" t="s">
        <v>386</v>
      </c>
      <c r="C1277" s="8">
        <v>323972</v>
      </c>
      <c r="D1277" t="str">
        <f>VLOOKUP(Tabulation!$B1277,Constants!$A:$C,2,FALSE)</f>
        <v>Sync Request</v>
      </c>
      <c r="E1277" t="str">
        <f>VLOOKUP(Tabulation!$B1277,Constants!$A:$C,3,FALSE)</f>
        <v>Medium Volume</v>
      </c>
    </row>
    <row r="1278" spans="1:5">
      <c r="A1278" t="s">
        <v>558</v>
      </c>
      <c r="B1278" t="s">
        <v>388</v>
      </c>
      <c r="C1278" s="8">
        <v>49304</v>
      </c>
      <c r="D1278" t="str">
        <f>VLOOKUP(Tabulation!$B1278,Constants!$A:$C,2,FALSE)</f>
        <v>Inbound Sync Request</v>
      </c>
      <c r="E1278" t="str">
        <f>VLOOKUP(Tabulation!$B1278,Constants!$A:$C,3,FALSE)</f>
        <v>Medium Volume</v>
      </c>
    </row>
    <row r="1279" spans="1:5">
      <c r="A1279" t="s">
        <v>558</v>
      </c>
      <c r="B1279" t="s">
        <v>390</v>
      </c>
      <c r="C1279" s="8">
        <v>0</v>
      </c>
      <c r="D1279" t="str">
        <f>VLOOKUP(Tabulation!$B1279,Constants!$A:$C,2,FALSE)</f>
        <v>Time Dimension</v>
      </c>
      <c r="E1279" t="str">
        <f>VLOOKUP(Tabulation!$B1279,Constants!$A:$C,3,FALSE)</f>
        <v>Medium Volume</v>
      </c>
    </row>
    <row r="1280" spans="1:5">
      <c r="A1280" t="s">
        <v>558</v>
      </c>
      <c r="B1280" t="s">
        <v>392</v>
      </c>
      <c r="C1280" s="8">
        <v>0</v>
      </c>
      <c r="D1280" t="str">
        <f>VLOOKUP(Tabulation!$B1280,Constants!$A:$C,2,FALSE)</f>
        <v>Accept Line</v>
      </c>
      <c r="E1280" t="str">
        <f>VLOOKUP(Tabulation!$B1280,Constants!$A:$C,3,FALSE)</f>
        <v>Medium Volume</v>
      </c>
    </row>
    <row r="1281" spans="1:5">
      <c r="A1281" t="s">
        <v>558</v>
      </c>
      <c r="B1281" t="s">
        <v>394</v>
      </c>
      <c r="C1281" s="8">
        <v>81</v>
      </c>
      <c r="D1281" t="str">
        <f>VLOOKUP(Tabulation!$B1281,Constants!$A:$C,2,FALSE)</f>
        <v>Activity</v>
      </c>
      <c r="E1281" t="str">
        <f>VLOOKUP(Tabulation!$B1281,Constants!$A:$C,3,FALSE)</f>
        <v>Medium Volume</v>
      </c>
    </row>
    <row r="1282" spans="1:5">
      <c r="A1282" t="s">
        <v>558</v>
      </c>
      <c r="B1282" t="s">
        <v>395</v>
      </c>
      <c r="C1282" s="8">
        <v>0</v>
      </c>
      <c r="D1282" t="str">
        <f>VLOOKUP(Tabulation!$B1282,Constants!$A:$C,2,FALSE)</f>
        <v>Activity Construction Location</v>
      </c>
      <c r="E1282" t="str">
        <f>VLOOKUP(Tabulation!$B1282,Constants!$A:$C,3,FALSE)</f>
        <v>Medium Volume</v>
      </c>
    </row>
    <row r="1283" spans="1:5">
      <c r="A1283" t="s">
        <v>558</v>
      </c>
      <c r="B1283" t="s">
        <v>397</v>
      </c>
      <c r="C1283" s="8">
        <v>0</v>
      </c>
      <c r="D1283" t="str">
        <f>VLOOKUP(Tabulation!$B1283,Constants!$A:$C,2,FALSE)</f>
        <v>Activity Reconciliation</v>
      </c>
      <c r="E1283" t="str">
        <f>VLOOKUP(Tabulation!$B1283,Constants!$A:$C,3,FALSE)</f>
        <v>Medium Volume</v>
      </c>
    </row>
    <row r="1284" spans="1:5">
      <c r="A1284" t="s">
        <v>558</v>
      </c>
      <c r="B1284" t="s">
        <v>399</v>
      </c>
      <c r="C1284" s="8">
        <v>0</v>
      </c>
      <c r="D1284" t="str">
        <f>VLOOKUP(Tabulation!$B1284,Constants!$A:$C,2,FALSE)</f>
        <v>Activity Resource Requirement</v>
      </c>
      <c r="E1284" t="str">
        <f>VLOOKUP(Tabulation!$B1284,Constants!$A:$C,3,FALSE)</f>
        <v>Medium Volume</v>
      </c>
    </row>
    <row r="1285" spans="1:5">
      <c r="A1285" t="s">
        <v>558</v>
      </c>
      <c r="B1285" t="s">
        <v>401</v>
      </c>
      <c r="C1285" s="8">
        <v>0</v>
      </c>
      <c r="D1285" t="str">
        <f>VLOOKUP(Tabulation!$B1285,Constants!$A:$C,2,FALSE)</f>
        <v>Cost Adjustment</v>
      </c>
      <c r="E1285" t="str">
        <f>VLOOKUP(Tabulation!$B1285,Constants!$A:$C,3,FALSE)</f>
        <v>Medium Volume</v>
      </c>
    </row>
    <row r="1286" spans="1:5">
      <c r="A1286" t="s">
        <v>558</v>
      </c>
      <c r="B1286" t="s">
        <v>403</v>
      </c>
      <c r="C1286" s="8">
        <v>0</v>
      </c>
      <c r="D1286" t="str">
        <f>VLOOKUP(Tabulation!$B1286,Constants!$A:$C,2,FALSE)</f>
        <v>Approval Request</v>
      </c>
      <c r="E1286" t="str">
        <f>VLOOKUP(Tabulation!$B1286,Constants!$A:$C,3,FALSE)</f>
        <v>Medium Volume</v>
      </c>
    </row>
    <row r="1287" spans="1:5">
      <c r="A1287" t="s">
        <v>558</v>
      </c>
      <c r="B1287" t="s">
        <v>404</v>
      </c>
      <c r="C1287" s="8">
        <v>108114</v>
      </c>
      <c r="D1287" t="str">
        <f>VLOOKUP(Tabulation!$B1287,Constants!$A:$C,2,FALSE)</f>
        <v>Asset</v>
      </c>
      <c r="E1287" t="str">
        <f>VLOOKUP(Tabulation!$B1287,Constants!$A:$C,3,FALSE)</f>
        <v>Medium Volume</v>
      </c>
    </row>
    <row r="1288" spans="1:5">
      <c r="A1288" t="s">
        <v>558</v>
      </c>
      <c r="B1288" t="s">
        <v>406</v>
      </c>
      <c r="C1288" s="8">
        <v>0</v>
      </c>
      <c r="D1288" t="str">
        <f>VLOOKUP(Tabulation!$B1288,Constants!$A:$C,2,FALSE)</f>
        <v>Blanket Contract Header</v>
      </c>
      <c r="E1288" t="str">
        <f>VLOOKUP(Tabulation!$B1288,Constants!$A:$C,3,FALSE)</f>
        <v>Medium Volume</v>
      </c>
    </row>
    <row r="1289" spans="1:5">
      <c r="A1289" t="s">
        <v>558</v>
      </c>
      <c r="B1289" t="s">
        <v>408</v>
      </c>
      <c r="C1289" s="8">
        <v>0</v>
      </c>
      <c r="D1289" t="str">
        <f>VLOOKUP(Tabulation!$B1289,Constants!$A:$C,2,FALSE)</f>
        <v>Blanket Contract Line</v>
      </c>
      <c r="E1289" t="str">
        <f>VLOOKUP(Tabulation!$B1289,Constants!$A:$C,3,FALSE)</f>
        <v>Medium Volume</v>
      </c>
    </row>
    <row r="1290" spans="1:5">
      <c r="A1290" t="s">
        <v>558</v>
      </c>
      <c r="B1290" t="s">
        <v>410</v>
      </c>
      <c r="C1290" s="8">
        <v>0</v>
      </c>
      <c r="D1290" t="str">
        <f>VLOOKUP(Tabulation!$B1290,Constants!$A:$C,2,FALSE)</f>
        <v>Bill of Materials Part</v>
      </c>
      <c r="E1290" t="str">
        <f>VLOOKUP(Tabulation!$B1290,Constants!$A:$C,3,FALSE)</f>
        <v>Medium Volume</v>
      </c>
    </row>
    <row r="1291" spans="1:5">
      <c r="A1291" t="s">
        <v>558</v>
      </c>
      <c r="B1291" t="s">
        <v>412</v>
      </c>
      <c r="C1291" s="8">
        <v>0</v>
      </c>
      <c r="D1291" t="str">
        <f>VLOOKUP(Tabulation!$B1291,Constants!$A:$C,2,FALSE)</f>
        <v>Change Request</v>
      </c>
      <c r="E1291" t="str">
        <f>VLOOKUP(Tabulation!$B1291,Constants!$A:$C,3,FALSE)</f>
        <v>Medium Volume</v>
      </c>
    </row>
    <row r="1292" spans="1:5">
      <c r="A1292" t="s">
        <v>558</v>
      </c>
      <c r="B1292" t="s">
        <v>414</v>
      </c>
      <c r="C1292" s="8">
        <v>0</v>
      </c>
      <c r="D1292" t="str">
        <f>VLOOKUP(Tabulation!$B1292,Constants!$A:$C,2,FALSE)</f>
        <v>Checklist</v>
      </c>
      <c r="E1292" t="str">
        <f>VLOOKUP(Tabulation!$B1292,Constants!$A:$C,3,FALSE)</f>
        <v>Medium Volume</v>
      </c>
    </row>
    <row r="1293" spans="1:5">
      <c r="A1293" t="s">
        <v>558</v>
      </c>
      <c r="B1293" t="s">
        <v>416</v>
      </c>
      <c r="C1293" s="8">
        <v>81</v>
      </c>
      <c r="D1293" t="str">
        <f>VLOOKUP(Tabulation!$B1293,Constants!$A:$C,2,FALSE)</f>
        <v>Completion Event</v>
      </c>
      <c r="E1293" t="str">
        <f>VLOOKUP(Tabulation!$B1293,Constants!$A:$C,3,FALSE)</f>
        <v>Medium Volume</v>
      </c>
    </row>
    <row r="1294" spans="1:5">
      <c r="A1294" t="s">
        <v>558</v>
      </c>
      <c r="B1294" t="s">
        <v>417</v>
      </c>
      <c r="C1294" s="8">
        <v>0</v>
      </c>
      <c r="D1294" t="str">
        <f>VLOOKUP(Tabulation!$B1294,Constants!$A:$C,2,FALSE)</f>
        <v>Communication</v>
      </c>
      <c r="E1294" t="str">
        <f>VLOOKUP(Tabulation!$B1294,Constants!$A:$C,3,FALSE)</f>
        <v>Medium Volume</v>
      </c>
    </row>
    <row r="1295" spans="1:5">
      <c r="A1295" t="s">
        <v>558</v>
      </c>
      <c r="B1295" t="s">
        <v>419</v>
      </c>
      <c r="C1295" s="8">
        <v>0</v>
      </c>
      <c r="D1295" t="str">
        <f>VLOOKUP(Tabulation!$B1295,Constants!$A:$C,2,FALSE)</f>
        <v>Communication In</v>
      </c>
      <c r="E1295" t="str">
        <f>VLOOKUP(Tabulation!$B1295,Constants!$A:$C,3,FALSE)</f>
        <v>Medium Volume</v>
      </c>
    </row>
    <row r="1296" spans="1:5">
      <c r="A1296" t="s">
        <v>558</v>
      </c>
      <c r="B1296" t="s">
        <v>420</v>
      </c>
      <c r="C1296" s="8">
        <v>0</v>
      </c>
      <c r="D1296" t="str">
        <f>VLOOKUP(Tabulation!$B1296,Constants!$A:$C,2,FALSE)</f>
        <v>Configuration</v>
      </c>
      <c r="E1296" t="str">
        <f>VLOOKUP(Tabulation!$B1296,Constants!$A:$C,3,FALSE)</f>
        <v>Medium Volume</v>
      </c>
    </row>
    <row r="1297" spans="1:5">
      <c r="A1297" t="s">
        <v>558</v>
      </c>
      <c r="B1297" t="s">
        <v>422</v>
      </c>
      <c r="C1297" s="8">
        <v>0</v>
      </c>
      <c r="D1297" t="str">
        <f>VLOOKUP(Tabulation!$B1297,Constants!$A:$C,2,FALSE)</f>
        <v>Configuration Report</v>
      </c>
      <c r="E1297" t="str">
        <f>VLOOKUP(Tabulation!$B1297,Constants!$A:$C,3,FALSE)</f>
        <v>Medium Volume</v>
      </c>
    </row>
    <row r="1298" spans="1:5">
      <c r="A1298" t="s">
        <v>558</v>
      </c>
      <c r="B1298" t="s">
        <v>424</v>
      </c>
      <c r="C1298" s="8">
        <v>56750</v>
      </c>
      <c r="D1298" t="str">
        <f>VLOOKUP(Tabulation!$B1298,Constants!$A:$C,2,FALSE)</f>
        <v>Contact</v>
      </c>
      <c r="E1298" t="str">
        <f>VLOOKUP(Tabulation!$B1298,Constants!$A:$C,3,FALSE)</f>
        <v>Medium Volume</v>
      </c>
    </row>
    <row r="1299" spans="1:5">
      <c r="A1299" t="s">
        <v>558</v>
      </c>
      <c r="B1299" t="s">
        <v>425</v>
      </c>
      <c r="C1299" s="8">
        <v>0</v>
      </c>
      <c r="D1299" t="str">
        <f>VLOOKUP(Tabulation!$B1299,Constants!$A:$C,2,FALSE)</f>
        <v>Crew</v>
      </c>
      <c r="E1299" t="str">
        <f>VLOOKUP(Tabulation!$B1299,Constants!$A:$C,3,FALSE)</f>
        <v>Medium Volume</v>
      </c>
    </row>
    <row r="1300" spans="1:5">
      <c r="A1300" t="s">
        <v>558</v>
      </c>
      <c r="B1300" t="s">
        <v>427</v>
      </c>
      <c r="C1300" s="8">
        <v>0</v>
      </c>
      <c r="D1300" t="str">
        <f>VLOOKUP(Tabulation!$B1300,Constants!$A:$C,2,FALSE)</f>
        <v>Crew Shift</v>
      </c>
      <c r="E1300" t="str">
        <f>VLOOKUP(Tabulation!$B1300,Constants!$A:$C,3,FALSE)</f>
        <v>Medium Volume</v>
      </c>
    </row>
    <row r="1301" spans="1:5">
      <c r="A1301" t="s">
        <v>558</v>
      </c>
      <c r="B1301" t="s">
        <v>429</v>
      </c>
      <c r="C1301" s="8">
        <v>0</v>
      </c>
      <c r="D1301" t="str">
        <f>VLOOKUP(Tabulation!$B1301,Constants!$A:$C,2,FALSE)</f>
        <v>Compatible Unit</v>
      </c>
      <c r="E1301" t="str">
        <f>VLOOKUP(Tabulation!$B1301,Constants!$A:$C,3,FALSE)</f>
        <v>Medium Volume</v>
      </c>
    </row>
    <row r="1302" spans="1:5">
      <c r="A1302" t="s">
        <v>558</v>
      </c>
      <c r="B1302" t="s">
        <v>431</v>
      </c>
      <c r="C1302" s="8">
        <v>0</v>
      </c>
      <c r="D1302" t="str">
        <f>VLOOKUP(Tabulation!$B1302,Constants!$A:$C,2,FALSE)</f>
        <v>CU Contractor Bid</v>
      </c>
      <c r="E1302" t="str">
        <f>VLOOKUP(Tabulation!$B1302,Constants!$A:$C,3,FALSE)</f>
        <v>Medium Volume</v>
      </c>
    </row>
    <row r="1303" spans="1:5">
      <c r="A1303" t="s">
        <v>558</v>
      </c>
      <c r="B1303" t="s">
        <v>433</v>
      </c>
      <c r="C1303" s="8">
        <v>0</v>
      </c>
      <c r="D1303" t="str">
        <f>VLOOKUP(Tabulation!$B1303,Constants!$A:$C,2,FALSE)</f>
        <v>Design Element</v>
      </c>
      <c r="E1303" t="str">
        <f>VLOOKUP(Tabulation!$B1303,Constants!$A:$C,3,FALSE)</f>
        <v>Medium Volume</v>
      </c>
    </row>
    <row r="1304" spans="1:5">
      <c r="A1304" t="s">
        <v>558</v>
      </c>
      <c r="B1304" t="s">
        <v>435</v>
      </c>
      <c r="C1304" s="8">
        <v>0</v>
      </c>
      <c r="D1304" t="str">
        <f>VLOOKUP(Tabulation!$B1304,Constants!$A:$C,2,FALSE)</f>
        <v>Document</v>
      </c>
      <c r="E1304" t="str">
        <f>VLOOKUP(Tabulation!$B1304,Constants!$A:$C,3,FALSE)</f>
        <v>Medium Volume</v>
      </c>
    </row>
    <row r="1305" spans="1:5">
      <c r="A1305" t="s">
        <v>558</v>
      </c>
      <c r="B1305" t="s">
        <v>437</v>
      </c>
      <c r="C1305" s="8">
        <v>0</v>
      </c>
      <c r="D1305" t="str">
        <f>VLOOKUP(Tabulation!$B1305,Constants!$A:$C,2,FALSE)</f>
        <v>Employee</v>
      </c>
      <c r="E1305" t="str">
        <f>VLOOKUP(Tabulation!$B1305,Constants!$A:$C,3,FALSE)</f>
        <v>Medium Volume</v>
      </c>
    </row>
    <row r="1306" spans="1:5">
      <c r="A1306" t="s">
        <v>558</v>
      </c>
      <c r="B1306" t="s">
        <v>439</v>
      </c>
      <c r="C1306" s="8">
        <v>0</v>
      </c>
      <c r="D1306" t="str">
        <f>VLOOKUP(Tabulation!$B1306,Constants!$A:$C,2,FALSE)</f>
        <v>Employee Unavailability</v>
      </c>
      <c r="E1306" t="str">
        <f>VLOOKUP(Tabulation!$B1306,Constants!$A:$C,3,FALSE)</f>
        <v>Medium Volume</v>
      </c>
    </row>
    <row r="1307" spans="1:5">
      <c r="A1307" t="s">
        <v>558</v>
      </c>
      <c r="B1307" t="s">
        <v>441</v>
      </c>
      <c r="C1307" s="8">
        <v>0</v>
      </c>
      <c r="D1307" t="str">
        <f>VLOOKUP(Tabulation!$B1307,Constants!$A:$C,2,FALSE)</f>
        <v>Expedite Purchase Order</v>
      </c>
      <c r="E1307" t="str">
        <f>VLOOKUP(Tabulation!$B1307,Constants!$A:$C,3,FALSE)</f>
        <v>High Volume</v>
      </c>
    </row>
    <row r="1308" spans="1:5">
      <c r="A1308" t="s">
        <v>558</v>
      </c>
      <c r="B1308" t="s">
        <v>443</v>
      </c>
      <c r="C1308" s="8">
        <v>0</v>
      </c>
      <c r="D1308" t="str">
        <f>VLOOKUP(Tabulation!$B1308,Constants!$A:$C,2,FALSE)</f>
        <v>Financial Transaction</v>
      </c>
      <c r="E1308" t="str">
        <f>VLOOKUP(Tabulation!$B1308,Constants!$A:$C,3,FALSE)</f>
        <v>Medium Volume</v>
      </c>
    </row>
    <row r="1309" spans="1:5">
      <c r="A1309" t="s">
        <v>558</v>
      </c>
      <c r="B1309" t="s">
        <v>444</v>
      </c>
      <c r="C1309" s="8">
        <v>0</v>
      </c>
      <c r="D1309" t="str">
        <f>VLOOKUP(Tabulation!$B1309,Constants!$A:$C,2,FALSE)</f>
        <v>Invoice Group</v>
      </c>
      <c r="E1309" t="str">
        <f>VLOOKUP(Tabulation!$B1309,Constants!$A:$C,3,FALSE)</f>
        <v>Medium Volume</v>
      </c>
    </row>
    <row r="1310" spans="1:5">
      <c r="A1310" t="s">
        <v>558</v>
      </c>
      <c r="B1310" t="s">
        <v>446</v>
      </c>
      <c r="C1310" s="8">
        <v>0</v>
      </c>
      <c r="D1310" t="str">
        <f>VLOOKUP(Tabulation!$B1310,Constants!$A:$C,2,FALSE)</f>
        <v>Invoice Header</v>
      </c>
      <c r="E1310" t="str">
        <f>VLOOKUP(Tabulation!$B1310,Constants!$A:$C,3,FALSE)</f>
        <v>Medium Volume</v>
      </c>
    </row>
    <row r="1311" spans="1:5">
      <c r="A1311" t="s">
        <v>558</v>
      </c>
      <c r="B1311" t="s">
        <v>448</v>
      </c>
      <c r="C1311" s="8">
        <v>0</v>
      </c>
      <c r="D1311" t="str">
        <f>VLOOKUP(Tabulation!$B1311,Constants!$A:$C,2,FALSE)</f>
        <v>Invoice Line</v>
      </c>
      <c r="E1311" t="str">
        <f>VLOOKUP(Tabulation!$B1311,Constants!$A:$C,3,FALSE)</f>
        <v>Medium Volume</v>
      </c>
    </row>
    <row r="1312" spans="1:5">
      <c r="A1312" t="s">
        <v>558</v>
      </c>
      <c r="B1312" t="s">
        <v>450</v>
      </c>
      <c r="C1312" s="8">
        <v>0</v>
      </c>
      <c r="D1312" t="str">
        <f>VLOOKUP(Tabulation!$B1312,Constants!$A:$C,2,FALSE)</f>
        <v>Inventory Adjustment</v>
      </c>
      <c r="E1312" t="str">
        <f>VLOOKUP(Tabulation!$B1312,Constants!$A:$C,3,FALSE)</f>
        <v>Medium Volume</v>
      </c>
    </row>
    <row r="1313" spans="1:5">
      <c r="A1313" t="s">
        <v>558</v>
      </c>
      <c r="B1313" t="s">
        <v>452</v>
      </c>
      <c r="C1313" s="8">
        <v>0</v>
      </c>
      <c r="D1313" t="str">
        <f>VLOOKUP(Tabulation!$B1313,Constants!$A:$C,2,FALSE)</f>
        <v>Maintenance Event</v>
      </c>
      <c r="E1313" t="str">
        <f>VLOOKUP(Tabulation!$B1313,Constants!$A:$C,3,FALSE)</f>
        <v>Medium Volume</v>
      </c>
    </row>
    <row r="1314" spans="1:5">
      <c r="A1314" t="s">
        <v>558</v>
      </c>
      <c r="B1314" t="s">
        <v>454</v>
      </c>
      <c r="C1314" s="8">
        <v>0</v>
      </c>
      <c r="D1314" t="str">
        <f>VLOOKUP(Tabulation!$B1314,Constants!$A:$C,2,FALSE)</f>
        <v>Maintenance Schedule</v>
      </c>
      <c r="E1314" t="str">
        <f>VLOOKUP(Tabulation!$B1314,Constants!$A:$C,3,FALSE)</f>
        <v>Medium Volume</v>
      </c>
    </row>
    <row r="1315" spans="1:5">
      <c r="A1315" t="s">
        <v>558</v>
      </c>
      <c r="B1315" t="s">
        <v>456</v>
      </c>
      <c r="C1315" s="8">
        <v>0</v>
      </c>
      <c r="D1315" t="str">
        <f>VLOOKUP(Tabulation!$B1315,Constants!$A:$C,2,FALSE)</f>
        <v>Maintenance Trigger</v>
      </c>
      <c r="E1315" t="str">
        <f>VLOOKUP(Tabulation!$B1315,Constants!$A:$C,3,FALSE)</f>
        <v>Medium Volume</v>
      </c>
    </row>
    <row r="1316" spans="1:5">
      <c r="A1316" t="s">
        <v>558</v>
      </c>
      <c r="B1316" t="s">
        <v>458</v>
      </c>
      <c r="C1316" s="8">
        <v>0</v>
      </c>
      <c r="D1316" t="str">
        <f>VLOOKUP(Tabulation!$B1316,Constants!$A:$C,2,FALSE)</f>
        <v>Material Disposition</v>
      </c>
      <c r="E1316" t="str">
        <f>VLOOKUP(Tabulation!$B1316,Constants!$A:$C,3,FALSE)</f>
        <v>Medium Volume</v>
      </c>
    </row>
    <row r="1317" spans="1:5">
      <c r="A1317" t="s">
        <v>558</v>
      </c>
      <c r="B1317" t="s">
        <v>460</v>
      </c>
      <c r="C1317" s="8">
        <v>0</v>
      </c>
      <c r="D1317" t="str">
        <f>VLOOKUP(Tabulation!$B1317,Constants!$A:$C,2,FALSE)</f>
        <v>Material Issue Line</v>
      </c>
      <c r="E1317" t="str">
        <f>VLOOKUP(Tabulation!$B1317,Constants!$A:$C,3,FALSE)</f>
        <v>Medium Volume</v>
      </c>
    </row>
    <row r="1318" spans="1:5">
      <c r="A1318" t="s">
        <v>558</v>
      </c>
      <c r="B1318" t="s">
        <v>462</v>
      </c>
      <c r="C1318" s="8">
        <v>0</v>
      </c>
      <c r="D1318" t="str">
        <f>VLOOKUP(Tabulation!$B1318,Constants!$A:$C,2,FALSE)</f>
        <v>Material Request Header</v>
      </c>
      <c r="E1318" t="str">
        <f>VLOOKUP(Tabulation!$B1318,Constants!$A:$C,3,FALSE)</f>
        <v>Medium Volume</v>
      </c>
    </row>
    <row r="1319" spans="1:5">
      <c r="A1319" t="s">
        <v>558</v>
      </c>
      <c r="B1319" t="s">
        <v>464</v>
      </c>
      <c r="C1319" s="8">
        <v>0</v>
      </c>
      <c r="D1319" t="str">
        <f>VLOOKUP(Tabulation!$B1319,Constants!$A:$C,2,FALSE)</f>
        <v>Material Request Line</v>
      </c>
      <c r="E1319" t="str">
        <f>VLOOKUP(Tabulation!$B1319,Constants!$A:$C,3,FALSE)</f>
        <v>Medium Volume</v>
      </c>
    </row>
    <row r="1320" spans="1:5">
      <c r="A1320" t="s">
        <v>558</v>
      </c>
      <c r="B1320" t="s">
        <v>466</v>
      </c>
      <c r="C1320" s="8">
        <v>0</v>
      </c>
      <c r="D1320" t="str">
        <f>VLOOKUP(Tabulation!$B1320,Constants!$A:$C,2,FALSE)</f>
        <v>Material Request Template</v>
      </c>
      <c r="E1320" t="str">
        <f>VLOOKUP(Tabulation!$B1320,Constants!$A:$C,3,FALSE)</f>
        <v>Medium Volume</v>
      </c>
    </row>
    <row r="1321" spans="1:5">
      <c r="A1321" t="s">
        <v>558</v>
      </c>
      <c r="B1321" t="s">
        <v>468</v>
      </c>
      <c r="C1321" s="8">
        <v>0</v>
      </c>
      <c r="D1321" t="str">
        <f>VLOOKUP(Tabulation!$B1321,Constants!$A:$C,2,FALSE)</f>
        <v>Material Return Header</v>
      </c>
      <c r="E1321" t="str">
        <f>VLOOKUP(Tabulation!$B1321,Constants!$A:$C,3,FALSE)</f>
        <v>Medium Volume</v>
      </c>
    </row>
    <row r="1322" spans="1:5">
      <c r="A1322" t="s">
        <v>558</v>
      </c>
      <c r="B1322" t="s">
        <v>470</v>
      </c>
      <c r="C1322" s="8">
        <v>0</v>
      </c>
      <c r="D1322" t="str">
        <f>VLOOKUP(Tabulation!$B1322,Constants!$A:$C,2,FALSE)</f>
        <v>Material Return Line</v>
      </c>
      <c r="E1322" t="str">
        <f>VLOOKUP(Tabulation!$B1322,Constants!$A:$C,3,FALSE)</f>
        <v>Medium Volume</v>
      </c>
    </row>
    <row r="1323" spans="1:5">
      <c r="A1323" t="s">
        <v>558</v>
      </c>
      <c r="B1323" t="s">
        <v>472</v>
      </c>
      <c r="C1323" s="8">
        <v>0</v>
      </c>
      <c r="D1323" t="str">
        <f>VLOOKUP(Tabulation!$B1323,Constants!$A:$C,2,FALSE)</f>
        <v>Measurement</v>
      </c>
      <c r="E1323" t="str">
        <f>VLOOKUP(Tabulation!$B1323,Constants!$A:$C,3,FALSE)</f>
        <v>Medium Volume</v>
      </c>
    </row>
    <row r="1324" spans="1:5">
      <c r="A1324" t="s">
        <v>558</v>
      </c>
      <c r="B1324" t="s">
        <v>473</v>
      </c>
      <c r="C1324" s="8">
        <v>0</v>
      </c>
      <c r="D1324" t="str">
        <f>VLOOKUP(Tabulation!$B1324,Constants!$A:$C,2,FALSE)</f>
        <v>Mobile Subscription</v>
      </c>
      <c r="E1324" t="str">
        <f>VLOOKUP(Tabulation!$B1324,Constants!$A:$C,3,FALSE)</f>
        <v>Medium Volume</v>
      </c>
    </row>
    <row r="1325" spans="1:5">
      <c r="A1325" t="s">
        <v>558</v>
      </c>
      <c r="B1325" t="s">
        <v>475</v>
      </c>
      <c r="C1325" s="8">
        <v>44703</v>
      </c>
      <c r="D1325" t="str">
        <f>VLOOKUP(Tabulation!$B1325,Constants!$A:$C,2,FALSE)</f>
        <v>Location/Organization</v>
      </c>
      <c r="E1325" t="str">
        <f>VLOOKUP(Tabulation!$B1325,Constants!$A:$C,3,FALSE)</f>
        <v>Medium Volume</v>
      </c>
    </row>
    <row r="1326" spans="1:5">
      <c r="A1326" t="s">
        <v>558</v>
      </c>
      <c r="B1326" t="s">
        <v>477</v>
      </c>
      <c r="C1326" s="8">
        <v>0</v>
      </c>
      <c r="D1326" t="str">
        <f>VLOOKUP(Tabulation!$B1326,Constants!$A:$C,2,FALSE)</f>
        <v>Other Direct Charges</v>
      </c>
      <c r="E1326" t="str">
        <f>VLOOKUP(Tabulation!$B1326,Constants!$A:$C,3,FALSE)</f>
        <v>Medium Volume</v>
      </c>
    </row>
    <row r="1327" spans="1:5">
      <c r="A1327" t="s">
        <v>558</v>
      </c>
      <c r="B1327" t="s">
        <v>479</v>
      </c>
      <c r="C1327" s="8">
        <v>0</v>
      </c>
      <c r="D1327" t="str">
        <f>VLOOKUP(Tabulation!$B1327,Constants!$A:$C,2,FALSE)</f>
        <v>Other Direct Charges Detail</v>
      </c>
      <c r="E1327" t="str">
        <f>VLOOKUP(Tabulation!$B1327,Constants!$A:$C,3,FALSE)</f>
        <v>Medium Volume</v>
      </c>
    </row>
    <row r="1328" spans="1:5">
      <c r="A1328" t="s">
        <v>558</v>
      </c>
      <c r="B1328" t="s">
        <v>481</v>
      </c>
      <c r="C1328" s="8">
        <v>0</v>
      </c>
      <c r="D1328" t="str">
        <f>VLOOKUP(Tabulation!$B1328,Constants!$A:$C,2,FALSE)</f>
        <v>Permit</v>
      </c>
      <c r="E1328" t="str">
        <f>VLOOKUP(Tabulation!$B1328,Constants!$A:$C,3,FALSE)</f>
        <v>Medium Volume</v>
      </c>
    </row>
    <row r="1329" spans="1:5">
      <c r="A1329" t="s">
        <v>558</v>
      </c>
      <c r="B1329" t="s">
        <v>483</v>
      </c>
      <c r="C1329" s="8">
        <v>0</v>
      </c>
      <c r="D1329" t="str">
        <f>VLOOKUP(Tabulation!$B1329,Constants!$A:$C,2,FALSE)</f>
        <v>Physical Inventory Count Line</v>
      </c>
      <c r="E1329" t="str">
        <f>VLOOKUP(Tabulation!$B1329,Constants!$A:$C,3,FALSE)</f>
        <v>Medium Volume</v>
      </c>
    </row>
    <row r="1330" spans="1:5">
      <c r="A1330" t="s">
        <v>558</v>
      </c>
      <c r="B1330" t="s">
        <v>485</v>
      </c>
      <c r="C1330" s="8">
        <v>0</v>
      </c>
      <c r="D1330" t="str">
        <f>VLOOKUP(Tabulation!$B1330,Constants!$A:$C,2,FALSE)</f>
        <v>Physical Inventory Count Master</v>
      </c>
      <c r="E1330" t="str">
        <f>VLOOKUP(Tabulation!$B1330,Constants!$A:$C,3,FALSE)</f>
        <v>Medium Volume</v>
      </c>
    </row>
    <row r="1331" spans="1:5">
      <c r="A1331" t="s">
        <v>558</v>
      </c>
      <c r="B1331" t="s">
        <v>487</v>
      </c>
      <c r="C1331" s="8">
        <v>0</v>
      </c>
      <c r="D1331" t="str">
        <f>VLOOKUP(Tabulation!$B1331,Constants!$A:$C,2,FALSE)</f>
        <v>Physical Inventory Header</v>
      </c>
      <c r="E1331" t="str">
        <f>VLOOKUP(Tabulation!$B1331,Constants!$A:$C,3,FALSE)</f>
        <v>Medium Volume</v>
      </c>
    </row>
    <row r="1332" spans="1:5">
      <c r="A1332" t="s">
        <v>558</v>
      </c>
      <c r="B1332" t="s">
        <v>489</v>
      </c>
      <c r="C1332" s="8">
        <v>0</v>
      </c>
      <c r="D1332" t="str">
        <f>VLOOKUP(Tabulation!$B1332,Constants!$A:$C,2,FALSE)</f>
        <v>Purchase Order Header</v>
      </c>
      <c r="E1332" t="str">
        <f>VLOOKUP(Tabulation!$B1332,Constants!$A:$C,3,FALSE)</f>
        <v>Medium Volume</v>
      </c>
    </row>
    <row r="1333" spans="1:5">
      <c r="A1333" t="s">
        <v>558</v>
      </c>
      <c r="B1333" t="s">
        <v>491</v>
      </c>
      <c r="C1333" s="8">
        <v>0</v>
      </c>
      <c r="D1333" t="str">
        <f>VLOOKUP(Tabulation!$B1333,Constants!$A:$C,2,FALSE)</f>
        <v>Purchase Order Line</v>
      </c>
      <c r="E1333" t="str">
        <f>VLOOKUP(Tabulation!$B1333,Constants!$A:$C,3,FALSE)</f>
        <v>Medium Volume</v>
      </c>
    </row>
    <row r="1334" spans="1:5">
      <c r="A1334" t="s">
        <v>558</v>
      </c>
      <c r="B1334" t="s">
        <v>493</v>
      </c>
      <c r="C1334" s="8">
        <v>0</v>
      </c>
      <c r="D1334" t="str">
        <f>VLOOKUP(Tabulation!$B1334,Constants!$A:$C,2,FALSE)</f>
        <v>Functional Process</v>
      </c>
      <c r="E1334" t="str">
        <f>VLOOKUP(Tabulation!$B1334,Constants!$A:$C,3,FALSE)</f>
        <v>Medium Volume</v>
      </c>
    </row>
    <row r="1335" spans="1:5">
      <c r="A1335" t="s">
        <v>558</v>
      </c>
      <c r="B1335" t="s">
        <v>495</v>
      </c>
      <c r="C1335" s="8">
        <v>0</v>
      </c>
      <c r="D1335" t="str">
        <f>VLOOKUP(Tabulation!$B1335,Constants!$A:$C,2,FALSE)</f>
        <v>Project</v>
      </c>
      <c r="E1335" t="str">
        <f>VLOOKUP(Tabulation!$B1335,Constants!$A:$C,3,FALSE)</f>
        <v>Medium Volume</v>
      </c>
    </row>
    <row r="1336" spans="1:5">
      <c r="A1336" t="s">
        <v>558</v>
      </c>
      <c r="B1336" t="s">
        <v>497</v>
      </c>
      <c r="C1336" s="8">
        <v>0</v>
      </c>
      <c r="D1336" t="str">
        <f>VLOOKUP(Tabulation!$B1336,Constants!$A:$C,2,FALSE)</f>
        <v>Purchase Requisition Header</v>
      </c>
      <c r="E1336" t="str">
        <f>VLOOKUP(Tabulation!$B1336,Constants!$A:$C,3,FALSE)</f>
        <v>Medium Volume</v>
      </c>
    </row>
    <row r="1337" spans="1:5">
      <c r="A1337" t="s">
        <v>558</v>
      </c>
      <c r="B1337" t="s">
        <v>499</v>
      </c>
      <c r="C1337" s="8">
        <v>0</v>
      </c>
      <c r="D1337" t="str">
        <f>VLOOKUP(Tabulation!$B1337,Constants!$A:$C,2,FALSE)</f>
        <v>Purchase Requisition Line</v>
      </c>
      <c r="E1337" t="str">
        <f>VLOOKUP(Tabulation!$B1337,Constants!$A:$C,3,FALSE)</f>
        <v>Medium Volume</v>
      </c>
    </row>
    <row r="1338" spans="1:5">
      <c r="A1338" t="s">
        <v>558</v>
      </c>
      <c r="B1338" t="s">
        <v>501</v>
      </c>
      <c r="C1338" s="8">
        <v>0</v>
      </c>
      <c r="D1338" t="str">
        <f>VLOOKUP(Tabulation!$B1338,Constants!$A:$C,2,FALSE)</f>
        <v>Receipt Header</v>
      </c>
      <c r="E1338" t="str">
        <f>VLOOKUP(Tabulation!$B1338,Constants!$A:$C,3,FALSE)</f>
        <v>Medium Volume</v>
      </c>
    </row>
    <row r="1339" spans="1:5">
      <c r="A1339" t="s">
        <v>558</v>
      </c>
      <c r="B1339" t="s">
        <v>503</v>
      </c>
      <c r="C1339" s="8">
        <v>0</v>
      </c>
      <c r="D1339" t="str">
        <f>VLOOKUP(Tabulation!$B1339,Constants!$A:$C,2,FALSE)</f>
        <v>Receipt Line</v>
      </c>
      <c r="E1339" t="str">
        <f>VLOOKUP(Tabulation!$B1339,Constants!$A:$C,3,FALSE)</f>
        <v>Medium Volume</v>
      </c>
    </row>
    <row r="1340" spans="1:5">
      <c r="A1340" t="s">
        <v>558</v>
      </c>
      <c r="B1340" t="s">
        <v>505</v>
      </c>
      <c r="C1340" s="8">
        <v>0</v>
      </c>
      <c r="D1340" t="str">
        <f>VLOOKUP(Tabulation!$B1340,Constants!$A:$C,2,FALSE)</f>
        <v>Report Queue</v>
      </c>
      <c r="E1340" t="str">
        <f>VLOOKUP(Tabulation!$B1340,Constants!$A:$C,3,FALSE)</f>
        <v>Medium Volume</v>
      </c>
    </row>
    <row r="1341" spans="1:5">
      <c r="A1341" t="s">
        <v>558</v>
      </c>
      <c r="B1341" t="s">
        <v>507</v>
      </c>
      <c r="C1341" s="8">
        <v>0</v>
      </c>
      <c r="D1341" t="str">
        <f>VLOOKUP(Tabulation!$B1341,Constants!$A:$C,2,FALSE)</f>
        <v>Resource Type</v>
      </c>
      <c r="E1341" t="str">
        <f>VLOOKUP(Tabulation!$B1341,Constants!$A:$C,3,FALSE)</f>
        <v>Medium Volume</v>
      </c>
    </row>
    <row r="1342" spans="1:5">
      <c r="A1342" t="s">
        <v>558</v>
      </c>
      <c r="B1342" t="s">
        <v>509</v>
      </c>
      <c r="C1342" s="8">
        <v>0</v>
      </c>
      <c r="D1342" t="str">
        <f>VLOOKUP(Tabulation!$B1342,Constants!$A:$C,2,FALSE)</f>
        <v>Reorder Review</v>
      </c>
      <c r="E1342" t="str">
        <f>VLOOKUP(Tabulation!$B1342,Constants!$A:$C,3,FALSE)</f>
        <v>Medium Volume</v>
      </c>
    </row>
    <row r="1343" spans="1:5">
      <c r="A1343" t="s">
        <v>558</v>
      </c>
      <c r="B1343" t="s">
        <v>511</v>
      </c>
      <c r="C1343" s="8">
        <v>0</v>
      </c>
      <c r="D1343" t="str">
        <f>VLOOKUP(Tabulation!$B1343,Constants!$A:$C,2,FALSE)</f>
        <v>Return Line</v>
      </c>
      <c r="E1343" t="str">
        <f>VLOOKUP(Tabulation!$B1343,Constants!$A:$C,3,FALSE)</f>
        <v>Medium Volume</v>
      </c>
    </row>
    <row r="1344" spans="1:5">
      <c r="A1344" t="s">
        <v>558</v>
      </c>
      <c r="B1344" t="s">
        <v>513</v>
      </c>
      <c r="C1344" s="8">
        <v>0</v>
      </c>
      <c r="D1344" t="str">
        <f>VLOOKUP(Tabulation!$B1344,Constants!$A:$C,2,FALSE)</f>
        <v>Shift Weekly Template</v>
      </c>
      <c r="E1344" t="str">
        <f>VLOOKUP(Tabulation!$B1344,Constants!$A:$C,3,FALSE)</f>
        <v>Medium Volume</v>
      </c>
    </row>
    <row r="1345" spans="1:5">
      <c r="A1345" t="s">
        <v>558</v>
      </c>
      <c r="B1345" t="s">
        <v>515</v>
      </c>
      <c r="C1345" s="8">
        <v>0</v>
      </c>
      <c r="D1345" t="str">
        <f>VLOOKUP(Tabulation!$B1345,Constants!$A:$C,2,FALSE)</f>
        <v>Shipping Line</v>
      </c>
      <c r="E1345" t="str">
        <f>VLOOKUP(Tabulation!$B1345,Constants!$A:$C,3,FALSE)</f>
        <v>Medium Volume</v>
      </c>
    </row>
    <row r="1346" spans="1:5">
      <c r="A1346" t="s">
        <v>558</v>
      </c>
      <c r="B1346" t="s">
        <v>517</v>
      </c>
      <c r="C1346" s="8">
        <v>0</v>
      </c>
      <c r="D1346" t="str">
        <f>VLOOKUP(Tabulation!$B1346,Constants!$A:$C,2,FALSE)</f>
        <v>Shipping Memo</v>
      </c>
      <c r="E1346" t="str">
        <f>VLOOKUP(Tabulation!$B1346,Constants!$A:$C,3,FALSE)</f>
        <v>Medium Volume</v>
      </c>
    </row>
    <row r="1347" spans="1:5">
      <c r="A1347" t="s">
        <v>558</v>
      </c>
      <c r="B1347" t="s">
        <v>519</v>
      </c>
      <c r="C1347" s="8">
        <v>0</v>
      </c>
      <c r="D1347" t="str">
        <f>VLOOKUP(Tabulation!$B1347,Constants!$A:$C,2,FALSE)</f>
        <v>Stock Item Detail</v>
      </c>
      <c r="E1347" t="str">
        <f>VLOOKUP(Tabulation!$B1347,Constants!$A:$C,3,FALSE)</f>
        <v>Medium Volume</v>
      </c>
    </row>
    <row r="1348" spans="1:5">
      <c r="A1348" t="s">
        <v>558</v>
      </c>
      <c r="B1348" t="s">
        <v>521</v>
      </c>
      <c r="C1348" s="8">
        <v>0</v>
      </c>
      <c r="D1348" t="str">
        <f>VLOOKUP(Tabulation!$B1348,Constants!$A:$C,2,FALSE)</f>
        <v>Stock Transaction</v>
      </c>
      <c r="E1348" t="str">
        <f>VLOOKUP(Tabulation!$B1348,Constants!$A:$C,3,FALSE)</f>
        <v>Medium Volume</v>
      </c>
    </row>
    <row r="1349" spans="1:5">
      <c r="A1349" t="s">
        <v>558</v>
      </c>
      <c r="B1349" t="s">
        <v>523</v>
      </c>
      <c r="C1349" s="8">
        <v>0</v>
      </c>
      <c r="D1349" t="str">
        <f>VLOOKUP(Tabulation!$B1349,Constants!$A:$C,2,FALSE)</f>
        <v>Service History</v>
      </c>
      <c r="E1349" t="str">
        <f>VLOOKUP(Tabulation!$B1349,Constants!$A:$C,3,FALSE)</f>
        <v>Medium Volume</v>
      </c>
    </row>
    <row r="1350" spans="1:5">
      <c r="A1350" t="s">
        <v>558</v>
      </c>
      <c r="B1350" t="s">
        <v>525</v>
      </c>
      <c r="C1350" s="8">
        <v>0</v>
      </c>
      <c r="D1350" t="str">
        <f>VLOOKUP(Tabulation!$B1350,Constants!$A:$C,2,FALSE)</f>
        <v>Timesheet</v>
      </c>
      <c r="E1350" t="str">
        <f>VLOOKUP(Tabulation!$B1350,Constants!$A:$C,3,FALSE)</f>
        <v>Medium Volume</v>
      </c>
    </row>
    <row r="1351" spans="1:5">
      <c r="A1351" t="s">
        <v>558</v>
      </c>
      <c r="B1351" t="s">
        <v>527</v>
      </c>
      <c r="C1351" s="8">
        <v>0</v>
      </c>
      <c r="D1351" t="str">
        <f>VLOOKUP(Tabulation!$B1351,Constants!$A:$C,2,FALSE)</f>
        <v>Timesheet Detail</v>
      </c>
      <c r="E1351" t="str">
        <f>VLOOKUP(Tabulation!$B1351,Constants!$A:$C,3,FALSE)</f>
        <v>Medium Volume</v>
      </c>
    </row>
    <row r="1352" spans="1:5">
      <c r="A1352" t="s">
        <v>558</v>
      </c>
      <c r="B1352" t="s">
        <v>529</v>
      </c>
      <c r="C1352" s="8">
        <v>0</v>
      </c>
      <c r="D1352" t="str">
        <f>VLOOKUP(Tabulation!$B1352,Constants!$A:$C,2,FALSE)</f>
        <v>Template Activity</v>
      </c>
      <c r="E1352" t="str">
        <f>VLOOKUP(Tabulation!$B1352,Constants!$A:$C,3,FALSE)</f>
        <v>Medium Volume</v>
      </c>
    </row>
    <row r="1353" spans="1:5">
      <c r="A1353" t="s">
        <v>558</v>
      </c>
      <c r="B1353" t="s">
        <v>531</v>
      </c>
      <c r="C1353" s="8">
        <v>0</v>
      </c>
      <c r="D1353" t="str">
        <f>VLOOKUP(Tabulation!$B1353,Constants!$A:$C,2,FALSE)</f>
        <v>Template Activity Resource</v>
      </c>
      <c r="E1353" t="str">
        <f>VLOOKUP(Tabulation!$B1353,Constants!$A:$C,3,FALSE)</f>
        <v>Medium Volume</v>
      </c>
    </row>
    <row r="1354" spans="1:5">
      <c r="A1354" t="s">
        <v>558</v>
      </c>
      <c r="B1354" t="s">
        <v>533</v>
      </c>
      <c r="C1354" s="8">
        <v>0</v>
      </c>
      <c r="D1354" t="str">
        <f>VLOOKUP(Tabulation!$B1354,Constants!$A:$C,2,FALSE)</f>
        <v>Template Work Order</v>
      </c>
      <c r="E1354" t="str">
        <f>VLOOKUP(Tabulation!$B1354,Constants!$A:$C,3,FALSE)</f>
        <v>Medium Volume</v>
      </c>
    </row>
    <row r="1355" spans="1:5">
      <c r="A1355" t="s">
        <v>558</v>
      </c>
      <c r="B1355" t="s">
        <v>535</v>
      </c>
      <c r="C1355" s="8">
        <v>0</v>
      </c>
      <c r="D1355" t="str">
        <f>VLOOKUP(Tabulation!$B1355,Constants!$A:$C,2,FALSE)</f>
        <v>Vendor</v>
      </c>
      <c r="E1355" t="str">
        <f>VLOOKUP(Tabulation!$B1355,Constants!$A:$C,3,FALSE)</f>
        <v>Medium Volume</v>
      </c>
    </row>
    <row r="1356" spans="1:5">
      <c r="A1356" t="s">
        <v>558</v>
      </c>
      <c r="B1356" t="s">
        <v>537</v>
      </c>
      <c r="C1356" s="8">
        <v>0</v>
      </c>
      <c r="D1356" t="str">
        <f>VLOOKUP(Tabulation!$B1356,Constants!$A:$C,2,FALSE)</f>
        <v>Vendor Location</v>
      </c>
      <c r="E1356" t="str">
        <f>VLOOKUP(Tabulation!$B1356,Constants!$A:$C,3,FALSE)</f>
        <v>Medium Volume</v>
      </c>
    </row>
    <row r="1357" spans="1:5">
      <c r="A1357" t="s">
        <v>558</v>
      </c>
      <c r="B1357" t="s">
        <v>539</v>
      </c>
      <c r="C1357" s="8">
        <v>0</v>
      </c>
      <c r="D1357" t="str">
        <f>VLOOKUP(Tabulation!$B1357,Constants!$A:$C,2,FALSE)</f>
        <v>Warranty</v>
      </c>
      <c r="E1357" t="str">
        <f>VLOOKUP(Tabulation!$B1357,Constants!$A:$C,3,FALSE)</f>
        <v>Medium Volume</v>
      </c>
    </row>
    <row r="1358" spans="1:5">
      <c r="A1358" t="s">
        <v>558</v>
      </c>
      <c r="B1358" t="s">
        <v>541</v>
      </c>
      <c r="C1358" s="8">
        <v>3</v>
      </c>
      <c r="D1358" t="str">
        <f>VLOOKUP(Tabulation!$B1358,Constants!$A:$C,2,FALSE)</f>
        <v>Work Order</v>
      </c>
      <c r="E1358" t="str">
        <f>VLOOKUP(Tabulation!$B1358,Constants!$A:$C,3,FALSE)</f>
        <v>Medium Volume</v>
      </c>
    </row>
    <row r="1359" spans="1:5">
      <c r="A1359" t="s">
        <v>558</v>
      </c>
      <c r="B1359" t="s">
        <v>543</v>
      </c>
      <c r="C1359" s="8">
        <v>0</v>
      </c>
      <c r="D1359" t="str">
        <f>VLOOKUP(Tabulation!$B1359,Constants!$A:$C,2,FALSE)</f>
        <v>Work Design</v>
      </c>
      <c r="E1359" t="str">
        <f>VLOOKUP(Tabulation!$B1359,Constants!$A:$C,3,FALSE)</f>
        <v>Medium Volume</v>
      </c>
    </row>
    <row r="1360" spans="1:5">
      <c r="A1360" t="s">
        <v>558</v>
      </c>
      <c r="B1360" t="s">
        <v>545</v>
      </c>
      <c r="C1360" s="8">
        <v>0</v>
      </c>
      <c r="D1360" t="str">
        <f>VLOOKUP(Tabulation!$B1360,Constants!$A:$C,2,FALSE)</f>
        <v>Work Location</v>
      </c>
      <c r="E1360" t="str">
        <f>VLOOKUP(Tabulation!$B1360,Constants!$A:$C,3,FALSE)</f>
        <v>Medium Volume</v>
      </c>
    </row>
    <row r="1361" spans="1:5">
      <c r="A1361" t="s">
        <v>558</v>
      </c>
      <c r="B1361" t="s">
        <v>547</v>
      </c>
      <c r="C1361" s="8">
        <v>0</v>
      </c>
      <c r="D1361" t="str">
        <f>VLOOKUP(Tabulation!$B1361,Constants!$A:$C,2,FALSE)</f>
        <v>Work Request</v>
      </c>
      <c r="E1361" t="str">
        <f>VLOOKUP(Tabulation!$B1361,Constants!$A:$C,3,FALSE)</f>
        <v>Medium Volume</v>
      </c>
    </row>
  </sheetData>
  <autoFilter ref="A1:E1" xr:uid="{C11EEBB9-0CD6-4B5C-9A80-7CD299F8150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B53E-2655-46E8-9922-01CC3F7B120A}">
  <dimension ref="A1:J279"/>
  <sheetViews>
    <sheetView workbookViewId="0">
      <selection activeCell="G9" sqref="A1:J279"/>
    </sheetView>
  </sheetViews>
  <sheetFormatPr defaultRowHeight="15"/>
  <cols>
    <col min="1" max="1" width="22" customWidth="1"/>
    <col min="2" max="2" width="11.42578125" customWidth="1"/>
    <col min="3" max="3" width="11.28515625" bestFit="1" customWidth="1"/>
    <col min="4" max="4" width="10.28515625" bestFit="1" customWidth="1"/>
    <col min="5" max="5" width="14.5703125" bestFit="1" customWidth="1"/>
    <col min="6" max="6" width="10.140625" bestFit="1" customWidth="1"/>
    <col min="7" max="7" width="15.28515625" style="18" bestFit="1" customWidth="1"/>
    <col min="8" max="8" width="39.7109375" customWidth="1"/>
    <col min="9" max="9" width="15.5703125" customWidth="1"/>
  </cols>
  <sheetData>
    <row r="1" spans="1:10">
      <c r="A1" s="6" t="s">
        <v>559</v>
      </c>
      <c r="B1" s="6" t="s">
        <v>560</v>
      </c>
      <c r="G1" s="15"/>
      <c r="H1" s="9"/>
      <c r="I1" s="9"/>
      <c r="J1" s="9"/>
    </row>
    <row r="2" spans="1:10">
      <c r="A2" s="10" t="s">
        <v>561</v>
      </c>
      <c r="B2" s="11" t="s">
        <v>558</v>
      </c>
      <c r="C2" s="11" t="s">
        <v>557</v>
      </c>
      <c r="D2" s="11" t="s">
        <v>556</v>
      </c>
      <c r="E2" s="11" t="s">
        <v>555</v>
      </c>
      <c r="F2" s="11" t="s">
        <v>554</v>
      </c>
      <c r="G2" s="16" t="s">
        <v>562</v>
      </c>
      <c r="H2" s="12" t="s">
        <v>552</v>
      </c>
      <c r="I2" s="12" t="s">
        <v>563</v>
      </c>
      <c r="J2" s="12" t="s">
        <v>564</v>
      </c>
    </row>
    <row r="3" spans="1:10">
      <c r="A3" s="13" t="s">
        <v>6</v>
      </c>
      <c r="B3" s="14">
        <v>0</v>
      </c>
      <c r="C3" s="14">
        <v>0</v>
      </c>
      <c r="D3" s="14">
        <v>0</v>
      </c>
      <c r="E3" s="14">
        <v>0</v>
      </c>
      <c r="F3" s="14">
        <v>0</v>
      </c>
      <c r="G3" s="17">
        <f>SUM(B3,C3,D3,E3,F3)</f>
        <v>0</v>
      </c>
      <c r="H3" s="2" t="str">
        <f>VLOOKUP(A3,Constants!$A:$C,2,FALSE)</f>
        <v>Financial Transaction Monthly Aggregate</v>
      </c>
      <c r="I3" s="2"/>
      <c r="J3" s="2"/>
    </row>
    <row r="4" spans="1:10">
      <c r="A4" s="13" t="s">
        <v>3</v>
      </c>
      <c r="B4" s="14">
        <v>0</v>
      </c>
      <c r="C4" s="14">
        <v>0</v>
      </c>
      <c r="D4" s="14">
        <v>0</v>
      </c>
      <c r="E4" s="14">
        <v>0</v>
      </c>
      <c r="F4" s="14">
        <v>0</v>
      </c>
      <c r="G4" s="17">
        <f t="shared" ref="G4:G67" si="0">SUM(B4,C4,D4,E4,F4)</f>
        <v>0</v>
      </c>
      <c r="H4" s="2" t="str">
        <f>VLOOKUP(A4,Constants!$A:$C,2,FALSE)</f>
        <v>Financial Transaction GL Monthly Aggregate</v>
      </c>
      <c r="I4" s="2"/>
      <c r="J4" s="2"/>
    </row>
    <row r="5" spans="1:10">
      <c r="A5" s="13" t="s">
        <v>8</v>
      </c>
      <c r="B5" s="14">
        <v>0</v>
      </c>
      <c r="C5" s="14">
        <v>0</v>
      </c>
      <c r="D5" s="14">
        <v>500256</v>
      </c>
      <c r="E5" s="14">
        <v>0</v>
      </c>
      <c r="F5" s="14">
        <v>0</v>
      </c>
      <c r="G5" s="17">
        <f t="shared" si="0"/>
        <v>500256</v>
      </c>
      <c r="H5" s="2" t="str">
        <f>VLOOKUP(A5,Constants!$A:$C,2,FALSE)</f>
        <v>SA Arrears Snapshot</v>
      </c>
      <c r="I5" s="2"/>
      <c r="J5" s="2"/>
    </row>
    <row r="6" spans="1:10">
      <c r="A6" s="13" t="s">
        <v>10</v>
      </c>
      <c r="B6" s="14">
        <v>0</v>
      </c>
      <c r="C6" s="14">
        <v>0</v>
      </c>
      <c r="D6" s="14">
        <v>0</v>
      </c>
      <c r="E6" s="14">
        <v>0</v>
      </c>
      <c r="F6" s="14">
        <v>0</v>
      </c>
      <c r="G6" s="17">
        <f t="shared" si="0"/>
        <v>0</v>
      </c>
      <c r="H6" s="2" t="str">
        <f>VLOOKUP(A6,Constants!$A:$C,2,FALSE)</f>
        <v>Consumer Contract</v>
      </c>
      <c r="I6" s="2"/>
      <c r="J6" s="2"/>
    </row>
    <row r="7" spans="1:10">
      <c r="A7" s="13" t="s">
        <v>12</v>
      </c>
      <c r="B7" s="14">
        <v>1618</v>
      </c>
      <c r="C7" s="14">
        <v>5286</v>
      </c>
      <c r="D7" s="14">
        <v>7504</v>
      </c>
      <c r="E7" s="14">
        <v>31</v>
      </c>
      <c r="F7" s="14">
        <v>2031</v>
      </c>
      <c r="G7" s="17">
        <f t="shared" si="0"/>
        <v>16470</v>
      </c>
      <c r="H7" s="2" t="str">
        <f>VLOOKUP(A7,Constants!$A:$C,2,FALSE)</f>
        <v>Customer Service Request</v>
      </c>
      <c r="I7" s="2"/>
      <c r="J7" s="2"/>
    </row>
    <row r="8" spans="1:10">
      <c r="A8" s="13" t="s">
        <v>14</v>
      </c>
      <c r="B8" s="14">
        <v>713</v>
      </c>
      <c r="C8" s="14">
        <v>4856</v>
      </c>
      <c r="D8" s="14">
        <v>6151</v>
      </c>
      <c r="E8" s="14">
        <v>0</v>
      </c>
      <c r="F8" s="14">
        <v>1569</v>
      </c>
      <c r="G8" s="17">
        <f t="shared" si="0"/>
        <v>13289</v>
      </c>
      <c r="H8" s="2" t="str">
        <f>VLOOKUP(A8,Constants!$A:$C,2,FALSE)</f>
        <v>Customer Service Request Account</v>
      </c>
      <c r="I8" s="2"/>
      <c r="J8" s="2"/>
    </row>
    <row r="9" spans="1:10">
      <c r="A9" s="13" t="s">
        <v>16</v>
      </c>
      <c r="B9" s="14">
        <v>0</v>
      </c>
      <c r="C9" s="14">
        <v>0</v>
      </c>
      <c r="D9" s="14">
        <v>0</v>
      </c>
      <c r="E9" s="14">
        <v>0</v>
      </c>
      <c r="F9" s="14">
        <v>0</v>
      </c>
      <c r="G9" s="17">
        <f t="shared" si="0"/>
        <v>0</v>
      </c>
      <c r="H9" s="2" t="str">
        <f>VLOOKUP(A9,Constants!$A:$C,2,FALSE)</f>
        <v>Customer Service Request Consumer Contract</v>
      </c>
      <c r="I9" s="2"/>
      <c r="J9" s="2"/>
    </row>
    <row r="10" spans="1:10">
      <c r="A10" s="13" t="s">
        <v>18</v>
      </c>
      <c r="B10" s="14">
        <v>0</v>
      </c>
      <c r="C10" s="14">
        <v>0</v>
      </c>
      <c r="D10" s="14">
        <v>0</v>
      </c>
      <c r="E10" s="14">
        <v>0</v>
      </c>
      <c r="F10" s="14">
        <v>0</v>
      </c>
      <c r="G10" s="17">
        <f t="shared" si="0"/>
        <v>0</v>
      </c>
      <c r="H10" s="2" t="str">
        <f>VLOOKUP(A10,Constants!$A:$C,2,FALSE)</f>
        <v>Customer Service Request Contract Product</v>
      </c>
      <c r="I10" s="2"/>
      <c r="J10" s="2"/>
    </row>
    <row r="11" spans="1:10">
      <c r="A11" s="13" t="s">
        <v>20</v>
      </c>
      <c r="B11" s="14">
        <v>722</v>
      </c>
      <c r="C11" s="14">
        <v>5079</v>
      </c>
      <c r="D11" s="14">
        <v>5557</v>
      </c>
      <c r="E11" s="14">
        <v>0</v>
      </c>
      <c r="F11" s="14">
        <v>1558</v>
      </c>
      <c r="G11" s="17">
        <f t="shared" si="0"/>
        <v>12916</v>
      </c>
      <c r="H11" s="2" t="str">
        <f>VLOOKUP(A11,Constants!$A:$C,2,FALSE)</f>
        <v>Customer Service Request Person</v>
      </c>
      <c r="I11" s="2"/>
      <c r="J11" s="2"/>
    </row>
    <row r="12" spans="1:10">
      <c r="A12" s="13" t="s">
        <v>22</v>
      </c>
      <c r="B12" s="14">
        <v>684</v>
      </c>
      <c r="C12" s="14">
        <v>4766</v>
      </c>
      <c r="D12" s="14">
        <v>5421</v>
      </c>
      <c r="E12" s="14">
        <v>0</v>
      </c>
      <c r="F12" s="14">
        <v>1784</v>
      </c>
      <c r="G12" s="17">
        <f t="shared" si="0"/>
        <v>12655</v>
      </c>
      <c r="H12" s="2" t="str">
        <f>VLOOKUP(A12,Constants!$A:$C,2,FALSE)</f>
        <v>Customer Service Request Premise</v>
      </c>
      <c r="I12" s="2"/>
      <c r="J12" s="2"/>
    </row>
    <row r="13" spans="1:10">
      <c r="A13" s="13" t="s">
        <v>24</v>
      </c>
      <c r="B13" s="14">
        <v>2091</v>
      </c>
      <c r="C13" s="14">
        <v>14404</v>
      </c>
      <c r="D13" s="14">
        <v>18037</v>
      </c>
      <c r="E13" s="14">
        <v>0</v>
      </c>
      <c r="F13" s="14">
        <v>4857</v>
      </c>
      <c r="G13" s="17">
        <f t="shared" si="0"/>
        <v>39389</v>
      </c>
      <c r="H13" s="2" t="str">
        <f>VLOOKUP(A13,Constants!$A:$C,2,FALSE)</f>
        <v>Customer Service Request SA</v>
      </c>
      <c r="I13" s="2"/>
      <c r="J13" s="2"/>
    </row>
    <row r="14" spans="1:10">
      <c r="A14" s="13" t="s">
        <v>26</v>
      </c>
      <c r="B14" s="14">
        <v>0</v>
      </c>
      <c r="C14" s="14">
        <v>0</v>
      </c>
      <c r="D14" s="14">
        <v>0</v>
      </c>
      <c r="E14" s="14">
        <v>0</v>
      </c>
      <c r="F14" s="14">
        <v>0</v>
      </c>
      <c r="G14" s="17">
        <f t="shared" si="0"/>
        <v>0</v>
      </c>
      <c r="H14" s="2" t="str">
        <f>VLOOKUP(A14,Constants!$A:$C,2,FALSE)</f>
        <v>Customer Service Request Service Location</v>
      </c>
      <c r="I14" s="2"/>
      <c r="J14" s="2"/>
    </row>
    <row r="15" spans="1:10">
      <c r="A15" s="13" t="s">
        <v>28</v>
      </c>
      <c r="B15" s="14">
        <v>0</v>
      </c>
      <c r="C15" s="14">
        <v>0</v>
      </c>
      <c r="D15" s="14">
        <v>0</v>
      </c>
      <c r="E15" s="14">
        <v>0</v>
      </c>
      <c r="F15" s="14">
        <v>0</v>
      </c>
      <c r="G15" s="17">
        <f t="shared" si="0"/>
        <v>0</v>
      </c>
      <c r="H15" s="2" t="str">
        <f>VLOOKUP(A15,Constants!$A:$C,2,FALSE)</f>
        <v>Customer Relationship Request</v>
      </c>
      <c r="I15" s="2"/>
      <c r="J15" s="2"/>
    </row>
    <row r="16" spans="1:10">
      <c r="A16" s="13" t="s">
        <v>30</v>
      </c>
      <c r="B16" s="14">
        <v>0</v>
      </c>
      <c r="C16" s="14">
        <v>0</v>
      </c>
      <c r="D16" s="14">
        <v>0</v>
      </c>
      <c r="E16" s="14">
        <v>0</v>
      </c>
      <c r="F16" s="14">
        <v>0</v>
      </c>
      <c r="G16" s="17">
        <f t="shared" si="0"/>
        <v>0</v>
      </c>
      <c r="H16" s="2" t="str">
        <f>VLOOKUP(A16,Constants!$A:$C,2,FALSE)</f>
        <v>Lead</v>
      </c>
      <c r="I16" s="2"/>
      <c r="J16" s="2"/>
    </row>
    <row r="17" spans="1:10">
      <c r="A17" s="13" t="s">
        <v>32</v>
      </c>
      <c r="B17" s="14">
        <v>0</v>
      </c>
      <c r="C17" s="14">
        <v>0</v>
      </c>
      <c r="D17" s="14">
        <v>0</v>
      </c>
      <c r="E17" s="14">
        <v>0</v>
      </c>
      <c r="F17" s="14">
        <v>0</v>
      </c>
      <c r="G17" s="17">
        <f t="shared" si="0"/>
        <v>0</v>
      </c>
      <c r="H17" s="2" t="str">
        <f>VLOOKUP(A17,Constants!$A:$C,2,FALSE)</f>
        <v>Lead Event</v>
      </c>
      <c r="I17" s="2"/>
      <c r="J17" s="2"/>
    </row>
    <row r="18" spans="1:10">
      <c r="A18" s="13" t="s">
        <v>40</v>
      </c>
      <c r="B18" s="14">
        <v>0</v>
      </c>
      <c r="C18" s="14">
        <v>0</v>
      </c>
      <c r="D18" s="14">
        <v>0</v>
      </c>
      <c r="E18" s="14">
        <v>0</v>
      </c>
      <c r="F18" s="14">
        <v>0</v>
      </c>
      <c r="G18" s="17">
        <f t="shared" si="0"/>
        <v>0</v>
      </c>
      <c r="H18" s="2" t="str">
        <f>VLOOKUP(A18,Constants!$A:$C,2,FALSE)</f>
        <v>Registration Point</v>
      </c>
      <c r="I18" s="2"/>
      <c r="J18" s="2"/>
    </row>
    <row r="19" spans="1:10">
      <c r="A19" s="13" t="s">
        <v>34</v>
      </c>
      <c r="B19" s="14">
        <v>0</v>
      </c>
      <c r="C19" s="14">
        <v>0</v>
      </c>
      <c r="D19" s="14">
        <v>0</v>
      </c>
      <c r="E19" s="14">
        <v>0</v>
      </c>
      <c r="F19" s="14">
        <v>0</v>
      </c>
      <c r="G19" s="17">
        <f t="shared" si="0"/>
        <v>0</v>
      </c>
      <c r="H19" s="2" t="str">
        <f>VLOOKUP(A19,Constants!$A:$C,2,FALSE)</f>
        <v>Market Charge</v>
      </c>
      <c r="I19" s="2"/>
      <c r="J19" s="2"/>
    </row>
    <row r="20" spans="1:10">
      <c r="A20" s="13" t="s">
        <v>36</v>
      </c>
      <c r="B20" s="14">
        <v>0</v>
      </c>
      <c r="C20" s="14">
        <v>0</v>
      </c>
      <c r="D20" s="14">
        <v>0</v>
      </c>
      <c r="E20" s="14">
        <v>0</v>
      </c>
      <c r="F20" s="14">
        <v>0</v>
      </c>
      <c r="G20" s="17">
        <f t="shared" si="0"/>
        <v>0</v>
      </c>
      <c r="H20" s="2" t="str">
        <f>VLOOKUP(A20,Constants!$A:$C,2,FALSE)</f>
        <v>Market Payment</v>
      </c>
      <c r="I20" s="2"/>
      <c r="J20" s="2"/>
    </row>
    <row r="21" spans="1:10">
      <c r="A21" s="13" t="s">
        <v>38</v>
      </c>
      <c r="B21" s="14">
        <v>0</v>
      </c>
      <c r="C21" s="14">
        <v>0</v>
      </c>
      <c r="D21" s="14">
        <v>0</v>
      </c>
      <c r="E21" s="14">
        <v>0</v>
      </c>
      <c r="F21" s="14">
        <v>0</v>
      </c>
      <c r="G21" s="17">
        <f t="shared" si="0"/>
        <v>0</v>
      </c>
      <c r="H21" s="2" t="str">
        <f>VLOOKUP(A21,Constants!$A:$C,2,FALSE)</f>
        <v>Market Usage</v>
      </c>
      <c r="I21" s="2"/>
      <c r="J21" s="2"/>
    </row>
    <row r="22" spans="1:10">
      <c r="A22" s="13" t="s">
        <v>42</v>
      </c>
      <c r="B22" s="14">
        <v>0</v>
      </c>
      <c r="C22" s="14">
        <v>0</v>
      </c>
      <c r="D22" s="14">
        <v>0</v>
      </c>
      <c r="E22" s="14">
        <v>0</v>
      </c>
      <c r="F22" s="14">
        <v>0</v>
      </c>
      <c r="G22" s="17">
        <f t="shared" si="0"/>
        <v>0</v>
      </c>
      <c r="H22" s="2" t="str">
        <f>VLOOKUP(A22,Constants!$A:$C,2,FALSE)</f>
        <v>Communication Preference</v>
      </c>
      <c r="I22" s="2"/>
      <c r="J22" s="2"/>
    </row>
    <row r="23" spans="1:10">
      <c r="A23" s="13" t="s">
        <v>44</v>
      </c>
      <c r="B23" s="14">
        <v>52675</v>
      </c>
      <c r="C23" s="14">
        <v>169</v>
      </c>
      <c r="D23" s="14">
        <v>36816</v>
      </c>
      <c r="E23" s="14">
        <v>6073</v>
      </c>
      <c r="F23" s="14">
        <v>9</v>
      </c>
      <c r="G23" s="17">
        <f t="shared" si="0"/>
        <v>95742</v>
      </c>
      <c r="H23" s="2" t="str">
        <f>VLOOKUP(A23,Constants!$A:$C,2,FALSE)</f>
        <v>Off Cycle Bill Generator</v>
      </c>
      <c r="I23" s="2"/>
      <c r="J23" s="2"/>
    </row>
    <row r="24" spans="1:10">
      <c r="A24" s="13" t="s">
        <v>46</v>
      </c>
      <c r="B24" s="14">
        <v>358</v>
      </c>
      <c r="C24" s="14">
        <v>0</v>
      </c>
      <c r="D24" s="14">
        <v>0</v>
      </c>
      <c r="E24" s="14">
        <v>1</v>
      </c>
      <c r="F24" s="14">
        <v>0</v>
      </c>
      <c r="G24" s="17">
        <f t="shared" si="0"/>
        <v>359</v>
      </c>
      <c r="H24" s="2" t="str">
        <f>VLOOKUP(A24,Constants!$A:$C,2,FALSE)</f>
        <v>Payment Arrangement Request</v>
      </c>
      <c r="I24" s="2"/>
      <c r="J24" s="2"/>
    </row>
    <row r="25" spans="1:10">
      <c r="A25" s="13" t="s">
        <v>48</v>
      </c>
      <c r="B25" s="14"/>
      <c r="C25" s="14"/>
      <c r="D25" s="14"/>
      <c r="E25" s="14">
        <v>0</v>
      </c>
      <c r="F25" s="14"/>
      <c r="G25" s="17">
        <f t="shared" si="0"/>
        <v>0</v>
      </c>
      <c r="H25" s="2" t="str">
        <f>VLOOKUP(A25,Constants!$A:$C,2,FALSE)</f>
        <v>Response</v>
      </c>
      <c r="I25" s="2"/>
      <c r="J25" s="2"/>
    </row>
    <row r="26" spans="1:10">
      <c r="A26" s="13" t="s">
        <v>50</v>
      </c>
      <c r="B26" s="14">
        <v>15360951</v>
      </c>
      <c r="C26" s="14">
        <v>2173379</v>
      </c>
      <c r="D26" s="14">
        <v>445035</v>
      </c>
      <c r="E26" s="14">
        <v>1500648</v>
      </c>
      <c r="F26" s="14">
        <v>251992</v>
      </c>
      <c r="G26" s="17">
        <f t="shared" si="0"/>
        <v>19732005</v>
      </c>
      <c r="H26" s="2" t="str">
        <f>VLOOKUP(A26,Constants!$A:$C,2,FALSE)</f>
        <v>Usage</v>
      </c>
      <c r="I26" s="2"/>
      <c r="J26" s="2"/>
    </row>
    <row r="27" spans="1:10">
      <c r="A27" s="13" t="s">
        <v>52</v>
      </c>
      <c r="B27" s="14">
        <v>0</v>
      </c>
      <c r="C27" s="14">
        <v>0</v>
      </c>
      <c r="D27" s="14">
        <v>0</v>
      </c>
      <c r="E27" s="14">
        <v>0</v>
      </c>
      <c r="F27" s="14">
        <v>0</v>
      </c>
      <c r="G27" s="17">
        <f t="shared" si="0"/>
        <v>0</v>
      </c>
      <c r="H27" s="2" t="str">
        <f>VLOOKUP(A27,Constants!$A:$C,2,FALSE)</f>
        <v>Web User</v>
      </c>
      <c r="I27" s="2"/>
      <c r="J27" s="2"/>
    </row>
    <row r="28" spans="1:10">
      <c r="A28" s="13" t="s">
        <v>54</v>
      </c>
      <c r="B28" s="14">
        <v>0</v>
      </c>
      <c r="C28" s="14">
        <v>0</v>
      </c>
      <c r="D28" s="14">
        <v>0</v>
      </c>
      <c r="E28" s="14">
        <v>0</v>
      </c>
      <c r="F28" s="14">
        <v>0</v>
      </c>
      <c r="G28" s="17">
        <f t="shared" si="0"/>
        <v>0</v>
      </c>
      <c r="H28" s="2" t="str">
        <f>VLOOKUP(A28,Constants!$A:$C,2,FALSE)</f>
        <v>Web User Account</v>
      </c>
      <c r="I28" s="2"/>
      <c r="J28" s="2"/>
    </row>
    <row r="29" spans="1:10">
      <c r="A29" s="13" t="s">
        <v>56</v>
      </c>
      <c r="B29" s="14">
        <v>59950</v>
      </c>
      <c r="C29" s="14">
        <v>29496</v>
      </c>
      <c r="D29" s="14">
        <v>90087</v>
      </c>
      <c r="E29" s="14">
        <v>155128</v>
      </c>
      <c r="F29" s="14">
        <v>22560</v>
      </c>
      <c r="G29" s="17">
        <f t="shared" si="0"/>
        <v>357221</v>
      </c>
      <c r="H29" s="2" t="str">
        <f>VLOOKUP(A29,Constants!$A:$C,2,FALSE)</f>
        <v>Account</v>
      </c>
      <c r="I29" s="2"/>
      <c r="J29" s="2"/>
    </row>
    <row r="30" spans="1:10">
      <c r="A30" s="13" t="s">
        <v>58</v>
      </c>
      <c r="B30" s="14">
        <v>8715478</v>
      </c>
      <c r="C30" s="14">
        <v>557276</v>
      </c>
      <c r="D30" s="14">
        <v>328670</v>
      </c>
      <c r="E30" s="14">
        <v>2312799</v>
      </c>
      <c r="F30" s="14">
        <v>197579</v>
      </c>
      <c r="G30" s="17">
        <f t="shared" si="0"/>
        <v>12111802</v>
      </c>
      <c r="H30" s="2" t="str">
        <f>VLOOKUP(A30,Constants!$A:$C,2,FALSE)</f>
        <v>Adjustment</v>
      </c>
      <c r="I30" s="2"/>
      <c r="J30" s="2"/>
    </row>
    <row r="31" spans="1:10">
      <c r="A31" s="13" t="s">
        <v>60</v>
      </c>
      <c r="B31" s="14">
        <v>0</v>
      </c>
      <c r="C31" s="14">
        <v>5</v>
      </c>
      <c r="D31" s="14">
        <v>1</v>
      </c>
      <c r="E31" s="14">
        <v>0</v>
      </c>
      <c r="F31" s="14">
        <v>1</v>
      </c>
      <c r="G31" s="17">
        <f t="shared" si="0"/>
        <v>7</v>
      </c>
      <c r="H31" s="2" t="str">
        <f>VLOOKUP(A31,Constants!$A:$C,2,FALSE)</f>
        <v>Adjustment Staging Control</v>
      </c>
      <c r="I31" s="2"/>
      <c r="J31" s="2"/>
    </row>
    <row r="32" spans="1:10">
      <c r="A32" s="13" t="s">
        <v>62</v>
      </c>
      <c r="B32" s="14">
        <v>0</v>
      </c>
      <c r="C32" s="14">
        <v>22839</v>
      </c>
      <c r="D32" s="14">
        <v>1452</v>
      </c>
      <c r="E32" s="14">
        <v>0</v>
      </c>
      <c r="F32" s="14">
        <v>1468</v>
      </c>
      <c r="G32" s="17">
        <f t="shared" si="0"/>
        <v>25759</v>
      </c>
      <c r="H32" s="2" t="str">
        <f>VLOOKUP(A32,Constants!$A:$C,2,FALSE)</f>
        <v>Adjustment Upload</v>
      </c>
      <c r="I32" s="2"/>
      <c r="J32" s="2"/>
    </row>
    <row r="33" spans="1:10">
      <c r="A33" s="13" t="s">
        <v>64</v>
      </c>
      <c r="B33" s="14">
        <v>0</v>
      </c>
      <c r="C33" s="14">
        <v>0</v>
      </c>
      <c r="D33" s="14">
        <v>0</v>
      </c>
      <c r="E33" s="14">
        <v>0</v>
      </c>
      <c r="F33" s="14">
        <v>0</v>
      </c>
      <c r="G33" s="17">
        <f t="shared" si="0"/>
        <v>0</v>
      </c>
      <c r="H33" s="2" t="str">
        <f>VLOOKUP(A33,Constants!$A:$C,2,FALSE)</f>
        <v>Activity Request</v>
      </c>
      <c r="I33" s="2"/>
      <c r="J33" s="2"/>
    </row>
    <row r="34" spans="1:10">
      <c r="A34" s="13" t="s">
        <v>66</v>
      </c>
      <c r="B34" s="14">
        <v>2468</v>
      </c>
      <c r="C34" s="14">
        <v>4252</v>
      </c>
      <c r="D34" s="14">
        <v>8818</v>
      </c>
      <c r="E34" s="14">
        <v>3127</v>
      </c>
      <c r="F34" s="14">
        <v>741</v>
      </c>
      <c r="G34" s="17">
        <f t="shared" si="0"/>
        <v>19406</v>
      </c>
      <c r="H34" s="2" t="str">
        <f>VLOOKUP(A34,Constants!$A:$C,2,FALSE)</f>
        <v>Approval Request</v>
      </c>
      <c r="I34" s="2"/>
      <c r="J34" s="2"/>
    </row>
    <row r="35" spans="1:10">
      <c r="A35" s="13" t="s">
        <v>68</v>
      </c>
      <c r="B35" s="14">
        <v>0</v>
      </c>
      <c r="C35" s="14">
        <v>0</v>
      </c>
      <c r="D35" s="14">
        <v>0</v>
      </c>
      <c r="E35" s="14">
        <v>0</v>
      </c>
      <c r="F35" s="14">
        <v>1348</v>
      </c>
      <c r="G35" s="17">
        <f t="shared" si="0"/>
        <v>1348</v>
      </c>
      <c r="H35" s="2" t="str">
        <f>VLOOKUP(A35,Constants!$A:$C,2,FALSE)</f>
        <v>Audit</v>
      </c>
      <c r="I35" s="2"/>
      <c r="J35" s="2"/>
    </row>
    <row r="36" spans="1:10">
      <c r="A36" s="13" t="s">
        <v>70</v>
      </c>
      <c r="B36" s="14">
        <v>21</v>
      </c>
      <c r="C36" s="14">
        <v>21</v>
      </c>
      <c r="D36" s="14">
        <v>15</v>
      </c>
      <c r="E36" s="14">
        <v>14</v>
      </c>
      <c r="F36" s="14">
        <v>10</v>
      </c>
      <c r="G36" s="17">
        <f t="shared" si="0"/>
        <v>81</v>
      </c>
      <c r="H36" s="2" t="str">
        <f>VLOOKUP(A36,Constants!$A:$C,2,FALSE)</f>
        <v>Balance Control Group</v>
      </c>
      <c r="I36" s="2"/>
      <c r="J36" s="2"/>
    </row>
    <row r="37" spans="1:10">
      <c r="A37" s="13" t="s">
        <v>72</v>
      </c>
      <c r="B37" s="14">
        <v>2928</v>
      </c>
      <c r="C37" s="14">
        <v>1319</v>
      </c>
      <c r="D37" s="14">
        <v>1329</v>
      </c>
      <c r="E37" s="14">
        <v>4256</v>
      </c>
      <c r="F37" s="14">
        <v>829</v>
      </c>
      <c r="G37" s="17">
        <f t="shared" si="0"/>
        <v>10661</v>
      </c>
      <c r="H37" s="2" t="str">
        <f>VLOOKUP(A37,Constants!$A:$C,2,FALSE)</f>
        <v>Batch Job Ad-Hoc Queues</v>
      </c>
      <c r="I37" s="2"/>
      <c r="J37" s="2"/>
    </row>
    <row r="38" spans="1:10">
      <c r="A38" s="13" t="s">
        <v>74</v>
      </c>
      <c r="B38" s="14">
        <v>312507</v>
      </c>
      <c r="C38" s="14">
        <v>446935</v>
      </c>
      <c r="D38" s="14">
        <v>394785</v>
      </c>
      <c r="E38" s="14">
        <v>443985</v>
      </c>
      <c r="F38" s="14">
        <v>305236</v>
      </c>
      <c r="G38" s="17">
        <f t="shared" si="0"/>
        <v>1903448</v>
      </c>
      <c r="H38" s="2" t="str">
        <f>VLOOKUP(A38,Constants!$A:$C,2,FALSE)</f>
        <v>Batch Run</v>
      </c>
      <c r="I38" s="2"/>
      <c r="J38" s="2"/>
    </row>
    <row r="39" spans="1:10">
      <c r="A39" s="13" t="s">
        <v>76</v>
      </c>
      <c r="B39" s="14">
        <v>0</v>
      </c>
      <c r="C39" s="14">
        <v>0</v>
      </c>
      <c r="D39" s="14">
        <v>0</v>
      </c>
      <c r="E39" s="14">
        <v>0</v>
      </c>
      <c r="F39" s="14">
        <v>0</v>
      </c>
      <c r="G39" s="17">
        <f t="shared" si="0"/>
        <v>0</v>
      </c>
      <c r="H39" s="2" t="str">
        <f>VLOOKUP(A39,Constants!$A:$C,2,FALSE)</f>
        <v>Billable Charge Upload</v>
      </c>
      <c r="I39" s="2"/>
      <c r="J39" s="2"/>
    </row>
    <row r="40" spans="1:10">
      <c r="A40" s="13" t="s">
        <v>78</v>
      </c>
      <c r="B40" s="14">
        <v>4175472</v>
      </c>
      <c r="C40" s="14">
        <v>467909</v>
      </c>
      <c r="D40" s="14">
        <v>538151</v>
      </c>
      <c r="E40" s="14">
        <v>2582940</v>
      </c>
      <c r="F40" s="14">
        <v>740293</v>
      </c>
      <c r="G40" s="17">
        <f t="shared" si="0"/>
        <v>8504765</v>
      </c>
      <c r="H40" s="2" t="str">
        <f>VLOOKUP(A40,Constants!$A:$C,2,FALSE)</f>
        <v>Bill Header</v>
      </c>
      <c r="I40" s="2"/>
      <c r="J40" s="2"/>
    </row>
    <row r="41" spans="1:10">
      <c r="A41" s="13" t="s">
        <v>80</v>
      </c>
      <c r="B41" s="14">
        <v>1893</v>
      </c>
      <c r="C41" s="14">
        <v>9626</v>
      </c>
      <c r="D41" s="14">
        <v>18110</v>
      </c>
      <c r="E41" s="14">
        <v>5394</v>
      </c>
      <c r="F41" s="14">
        <v>0</v>
      </c>
      <c r="G41" s="17">
        <f t="shared" si="0"/>
        <v>35023</v>
      </c>
      <c r="H41" s="2" t="str">
        <f>VLOOKUP(A41,Constants!$A:$C,2,FALSE)</f>
        <v>Billable Charge</v>
      </c>
      <c r="I41" s="2"/>
      <c r="J41" s="2"/>
    </row>
    <row r="42" spans="1:10">
      <c r="A42" s="13" t="s">
        <v>82</v>
      </c>
      <c r="B42" s="14">
        <v>0</v>
      </c>
      <c r="C42" s="14">
        <v>0</v>
      </c>
      <c r="D42" s="14">
        <v>0</v>
      </c>
      <c r="E42" s="14">
        <v>0</v>
      </c>
      <c r="F42" s="14">
        <v>0</v>
      </c>
      <c r="G42" s="17">
        <f t="shared" si="0"/>
        <v>0</v>
      </c>
      <c r="H42" s="2" t="str">
        <f>VLOOKUP(A42,Constants!$A:$C,2,FALSE)</f>
        <v>Bill Review Schedule</v>
      </c>
      <c r="I42" s="2"/>
      <c r="J42" s="2"/>
    </row>
    <row r="43" spans="1:10">
      <c r="A43" s="13" t="s">
        <v>84</v>
      </c>
      <c r="B43" s="14">
        <v>0</v>
      </c>
      <c r="C43" s="14">
        <v>0</v>
      </c>
      <c r="D43" s="14">
        <v>0</v>
      </c>
      <c r="E43" s="14">
        <v>0</v>
      </c>
      <c r="F43" s="14">
        <v>0</v>
      </c>
      <c r="G43" s="17">
        <f t="shared" si="0"/>
        <v>0</v>
      </c>
      <c r="H43" s="2" t="str">
        <f>VLOOKUP(A43,Constants!$A:$C,2,FALSE)</f>
        <v>Bill Print Group</v>
      </c>
      <c r="I43" s="2"/>
      <c r="J43" s="2"/>
    </row>
    <row r="44" spans="1:10">
      <c r="A44" s="13" t="s">
        <v>86</v>
      </c>
      <c r="B44" s="14">
        <v>12920736</v>
      </c>
      <c r="C44" s="14">
        <v>1428974</v>
      </c>
      <c r="D44" s="14">
        <v>1836637</v>
      </c>
      <c r="E44" s="14">
        <v>12115681</v>
      </c>
      <c r="F44" s="14">
        <v>2318982</v>
      </c>
      <c r="G44" s="17">
        <f t="shared" si="0"/>
        <v>30621010</v>
      </c>
      <c r="H44" s="2" t="str">
        <f>VLOOKUP(A44,Constants!$A:$C,2,FALSE)</f>
        <v>Bill Segment</v>
      </c>
      <c r="I44" s="2"/>
      <c r="J44" s="2"/>
    </row>
    <row r="45" spans="1:10">
      <c r="A45" s="13" t="s">
        <v>88</v>
      </c>
      <c r="B45" s="14">
        <v>0</v>
      </c>
      <c r="C45" s="14">
        <v>0</v>
      </c>
      <c r="D45" s="14">
        <v>978</v>
      </c>
      <c r="E45" s="14">
        <v>1415</v>
      </c>
      <c r="F45" s="14">
        <v>1</v>
      </c>
      <c r="G45" s="17">
        <f t="shared" si="0"/>
        <v>2394</v>
      </c>
      <c r="H45" s="2" t="str">
        <f>VLOOKUP(A45,Constants!$A:$C,2,FALSE)</f>
        <v>Budget Review</v>
      </c>
      <c r="I45" s="2"/>
      <c r="J45" s="2"/>
    </row>
    <row r="46" spans="1:10">
      <c r="A46" s="13" t="s">
        <v>90</v>
      </c>
      <c r="B46" s="14">
        <v>49</v>
      </c>
      <c r="C46" s="14">
        <v>8</v>
      </c>
      <c r="D46" s="14">
        <v>0</v>
      </c>
      <c r="E46" s="14">
        <v>0</v>
      </c>
      <c r="F46" s="14">
        <v>4</v>
      </c>
      <c r="G46" s="17">
        <f t="shared" si="0"/>
        <v>61</v>
      </c>
      <c r="H46" s="2" t="str">
        <f>VLOOKUP(A46,Constants!$A:$C,2,FALSE)</f>
        <v>Case</v>
      </c>
      <c r="I46" s="2"/>
      <c r="J46" s="2"/>
    </row>
    <row r="47" spans="1:10">
      <c r="A47" s="13" t="s">
        <v>92</v>
      </c>
      <c r="B47" s="14">
        <v>933459</v>
      </c>
      <c r="C47" s="14">
        <v>22886</v>
      </c>
      <c r="D47" s="14">
        <v>96066</v>
      </c>
      <c r="E47" s="14">
        <v>407356</v>
      </c>
      <c r="F47" s="14">
        <v>176609</v>
      </c>
      <c r="G47" s="17">
        <f t="shared" si="0"/>
        <v>1636376</v>
      </c>
      <c r="H47" s="2" t="str">
        <f>VLOOKUP(A47,Constants!$A:$C,2,FALSE)</f>
        <v>Customer Contact</v>
      </c>
      <c r="I47" s="2"/>
      <c r="J47" s="2"/>
    </row>
    <row r="48" spans="1:10">
      <c r="A48" s="13" t="s">
        <v>94</v>
      </c>
      <c r="B48" s="14">
        <v>0</v>
      </c>
      <c r="C48" s="14">
        <v>0</v>
      </c>
      <c r="D48" s="14">
        <v>2213</v>
      </c>
      <c r="E48" s="14">
        <v>7619</v>
      </c>
      <c r="F48" s="14">
        <v>0</v>
      </c>
      <c r="G48" s="17">
        <f t="shared" si="0"/>
        <v>9832</v>
      </c>
      <c r="H48" s="2" t="str">
        <f>VLOOKUP(A48,Constants!$A:$C,2,FALSE)</f>
        <v>Collection Agency Referral</v>
      </c>
      <c r="I48" s="2"/>
      <c r="J48" s="2"/>
    </row>
    <row r="49" spans="1:10">
      <c r="A49" s="13" t="s">
        <v>96</v>
      </c>
      <c r="B49" s="14">
        <v>19502</v>
      </c>
      <c r="C49" s="14">
        <v>6114</v>
      </c>
      <c r="D49" s="14">
        <v>32502</v>
      </c>
      <c r="E49" s="14">
        <v>27904</v>
      </c>
      <c r="F49" s="14">
        <v>299</v>
      </c>
      <c r="G49" s="17">
        <f t="shared" si="0"/>
        <v>86321</v>
      </c>
      <c r="H49" s="2" t="str">
        <f>VLOOKUP(A49,Constants!$A:$C,2,FALSE)</f>
        <v>Collection Process</v>
      </c>
      <c r="I49" s="2"/>
      <c r="J49" s="2"/>
    </row>
    <row r="50" spans="1:10">
      <c r="A50" s="13" t="s">
        <v>98</v>
      </c>
      <c r="B50" s="14">
        <v>0</v>
      </c>
      <c r="C50" s="14">
        <v>0</v>
      </c>
      <c r="D50" s="14">
        <v>0</v>
      </c>
      <c r="E50" s="14">
        <v>0</v>
      </c>
      <c r="F50" s="14">
        <v>0</v>
      </c>
      <c r="G50" s="17">
        <f t="shared" si="0"/>
        <v>0</v>
      </c>
      <c r="H50" s="2" t="str">
        <f>VLOOKUP(A50,Constants!$A:$C,2,FALSE)</f>
        <v xml:space="preserve">Contract Option  </v>
      </c>
      <c r="I50" s="2"/>
      <c r="J50" s="2"/>
    </row>
    <row r="51" spans="1:10">
      <c r="A51" s="13" t="s">
        <v>100</v>
      </c>
      <c r="B51" s="14">
        <v>0</v>
      </c>
      <c r="C51" s="14">
        <v>0</v>
      </c>
      <c r="D51" s="14">
        <v>0</v>
      </c>
      <c r="E51" s="14">
        <v>0</v>
      </c>
      <c r="F51" s="14">
        <v>0</v>
      </c>
      <c r="G51" s="17">
        <f t="shared" si="0"/>
        <v>0</v>
      </c>
      <c r="H51" s="2" t="str">
        <f>VLOOKUP(A51,Constants!$A:$C,2,FALSE)</f>
        <v>Contract Option Event</v>
      </c>
      <c r="I51" s="2"/>
      <c r="J51" s="2"/>
    </row>
    <row r="52" spans="1:10">
      <c r="A52" s="13" t="s">
        <v>102</v>
      </c>
      <c r="B52" s="14">
        <v>0</v>
      </c>
      <c r="C52" s="14">
        <v>0</v>
      </c>
      <c r="D52" s="14">
        <v>0</v>
      </c>
      <c r="E52" s="14">
        <v>0</v>
      </c>
      <c r="F52" s="14">
        <v>0</v>
      </c>
      <c r="G52" s="17">
        <f t="shared" si="0"/>
        <v>0</v>
      </c>
      <c r="H52" s="2" t="str">
        <f>VLOOKUP(A52,Constants!$A:$C,2,FALSE)</f>
        <v>Cut Process</v>
      </c>
      <c r="I52" s="2"/>
      <c r="J52" s="2"/>
    </row>
    <row r="53" spans="1:10">
      <c r="A53" s="13" t="s">
        <v>104</v>
      </c>
      <c r="B53" s="14">
        <v>0</v>
      </c>
      <c r="C53" s="14">
        <v>0</v>
      </c>
      <c r="D53" s="14">
        <v>0</v>
      </c>
      <c r="E53" s="14">
        <v>0</v>
      </c>
      <c r="F53" s="14">
        <v>0</v>
      </c>
      <c r="G53" s="17">
        <f t="shared" si="0"/>
        <v>0</v>
      </c>
      <c r="H53" s="2" t="str">
        <f>VLOOKUP(A53,Constants!$A:$C,2,FALSE)</f>
        <v>Declaration</v>
      </c>
      <c r="I53" s="2"/>
      <c r="J53" s="2"/>
    </row>
    <row r="54" spans="1:10">
      <c r="A54" s="13" t="s">
        <v>106</v>
      </c>
      <c r="B54" s="14">
        <v>2022</v>
      </c>
      <c r="C54" s="14">
        <v>1495</v>
      </c>
      <c r="D54" s="14">
        <v>1421</v>
      </c>
      <c r="E54" s="14">
        <v>1969</v>
      </c>
      <c r="F54" s="14">
        <v>754</v>
      </c>
      <c r="G54" s="17">
        <f t="shared" si="0"/>
        <v>7661</v>
      </c>
      <c r="H54" s="2" t="str">
        <f>VLOOKUP(A54,Constants!$A:$C,2,FALSE)</f>
        <v>Deposit Control</v>
      </c>
      <c r="I54" s="2"/>
      <c r="J54" s="2"/>
    </row>
    <row r="55" spans="1:10">
      <c r="A55" s="13" t="s">
        <v>108</v>
      </c>
      <c r="B55" s="14">
        <v>167</v>
      </c>
      <c r="C55" s="14">
        <v>47</v>
      </c>
      <c r="D55" s="14">
        <v>53</v>
      </c>
      <c r="E55" s="14">
        <v>38</v>
      </c>
      <c r="F55" s="14">
        <v>139</v>
      </c>
      <c r="G55" s="17">
        <f t="shared" si="0"/>
        <v>444</v>
      </c>
      <c r="H55" s="2" t="str">
        <f>VLOOKUP(A55,Constants!$A:$C,2,FALSE)</f>
        <v>Deposit Control Staging</v>
      </c>
      <c r="I55" s="2"/>
      <c r="J55" s="2"/>
    </row>
    <row r="56" spans="1:10">
      <c r="A56" s="13" t="s">
        <v>110</v>
      </c>
      <c r="B56" s="14">
        <v>0</v>
      </c>
      <c r="C56" s="14">
        <v>0</v>
      </c>
      <c r="D56" s="14">
        <v>0</v>
      </c>
      <c r="E56" s="14">
        <v>0</v>
      </c>
      <c r="F56" s="14">
        <v>674</v>
      </c>
      <c r="G56" s="17">
        <f t="shared" si="0"/>
        <v>674</v>
      </c>
      <c r="H56" s="2" t="str">
        <f>VLOOKUP(A56,Constants!$A:$C,2,FALSE)</f>
        <v>Deposit Review</v>
      </c>
      <c r="I56" s="2"/>
      <c r="J56" s="2"/>
    </row>
    <row r="57" spans="1:10">
      <c r="A57" s="13" t="s">
        <v>112</v>
      </c>
      <c r="B57" s="14">
        <v>0</v>
      </c>
      <c r="C57" s="14">
        <v>0</v>
      </c>
      <c r="D57" s="14">
        <v>0</v>
      </c>
      <c r="E57" s="14">
        <v>0</v>
      </c>
      <c r="F57" s="14">
        <v>0</v>
      </c>
      <c r="G57" s="17">
        <f t="shared" si="0"/>
        <v>0</v>
      </c>
      <c r="H57" s="2" t="str">
        <f>VLOOKUP(A57,Constants!$A:$C,2,FALSE)</f>
        <v>Device Test</v>
      </c>
      <c r="I57" s="2"/>
      <c r="J57" s="2"/>
    </row>
    <row r="58" spans="1:10">
      <c r="A58" s="13" t="s">
        <v>114</v>
      </c>
      <c r="B58" s="14">
        <v>0</v>
      </c>
      <c r="C58" s="14">
        <v>0</v>
      </c>
      <c r="D58" s="14">
        <v>0</v>
      </c>
      <c r="E58" s="14">
        <v>0</v>
      </c>
      <c r="F58" s="14">
        <v>0</v>
      </c>
      <c r="G58" s="17">
        <f t="shared" si="0"/>
        <v>0</v>
      </c>
      <c r="H58" s="2" t="str">
        <f>VLOOKUP(A58,Constants!$A:$C,2,FALSE)</f>
        <v>Device Test Selection</v>
      </c>
      <c r="I58" s="2"/>
      <c r="J58" s="2"/>
    </row>
    <row r="59" spans="1:10">
      <c r="A59" s="13" t="s">
        <v>116</v>
      </c>
      <c r="B59" s="14">
        <v>0</v>
      </c>
      <c r="C59" s="14">
        <v>0</v>
      </c>
      <c r="D59" s="14">
        <v>0</v>
      </c>
      <c r="E59" s="14">
        <v>10372</v>
      </c>
      <c r="F59" s="14">
        <v>0</v>
      </c>
      <c r="G59" s="17">
        <f t="shared" si="0"/>
        <v>10372</v>
      </c>
      <c r="H59" s="2" t="str">
        <f>VLOOKUP(A59,Constants!$A:$C,2,FALSE)</f>
        <v>Order</v>
      </c>
      <c r="I59" s="2"/>
      <c r="J59" s="2"/>
    </row>
    <row r="60" spans="1:10">
      <c r="A60" s="13" t="s">
        <v>118</v>
      </c>
      <c r="B60" s="14">
        <v>26866</v>
      </c>
      <c r="C60" s="14">
        <v>20033</v>
      </c>
      <c r="D60" s="14">
        <v>38063</v>
      </c>
      <c r="E60" s="14">
        <v>73934</v>
      </c>
      <c r="F60" s="14">
        <v>10973</v>
      </c>
      <c r="G60" s="17">
        <f t="shared" si="0"/>
        <v>169869</v>
      </c>
      <c r="H60" s="2" t="str">
        <f>VLOOKUP(A60,Constants!$A:$C,2,FALSE)</f>
        <v>Field Activity</v>
      </c>
      <c r="I60" s="2"/>
      <c r="J60" s="2"/>
    </row>
    <row r="61" spans="1:10">
      <c r="A61" s="13" t="s">
        <v>120</v>
      </c>
      <c r="B61" s="14">
        <v>0</v>
      </c>
      <c r="C61" s="14">
        <v>0</v>
      </c>
      <c r="D61" s="14">
        <v>0</v>
      </c>
      <c r="E61" s="14">
        <v>0</v>
      </c>
      <c r="F61" s="14">
        <v>0</v>
      </c>
      <c r="G61" s="17">
        <f t="shared" si="0"/>
        <v>0</v>
      </c>
      <c r="H61" s="2" t="str">
        <f>VLOOKUP(A61,Constants!$A:$C,2,FALSE)</f>
        <v>FA Upload Staging</v>
      </c>
      <c r="I61" s="2"/>
      <c r="J61" s="2"/>
    </row>
    <row r="62" spans="1:10">
      <c r="A62" s="13" t="s">
        <v>122</v>
      </c>
      <c r="B62" s="14">
        <v>0</v>
      </c>
      <c r="C62" s="14">
        <v>0</v>
      </c>
      <c r="D62" s="14">
        <v>0</v>
      </c>
      <c r="E62" s="14">
        <v>0</v>
      </c>
      <c r="F62" s="14">
        <v>0</v>
      </c>
      <c r="G62" s="17">
        <f t="shared" si="0"/>
        <v>0</v>
      </c>
      <c r="H62" s="2" t="str">
        <f>VLOOKUP(A62,Constants!$A:$C,2,FALSE)</f>
        <v>Field Order</v>
      </c>
      <c r="I62" s="2"/>
      <c r="J62" s="2"/>
    </row>
    <row r="63" spans="1:10">
      <c r="A63" s="13" t="s">
        <v>124</v>
      </c>
      <c r="B63" s="14">
        <v>0</v>
      </c>
      <c r="C63" s="14">
        <v>0</v>
      </c>
      <c r="D63" s="14">
        <v>0</v>
      </c>
      <c r="E63" s="14">
        <v>0</v>
      </c>
      <c r="F63" s="14">
        <v>0</v>
      </c>
      <c r="G63" s="17">
        <f t="shared" si="0"/>
        <v>0</v>
      </c>
      <c r="H63" s="2" t="str">
        <f>VLOOKUP(A63,Constants!$A:$C,2,FALSE)</f>
        <v>Field Order Download Staging</v>
      </c>
      <c r="I63" s="2"/>
      <c r="J63" s="2"/>
    </row>
    <row r="64" spans="1:10">
      <c r="A64" s="13" t="s">
        <v>126</v>
      </c>
      <c r="B64" s="14">
        <v>29847799</v>
      </c>
      <c r="C64" s="14">
        <v>3665021</v>
      </c>
      <c r="D64" s="14">
        <v>3985463</v>
      </c>
      <c r="E64" s="14">
        <v>25792770</v>
      </c>
      <c r="F64" s="14">
        <v>4732297</v>
      </c>
      <c r="G64" s="17">
        <f t="shared" si="0"/>
        <v>68023350</v>
      </c>
      <c r="H64" s="2" t="str">
        <f>VLOOKUP(A64,Constants!$A:$C,2,FALSE)</f>
        <v>Financial Transaction</v>
      </c>
      <c r="I64" s="2"/>
      <c r="J64" s="2"/>
    </row>
    <row r="65" spans="1:10">
      <c r="A65" s="13" t="s">
        <v>128</v>
      </c>
      <c r="B65" s="14">
        <v>0</v>
      </c>
      <c r="C65" s="14">
        <v>0</v>
      </c>
      <c r="D65" s="14">
        <v>0</v>
      </c>
      <c r="E65" s="14">
        <v>0</v>
      </c>
      <c r="F65" s="14">
        <v>0</v>
      </c>
      <c r="G65" s="17">
        <f t="shared" si="0"/>
        <v>0</v>
      </c>
      <c r="H65" s="2" t="str">
        <f>VLOOKUP(A65,Constants!$A:$C,2,FALSE)</f>
        <v>Interval Data Set</v>
      </c>
      <c r="I65" s="2"/>
      <c r="J65" s="2"/>
    </row>
    <row r="66" spans="1:10">
      <c r="A66" s="13" t="s">
        <v>130</v>
      </c>
      <c r="B66" s="14">
        <v>0</v>
      </c>
      <c r="C66" s="14">
        <v>0</v>
      </c>
      <c r="D66" s="14">
        <v>0</v>
      </c>
      <c r="E66" s="14">
        <v>0</v>
      </c>
      <c r="F66" s="14">
        <v>0</v>
      </c>
      <c r="G66" s="17">
        <f t="shared" si="0"/>
        <v>0</v>
      </c>
      <c r="H66" s="2" t="str">
        <f>VLOOKUP(A66,Constants!$A:$C,2,FALSE)</f>
        <v>Interval Data Profile</v>
      </c>
      <c r="I66" s="2"/>
      <c r="J66" s="2"/>
    </row>
    <row r="67" spans="1:10">
      <c r="A67" s="13" t="s">
        <v>132</v>
      </c>
      <c r="B67" s="14">
        <v>0</v>
      </c>
      <c r="C67" s="14">
        <v>0</v>
      </c>
      <c r="D67" s="14">
        <v>0</v>
      </c>
      <c r="E67" s="14">
        <v>0</v>
      </c>
      <c r="F67" s="14">
        <v>0</v>
      </c>
      <c r="G67" s="17">
        <f t="shared" si="0"/>
        <v>0</v>
      </c>
      <c r="H67" s="2" t="str">
        <f>VLOOKUP(A67,Constants!$A:$C,2,FALSE)</f>
        <v>Interval Value Set</v>
      </c>
      <c r="I67" s="2"/>
      <c r="J67" s="2"/>
    </row>
    <row r="68" spans="1:10">
      <c r="A68" s="13" t="s">
        <v>134</v>
      </c>
      <c r="B68" s="14">
        <v>0</v>
      </c>
      <c r="C68" s="14">
        <v>0</v>
      </c>
      <c r="D68" s="14">
        <v>0</v>
      </c>
      <c r="E68" s="14">
        <v>0</v>
      </c>
      <c r="F68" s="14">
        <v>0</v>
      </c>
      <c r="G68" s="17">
        <f t="shared" ref="G68:G131" si="1">SUM(B68,C68,D68,E68,F68)</f>
        <v>0</v>
      </c>
      <c r="H68" s="2" t="str">
        <f>VLOOKUP(A68,Constants!$A:$C,2,FALSE)</f>
        <v>Item</v>
      </c>
      <c r="I68" s="2"/>
      <c r="J68" s="2"/>
    </row>
    <row r="69" spans="1:10">
      <c r="A69" s="13" t="s">
        <v>136</v>
      </c>
      <c r="B69" s="14">
        <v>0</v>
      </c>
      <c r="C69" s="14">
        <v>0</v>
      </c>
      <c r="D69" s="14">
        <v>0</v>
      </c>
      <c r="E69" s="14">
        <v>0</v>
      </c>
      <c r="F69" s="14">
        <v>0</v>
      </c>
      <c r="G69" s="17">
        <f t="shared" si="1"/>
        <v>0</v>
      </c>
      <c r="H69" s="2" t="str">
        <f>VLOOKUP(A69,Constants!$A:$C,2,FALSE)</f>
        <v>Item Type SQ Estimate</v>
      </c>
      <c r="I69" s="2"/>
      <c r="J69" s="2"/>
    </row>
    <row r="70" spans="1:10">
      <c r="A70" s="13" t="s">
        <v>138</v>
      </c>
      <c r="B70" s="14">
        <v>0</v>
      </c>
      <c r="C70" s="14">
        <v>0</v>
      </c>
      <c r="D70" s="14">
        <v>2423</v>
      </c>
      <c r="E70" s="14">
        <v>15020</v>
      </c>
      <c r="F70" s="14">
        <v>1707</v>
      </c>
      <c r="G70" s="17">
        <f t="shared" si="1"/>
        <v>19150</v>
      </c>
      <c r="H70" s="2" t="str">
        <f>VLOOKUP(A70,Constants!$A:$C,2,FALSE)</f>
        <v>Landlord Agreement</v>
      </c>
      <c r="I70" s="2"/>
      <c r="J70" s="2"/>
    </row>
    <row r="71" spans="1:10">
      <c r="A71" s="13" t="s">
        <v>140</v>
      </c>
      <c r="B71" s="14">
        <v>0</v>
      </c>
      <c r="C71" s="14">
        <v>0</v>
      </c>
      <c r="D71" s="14">
        <v>0</v>
      </c>
      <c r="E71" s="14">
        <v>0</v>
      </c>
      <c r="F71" s="14">
        <v>0</v>
      </c>
      <c r="G71" s="17">
        <f t="shared" si="1"/>
        <v>0</v>
      </c>
      <c r="H71" s="2" t="str">
        <f>VLOOKUP(A71,Constants!$A:$C,2,FALSE)</f>
        <v>Match Event</v>
      </c>
      <c r="I71" s="2"/>
      <c r="J71" s="2"/>
    </row>
    <row r="72" spans="1:10">
      <c r="A72" s="13" t="s">
        <v>142</v>
      </c>
      <c r="B72" s="14">
        <v>0</v>
      </c>
      <c r="C72" s="14">
        <v>0</v>
      </c>
      <c r="D72" s="14">
        <v>0</v>
      </c>
      <c r="E72" s="14">
        <v>0</v>
      </c>
      <c r="F72" s="14">
        <v>0</v>
      </c>
      <c r="G72" s="17">
        <f t="shared" si="1"/>
        <v>0</v>
      </c>
      <c r="H72" s="2" t="str">
        <f>VLOOKUP(A72,Constants!$A:$C,2,FALSE)</f>
        <v>Meter Read</v>
      </c>
      <c r="I72" s="2"/>
      <c r="J72" s="2"/>
    </row>
    <row r="73" spans="1:10">
      <c r="A73" s="13" t="s">
        <v>144</v>
      </c>
      <c r="B73" s="14">
        <v>0</v>
      </c>
      <c r="C73" s="14">
        <v>0</v>
      </c>
      <c r="D73" s="14">
        <v>0</v>
      </c>
      <c r="E73" s="14">
        <v>0</v>
      </c>
      <c r="F73" s="14">
        <v>0</v>
      </c>
      <c r="G73" s="17">
        <f t="shared" si="1"/>
        <v>0</v>
      </c>
      <c r="H73" s="2" t="str">
        <f>VLOOKUP(A73,Constants!$A:$C,2,FALSE)</f>
        <v>Meter Read Download Staging</v>
      </c>
      <c r="I73" s="2"/>
      <c r="J73" s="2"/>
    </row>
    <row r="74" spans="1:10">
      <c r="A74" s="13" t="s">
        <v>146</v>
      </c>
      <c r="B74" s="14">
        <v>0</v>
      </c>
      <c r="C74" s="14">
        <v>0</v>
      </c>
      <c r="D74" s="14">
        <v>0</v>
      </c>
      <c r="E74" s="14">
        <v>0</v>
      </c>
      <c r="F74" s="14">
        <v>0</v>
      </c>
      <c r="G74" s="17">
        <f t="shared" si="1"/>
        <v>0</v>
      </c>
      <c r="H74" s="2" t="str">
        <f>VLOOKUP(A74,Constants!$A:$C,2,FALSE)</f>
        <v>Meter Read Upload Staging</v>
      </c>
      <c r="I74" s="2"/>
      <c r="J74" s="2"/>
    </row>
    <row r="75" spans="1:10">
      <c r="A75" s="13" t="s">
        <v>148</v>
      </c>
      <c r="B75" s="14">
        <v>916103</v>
      </c>
      <c r="C75" s="14">
        <v>987729</v>
      </c>
      <c r="D75" s="14">
        <v>815772</v>
      </c>
      <c r="E75" s="14">
        <v>1035955</v>
      </c>
      <c r="F75" s="14">
        <v>631739</v>
      </c>
      <c r="G75" s="17">
        <f t="shared" si="1"/>
        <v>4387298</v>
      </c>
      <c r="H75" s="2" t="str">
        <f>VLOOKUP(A75,Constants!$A:$C,2,FALSE)</f>
        <v>Message Log</v>
      </c>
      <c r="I75" s="2"/>
      <c r="J75" s="2"/>
    </row>
    <row r="76" spans="1:10">
      <c r="A76" s="13" t="s">
        <v>150</v>
      </c>
      <c r="B76" s="14">
        <v>0</v>
      </c>
      <c r="C76" s="14">
        <v>0</v>
      </c>
      <c r="D76" s="14">
        <v>0</v>
      </c>
      <c r="E76" s="14">
        <v>0</v>
      </c>
      <c r="F76" s="14">
        <v>0</v>
      </c>
      <c r="G76" s="17">
        <f t="shared" si="1"/>
        <v>0</v>
      </c>
      <c r="H76" s="2" t="str">
        <f>VLOOKUP(A76,Constants!$A:$C,2,FALSE)</f>
        <v>Meter</v>
      </c>
      <c r="I76" s="2"/>
      <c r="J76" s="2"/>
    </row>
    <row r="77" spans="1:10">
      <c r="A77" s="13" t="s">
        <v>152</v>
      </c>
      <c r="B77" s="14">
        <v>0</v>
      </c>
      <c r="C77" s="14">
        <v>0</v>
      </c>
      <c r="D77" s="14">
        <v>0</v>
      </c>
      <c r="E77" s="14">
        <v>0</v>
      </c>
      <c r="F77" s="14">
        <v>0</v>
      </c>
      <c r="G77" s="17">
        <f t="shared" si="1"/>
        <v>0</v>
      </c>
      <c r="H77" s="2" t="str">
        <f>VLOOKUP(A77,Constants!$A:$C,2,FALSE)</f>
        <v>Meter Configuration</v>
      </c>
      <c r="I77" s="2"/>
      <c r="J77" s="2"/>
    </row>
    <row r="78" spans="1:10">
      <c r="A78" s="13" t="s">
        <v>154</v>
      </c>
      <c r="B78" s="14">
        <v>0</v>
      </c>
      <c r="C78" s="14">
        <v>0</v>
      </c>
      <c r="D78" s="14">
        <v>0</v>
      </c>
      <c r="E78" s="14">
        <v>0</v>
      </c>
      <c r="F78" s="14">
        <v>0</v>
      </c>
      <c r="G78" s="17">
        <f t="shared" si="1"/>
        <v>0</v>
      </c>
      <c r="H78" s="2" t="str">
        <f>VLOOKUP(A78,Constants!$A:$C,2,FALSE)</f>
        <v>Notification Download Staging</v>
      </c>
      <c r="I78" s="2"/>
      <c r="J78" s="2"/>
    </row>
    <row r="79" spans="1:10">
      <c r="A79" s="13" t="s">
        <v>156</v>
      </c>
      <c r="B79" s="14">
        <v>0</v>
      </c>
      <c r="C79" s="14">
        <v>0</v>
      </c>
      <c r="D79" s="14">
        <v>0</v>
      </c>
      <c r="E79" s="14">
        <v>0</v>
      </c>
      <c r="F79" s="14">
        <v>0</v>
      </c>
      <c r="G79" s="17">
        <f t="shared" si="1"/>
        <v>0</v>
      </c>
      <c r="H79" s="2" t="str">
        <f>VLOOKUP(A79,Constants!$A:$C,2,FALSE)</f>
        <v>Notification Upload Staging</v>
      </c>
      <c r="I79" s="2"/>
      <c r="J79" s="2"/>
    </row>
    <row r="80" spans="1:10">
      <c r="A80" s="13" t="s">
        <v>158</v>
      </c>
      <c r="B80" s="14">
        <v>0</v>
      </c>
      <c r="C80" s="14">
        <v>0</v>
      </c>
      <c r="D80" s="14">
        <v>0</v>
      </c>
      <c r="E80" s="14">
        <v>0</v>
      </c>
      <c r="F80" s="14">
        <v>0</v>
      </c>
      <c r="G80" s="17">
        <f t="shared" si="1"/>
        <v>0</v>
      </c>
      <c r="H80" s="2" t="str">
        <f>VLOOKUP(A80,Constants!$A:$C,2,FALSE)</f>
        <v>NT Upload Staging Extension Sample</v>
      </c>
      <c r="I80" s="2"/>
      <c r="J80" s="2"/>
    </row>
    <row r="81" spans="1:10">
      <c r="A81" s="13" t="s">
        <v>160</v>
      </c>
      <c r="B81" s="14">
        <v>0</v>
      </c>
      <c r="C81" s="14">
        <v>0</v>
      </c>
      <c r="D81" s="14">
        <v>0</v>
      </c>
      <c r="E81" s="14">
        <v>0</v>
      </c>
      <c r="F81" s="14">
        <v>0</v>
      </c>
      <c r="G81" s="17">
        <f t="shared" si="1"/>
        <v>0</v>
      </c>
      <c r="H81" s="2" t="str">
        <f>VLOOKUP(A81,Constants!$A:$C,2,FALSE)</f>
        <v>Overdue Process</v>
      </c>
      <c r="I81" s="2"/>
      <c r="J81" s="2"/>
    </row>
    <row r="82" spans="1:10">
      <c r="A82" s="13" t="s">
        <v>162</v>
      </c>
      <c r="B82" s="14">
        <v>2731089</v>
      </c>
      <c r="C82" s="14">
        <v>455524</v>
      </c>
      <c r="D82" s="14">
        <v>537659</v>
      </c>
      <c r="E82" s="14">
        <v>2449489</v>
      </c>
      <c r="F82" s="14">
        <v>708986</v>
      </c>
      <c r="G82" s="17">
        <f t="shared" si="1"/>
        <v>6882747</v>
      </c>
      <c r="H82" s="2" t="str">
        <f>VLOOKUP(A82,Constants!$A:$C,2,FALSE)</f>
        <v>Payment Header</v>
      </c>
      <c r="I82" s="2"/>
      <c r="J82" s="2"/>
    </row>
    <row r="83" spans="1:10">
      <c r="A83" s="13" t="s">
        <v>164</v>
      </c>
      <c r="B83" s="14">
        <v>2729439</v>
      </c>
      <c r="C83" s="14">
        <v>450702</v>
      </c>
      <c r="D83" s="14">
        <v>537390</v>
      </c>
      <c r="E83" s="14">
        <v>2448621</v>
      </c>
      <c r="F83" s="14">
        <v>708700</v>
      </c>
      <c r="G83" s="17">
        <f t="shared" si="1"/>
        <v>6874852</v>
      </c>
      <c r="H83" s="2" t="str">
        <f>VLOOKUP(A83,Constants!$A:$C,2,FALSE)</f>
        <v>Payment Event</v>
      </c>
      <c r="I83" s="2"/>
      <c r="J83" s="2"/>
    </row>
    <row r="84" spans="1:10">
      <c r="A84" s="13" t="s">
        <v>166</v>
      </c>
      <c r="B84" s="14">
        <v>32519</v>
      </c>
      <c r="C84" s="14">
        <v>388</v>
      </c>
      <c r="D84" s="14">
        <v>1754</v>
      </c>
      <c r="E84" s="14">
        <v>5098</v>
      </c>
      <c r="F84" s="14">
        <v>4790</v>
      </c>
      <c r="G84" s="17">
        <f t="shared" si="1"/>
        <v>44549</v>
      </c>
      <c r="H84" s="2" t="str">
        <f>VLOOKUP(A84,Constants!$A:$C,2,FALSE)</f>
        <v>Payment Tender Staging</v>
      </c>
      <c r="I84" s="2"/>
      <c r="J84" s="2"/>
    </row>
    <row r="85" spans="1:10">
      <c r="A85" s="13" t="s">
        <v>168</v>
      </c>
      <c r="B85" s="14">
        <v>58435</v>
      </c>
      <c r="C85" s="14">
        <v>25395</v>
      </c>
      <c r="D85" s="14">
        <v>49261</v>
      </c>
      <c r="E85" s="14">
        <v>107202</v>
      </c>
      <c r="F85" s="14">
        <v>27939</v>
      </c>
      <c r="G85" s="17">
        <f t="shared" si="1"/>
        <v>268232</v>
      </c>
      <c r="H85" s="2" t="str">
        <f>VLOOKUP(A85,Constants!$A:$C,2,FALSE)</f>
        <v>Person</v>
      </c>
      <c r="I85" s="2"/>
      <c r="J85" s="2"/>
    </row>
    <row r="86" spans="1:10">
      <c r="A86" s="13" t="s">
        <v>170</v>
      </c>
      <c r="B86" s="14">
        <v>0</v>
      </c>
      <c r="C86" s="14">
        <v>0</v>
      </c>
      <c r="D86" s="14">
        <v>0</v>
      </c>
      <c r="E86" s="14">
        <v>0</v>
      </c>
      <c r="F86" s="14">
        <v>0</v>
      </c>
      <c r="G86" s="17">
        <f t="shared" si="1"/>
        <v>0</v>
      </c>
      <c r="H86" s="2" t="str">
        <f>VLOOKUP(A86,Constants!$A:$C,2,FALSE)</f>
        <v>Payment Event Upload Staging</v>
      </c>
      <c r="I86" s="2"/>
      <c r="J86" s="2"/>
    </row>
    <row r="87" spans="1:10">
      <c r="A87" s="13" t="s">
        <v>172</v>
      </c>
      <c r="B87" s="14">
        <v>7</v>
      </c>
      <c r="C87" s="14">
        <v>16</v>
      </c>
      <c r="D87" s="14">
        <v>4442</v>
      </c>
      <c r="E87" s="14">
        <v>2648</v>
      </c>
      <c r="F87" s="14">
        <v>38</v>
      </c>
      <c r="G87" s="17">
        <f t="shared" si="1"/>
        <v>7151</v>
      </c>
      <c r="H87" s="2" t="str">
        <f>VLOOKUP(A87,Constants!$A:$C,2,FALSE)</f>
        <v>Pay Plan</v>
      </c>
      <c r="I87" s="2"/>
      <c r="J87" s="2"/>
    </row>
    <row r="88" spans="1:10">
      <c r="A88" s="13" t="s">
        <v>174</v>
      </c>
      <c r="B88" s="14">
        <v>49890</v>
      </c>
      <c r="C88" s="14">
        <v>16282</v>
      </c>
      <c r="D88" s="14">
        <v>12006</v>
      </c>
      <c r="E88" s="14">
        <v>69240</v>
      </c>
      <c r="F88" s="14">
        <v>15184</v>
      </c>
      <c r="G88" s="17">
        <f t="shared" si="1"/>
        <v>162602</v>
      </c>
      <c r="H88" s="2" t="str">
        <f>VLOOKUP(A88,Constants!$A:$C,2,FALSE)</f>
        <v>Premise</v>
      </c>
      <c r="I88" s="2"/>
      <c r="J88" s="2"/>
    </row>
    <row r="89" spans="1:10">
      <c r="A89" s="13" t="s">
        <v>176</v>
      </c>
      <c r="B89" s="14">
        <v>0</v>
      </c>
      <c r="C89" s="14">
        <v>0</v>
      </c>
      <c r="D89" s="14">
        <v>0</v>
      </c>
      <c r="E89" s="14">
        <v>0</v>
      </c>
      <c r="F89" s="14">
        <v>0</v>
      </c>
      <c r="G89" s="17">
        <f t="shared" si="1"/>
        <v>0</v>
      </c>
      <c r="H89" s="2" t="str">
        <f>VLOOKUP(A89,Constants!$A:$C,2,FALSE)</f>
        <v>Quote</v>
      </c>
      <c r="I89" s="2"/>
      <c r="J89" s="2"/>
    </row>
    <row r="90" spans="1:10">
      <c r="A90" s="13" t="s">
        <v>178</v>
      </c>
      <c r="B90" s="14">
        <v>0</v>
      </c>
      <c r="C90" s="14">
        <v>0</v>
      </c>
      <c r="D90" s="14">
        <v>0</v>
      </c>
      <c r="E90" s="14">
        <v>0</v>
      </c>
      <c r="F90" s="14">
        <v>0</v>
      </c>
      <c r="G90" s="17">
        <f t="shared" si="1"/>
        <v>0</v>
      </c>
      <c r="H90" s="2" t="str">
        <f>VLOOKUP(A90,Constants!$A:$C,2,FALSE)</f>
        <v>Rebate Claim</v>
      </c>
      <c r="I90" s="2"/>
      <c r="J90" s="2"/>
    </row>
    <row r="91" spans="1:10">
      <c r="A91" s="13" t="s">
        <v>180</v>
      </c>
      <c r="B91" s="14">
        <v>0</v>
      </c>
      <c r="C91" s="14">
        <v>0</v>
      </c>
      <c r="D91" s="14">
        <v>0</v>
      </c>
      <c r="E91" s="14">
        <v>0</v>
      </c>
      <c r="F91" s="14">
        <v>0</v>
      </c>
      <c r="G91" s="17">
        <f t="shared" si="1"/>
        <v>0</v>
      </c>
      <c r="H91" s="2" t="str">
        <f>VLOOKUP(A91,Constants!$A:$C,2,FALSE)</f>
        <v>Rebate Claim Line</v>
      </c>
      <c r="I91" s="2"/>
      <c r="J91" s="2"/>
    </row>
    <row r="92" spans="1:10">
      <c r="A92" s="13" t="s">
        <v>182</v>
      </c>
      <c r="B92" s="14">
        <v>0</v>
      </c>
      <c r="C92" s="14">
        <v>0</v>
      </c>
      <c r="D92" s="14">
        <v>0</v>
      </c>
      <c r="E92" s="14">
        <v>0</v>
      </c>
      <c r="F92" s="14">
        <v>0</v>
      </c>
      <c r="G92" s="17">
        <f t="shared" si="1"/>
        <v>0</v>
      </c>
      <c r="H92" s="2" t="str">
        <f>VLOOKUP(A92,Constants!$A:$C,2,FALSE)</f>
        <v>Interval Register Data Set</v>
      </c>
      <c r="I92" s="2"/>
      <c r="J92" s="2"/>
    </row>
    <row r="93" spans="1:10">
      <c r="A93" s="13" t="s">
        <v>184</v>
      </c>
      <c r="B93" s="14">
        <v>194102</v>
      </c>
      <c r="C93" s="14">
        <v>144153</v>
      </c>
      <c r="D93" s="14">
        <v>119294</v>
      </c>
      <c r="E93" s="14">
        <v>943834</v>
      </c>
      <c r="F93" s="14">
        <v>75469</v>
      </c>
      <c r="G93" s="17">
        <f t="shared" si="1"/>
        <v>1476852</v>
      </c>
      <c r="H93" s="2" t="str">
        <f>VLOOKUP(A93,Constants!$A:$C,2,FALSE)</f>
        <v>SA (Service Agreement)</v>
      </c>
      <c r="I93" s="2"/>
      <c r="J93" s="2"/>
    </row>
    <row r="94" spans="1:10">
      <c r="A94" s="13" t="s">
        <v>186</v>
      </c>
      <c r="B94" s="14">
        <v>0</v>
      </c>
      <c r="C94" s="14">
        <v>0</v>
      </c>
      <c r="D94" s="14">
        <v>0</v>
      </c>
      <c r="E94" s="14">
        <v>0</v>
      </c>
      <c r="F94" s="14">
        <v>7948</v>
      </c>
      <c r="G94" s="17">
        <f t="shared" si="1"/>
        <v>7948</v>
      </c>
      <c r="H94" s="2" t="str">
        <f>VLOOKUP(A94,Constants!$A:$C,2,FALSE)</f>
        <v>SA Relationship</v>
      </c>
      <c r="I94" s="2"/>
      <c r="J94" s="2"/>
    </row>
    <row r="95" spans="1:10">
      <c r="A95" s="13" t="s">
        <v>188</v>
      </c>
      <c r="B95" s="14">
        <v>0</v>
      </c>
      <c r="C95" s="14">
        <v>0</v>
      </c>
      <c r="D95" s="14">
        <v>0</v>
      </c>
      <c r="E95" s="14">
        <v>0</v>
      </c>
      <c r="F95" s="14">
        <v>0</v>
      </c>
      <c r="G95" s="17">
        <f t="shared" si="1"/>
        <v>0</v>
      </c>
      <c r="H95" s="2" t="str">
        <f>VLOOKUP(A95,Constants!$A:$C,2,FALSE)</f>
        <v>Service Credit Membership</v>
      </c>
      <c r="I95" s="2"/>
      <c r="J95" s="2"/>
    </row>
    <row r="96" spans="1:10">
      <c r="A96" s="13" t="s">
        <v>190</v>
      </c>
      <c r="B96" s="14">
        <v>0</v>
      </c>
      <c r="C96" s="14">
        <v>0</v>
      </c>
      <c r="D96" s="14">
        <v>0</v>
      </c>
      <c r="E96" s="14">
        <v>0</v>
      </c>
      <c r="F96" s="14">
        <v>0</v>
      </c>
      <c r="G96" s="17">
        <f t="shared" si="1"/>
        <v>0</v>
      </c>
      <c r="H96" s="2" t="str">
        <f>VLOOKUP(A96,Constants!$A:$C,2,FALSE)</f>
        <v>Service Credit Event</v>
      </c>
      <c r="I96" s="2"/>
      <c r="J96" s="2"/>
    </row>
    <row r="97" spans="1:10">
      <c r="A97" s="13" t="s">
        <v>192</v>
      </c>
      <c r="B97" s="14">
        <v>30490</v>
      </c>
      <c r="C97" s="14">
        <v>0</v>
      </c>
      <c r="D97" s="14">
        <v>17041</v>
      </c>
      <c r="E97" s="14">
        <v>47105</v>
      </c>
      <c r="F97" s="14">
        <v>0</v>
      </c>
      <c r="G97" s="17">
        <f t="shared" si="1"/>
        <v>94636</v>
      </c>
      <c r="H97" s="2" t="str">
        <f>VLOOKUP(A97,Constants!$A:$C,2,FALSE)</f>
        <v>Severance Process</v>
      </c>
      <c r="I97" s="2"/>
      <c r="J97" s="2"/>
    </row>
    <row r="98" spans="1:10">
      <c r="A98" s="13" t="s">
        <v>194</v>
      </c>
      <c r="B98" s="14">
        <v>44699</v>
      </c>
      <c r="C98" s="14">
        <v>17674</v>
      </c>
      <c r="D98" s="14">
        <v>32598</v>
      </c>
      <c r="E98" s="14">
        <v>226778</v>
      </c>
      <c r="F98" s="14">
        <v>29259</v>
      </c>
      <c r="G98" s="17">
        <f t="shared" si="1"/>
        <v>351008</v>
      </c>
      <c r="H98" s="2" t="str">
        <f>VLOOKUP(A98,Constants!$A:$C,2,FALSE)</f>
        <v>Service Point - CCB</v>
      </c>
      <c r="I98" s="2"/>
      <c r="J98" s="2"/>
    </row>
    <row r="99" spans="1:10">
      <c r="A99" s="13" t="s">
        <v>199</v>
      </c>
      <c r="B99" s="14">
        <v>0</v>
      </c>
      <c r="C99" s="14">
        <v>0</v>
      </c>
      <c r="D99" s="14">
        <v>0</v>
      </c>
      <c r="E99" s="14">
        <v>0</v>
      </c>
      <c r="F99" s="14">
        <v>0</v>
      </c>
      <c r="G99" s="17">
        <f t="shared" si="1"/>
        <v>0</v>
      </c>
      <c r="H99" s="2" t="str">
        <f>VLOOKUP(A99,Constants!$A:$C,2,FALSE)</f>
        <v>SP Item History</v>
      </c>
      <c r="I99" s="2"/>
      <c r="J99" s="2"/>
    </row>
    <row r="100" spans="1:10">
      <c r="A100" s="13" t="s">
        <v>201</v>
      </c>
      <c r="B100" s="14">
        <v>0</v>
      </c>
      <c r="C100" s="14">
        <v>0</v>
      </c>
      <c r="D100" s="14">
        <v>0</v>
      </c>
      <c r="E100" s="14">
        <v>0</v>
      </c>
      <c r="F100" s="14">
        <v>0</v>
      </c>
      <c r="G100" s="17">
        <f t="shared" si="1"/>
        <v>0</v>
      </c>
      <c r="H100" s="2" t="str">
        <f>VLOOKUP(A100,Constants!$A:$C,2,FALSE)</f>
        <v>SP/Meter History</v>
      </c>
      <c r="I100" s="2"/>
      <c r="J100" s="2"/>
    </row>
    <row r="101" spans="1:10">
      <c r="A101" s="13" t="s">
        <v>203</v>
      </c>
      <c r="B101" s="14">
        <v>0</v>
      </c>
      <c r="C101" s="14">
        <v>0</v>
      </c>
      <c r="D101" s="14">
        <v>0</v>
      </c>
      <c r="E101" s="14">
        <v>0</v>
      </c>
      <c r="F101" s="14">
        <v>0</v>
      </c>
      <c r="G101" s="17">
        <f t="shared" si="1"/>
        <v>0</v>
      </c>
      <c r="H101" s="2" t="str">
        <f>VLOOKUP(A101,Constants!$A:$C,2,FALSE)</f>
        <v>Stock Location</v>
      </c>
      <c r="I101" s="2"/>
      <c r="J101" s="2"/>
    </row>
    <row r="102" spans="1:10">
      <c r="A102" s="13" t="s">
        <v>205</v>
      </c>
      <c r="B102" s="14">
        <v>0</v>
      </c>
      <c r="C102" s="14">
        <v>0</v>
      </c>
      <c r="D102" s="14">
        <v>0</v>
      </c>
      <c r="E102" s="14">
        <v>0</v>
      </c>
      <c r="F102" s="14">
        <v>0</v>
      </c>
      <c r="G102" s="17">
        <f t="shared" si="1"/>
        <v>0</v>
      </c>
      <c r="H102" s="2" t="str">
        <f>VLOOKUP(A102,Constants!$A:$C,2,FALSE)</f>
        <v>Statement</v>
      </c>
      <c r="I102" s="2"/>
      <c r="J102" s="2"/>
    </row>
    <row r="103" spans="1:10">
      <c r="A103" s="13" t="s">
        <v>207</v>
      </c>
      <c r="B103" s="14">
        <v>0</v>
      </c>
      <c r="C103" s="14">
        <v>0</v>
      </c>
      <c r="D103" s="14">
        <v>0</v>
      </c>
      <c r="E103" s="14">
        <v>0</v>
      </c>
      <c r="F103" s="14">
        <v>0</v>
      </c>
      <c r="G103" s="17">
        <f t="shared" si="1"/>
        <v>0</v>
      </c>
      <c r="H103" s="2" t="str">
        <f>VLOOKUP(A103,Constants!$A:$C,2,FALSE)</f>
        <v>Statement Construct</v>
      </c>
      <c r="I103" s="2"/>
      <c r="J103" s="2"/>
    </row>
    <row r="104" spans="1:10">
      <c r="A104" s="13" t="s">
        <v>209</v>
      </c>
      <c r="B104" s="14">
        <v>0</v>
      </c>
      <c r="C104" s="14">
        <v>0</v>
      </c>
      <c r="D104" s="14">
        <v>0</v>
      </c>
      <c r="E104" s="14">
        <v>0</v>
      </c>
      <c r="F104" s="14">
        <v>0</v>
      </c>
      <c r="G104" s="17">
        <f t="shared" si="1"/>
        <v>0</v>
      </c>
      <c r="H104" s="2" t="str">
        <f>VLOOKUP(A104,Constants!$A:$C,2,FALSE)</f>
        <v>Service Route Download Staging</v>
      </c>
      <c r="I104" s="2"/>
      <c r="J104" s="2"/>
    </row>
    <row r="105" spans="1:10">
      <c r="A105" s="13" t="s">
        <v>211</v>
      </c>
      <c r="B105" s="14">
        <v>5095769</v>
      </c>
      <c r="C105" s="14">
        <v>41861</v>
      </c>
      <c r="D105" s="14">
        <v>612099</v>
      </c>
      <c r="E105" s="14">
        <v>183363</v>
      </c>
      <c r="F105" s="14">
        <v>13023</v>
      </c>
      <c r="G105" s="17">
        <f t="shared" si="1"/>
        <v>5946115</v>
      </c>
      <c r="H105" s="2" t="str">
        <f>VLOOKUP(A105,Constants!$A:$C,2,FALSE)</f>
        <v>To Do Entry</v>
      </c>
      <c r="I105" s="2"/>
      <c r="J105" s="2"/>
    </row>
    <row r="106" spans="1:10">
      <c r="A106" s="13" t="s">
        <v>213</v>
      </c>
      <c r="B106" s="14">
        <v>4042</v>
      </c>
      <c r="C106" s="14">
        <v>1991</v>
      </c>
      <c r="D106" s="14">
        <v>3156</v>
      </c>
      <c r="E106" s="14">
        <v>2586</v>
      </c>
      <c r="F106" s="14">
        <v>1628</v>
      </c>
      <c r="G106" s="17">
        <f t="shared" si="1"/>
        <v>13403</v>
      </c>
      <c r="H106" s="2" t="str">
        <f>VLOOKUP(A106,Constants!$A:$C,2,FALSE)</f>
        <v>Tender Control</v>
      </c>
      <c r="I106" s="2"/>
      <c r="J106" s="2"/>
    </row>
    <row r="107" spans="1:10">
      <c r="A107" s="13" t="s">
        <v>215</v>
      </c>
      <c r="B107" s="14">
        <v>0</v>
      </c>
      <c r="C107" s="14">
        <v>0</v>
      </c>
      <c r="D107" s="14">
        <v>0</v>
      </c>
      <c r="E107" s="14">
        <v>0</v>
      </c>
      <c r="F107" s="14">
        <v>0</v>
      </c>
      <c r="G107" s="17">
        <f t="shared" si="1"/>
        <v>0</v>
      </c>
      <c r="H107" s="2" t="str">
        <f>VLOOKUP(A107,Constants!$A:$C,2,FALSE)</f>
        <v>Terms of Service</v>
      </c>
      <c r="I107" s="2"/>
      <c r="J107" s="2"/>
    </row>
    <row r="108" spans="1:10">
      <c r="A108" s="13" t="s">
        <v>217</v>
      </c>
      <c r="B108" s="14">
        <v>0</v>
      </c>
      <c r="C108" s="14">
        <v>0</v>
      </c>
      <c r="D108" s="14">
        <v>0</v>
      </c>
      <c r="E108" s="14">
        <v>0</v>
      </c>
      <c r="F108" s="14">
        <v>0</v>
      </c>
      <c r="G108" s="17">
        <f t="shared" si="1"/>
        <v>0</v>
      </c>
      <c r="H108" s="2" t="str">
        <f>VLOOKUP(A108,Constants!$A:$C,2,FALSE)</f>
        <v>TOU Data Set</v>
      </c>
      <c r="I108" s="2"/>
      <c r="J108" s="2"/>
    </row>
    <row r="109" spans="1:10">
      <c r="A109" s="13" t="s">
        <v>219</v>
      </c>
      <c r="B109" s="14">
        <v>0</v>
      </c>
      <c r="C109" s="14">
        <v>0</v>
      </c>
      <c r="D109" s="14">
        <v>0</v>
      </c>
      <c r="E109" s="14">
        <v>0</v>
      </c>
      <c r="F109" s="14">
        <v>0</v>
      </c>
      <c r="G109" s="17">
        <f t="shared" si="1"/>
        <v>0</v>
      </c>
      <c r="H109" s="2" t="str">
        <f>VLOOKUP(A109,Constants!$A:$C,2,FALSE)</f>
        <v>Time Of Use Map Classic</v>
      </c>
      <c r="I109" s="2"/>
      <c r="J109" s="2"/>
    </row>
    <row r="110" spans="1:10">
      <c r="A110" s="13" t="s">
        <v>221</v>
      </c>
      <c r="B110" s="14">
        <v>0</v>
      </c>
      <c r="C110" s="14">
        <v>0</v>
      </c>
      <c r="D110" s="14">
        <v>0</v>
      </c>
      <c r="E110" s="14">
        <v>0</v>
      </c>
      <c r="F110" s="14">
        <v>0</v>
      </c>
      <c r="G110" s="17">
        <f t="shared" si="1"/>
        <v>0</v>
      </c>
      <c r="H110" s="2" t="str">
        <f>VLOOKUP(A110,Constants!$A:$C,2,FALSE)</f>
        <v>Trend</v>
      </c>
      <c r="I110" s="2"/>
      <c r="J110" s="2"/>
    </row>
    <row r="111" spans="1:10">
      <c r="A111" s="13" t="s">
        <v>223</v>
      </c>
      <c r="B111" s="14">
        <v>0</v>
      </c>
      <c r="C111" s="14">
        <v>0</v>
      </c>
      <c r="D111" s="14">
        <v>0</v>
      </c>
      <c r="E111" s="14">
        <v>0</v>
      </c>
      <c r="F111" s="14">
        <v>0</v>
      </c>
      <c r="G111" s="17">
        <f t="shared" si="1"/>
        <v>0</v>
      </c>
      <c r="H111" s="2" t="str">
        <f>VLOOKUP(A111,Constants!$A:$C,2,FALSE)</f>
        <v>Umbrella Agreement</v>
      </c>
      <c r="I111" s="2"/>
      <c r="J111" s="2"/>
    </row>
    <row r="112" spans="1:10">
      <c r="A112" s="13" t="s">
        <v>225</v>
      </c>
      <c r="B112" s="14">
        <v>567</v>
      </c>
      <c r="C112" s="14">
        <v>0</v>
      </c>
      <c r="D112" s="14">
        <v>0</v>
      </c>
      <c r="E112" s="14">
        <v>0</v>
      </c>
      <c r="F112" s="14">
        <v>0</v>
      </c>
      <c r="G112" s="17">
        <f t="shared" si="1"/>
        <v>567</v>
      </c>
      <c r="H112" s="2" t="str">
        <f>VLOOKUP(A112,Constants!$A:$C,2,FALSE)</f>
        <v>Validation Error</v>
      </c>
      <c r="I112" s="2"/>
      <c r="J112" s="2"/>
    </row>
    <row r="113" spans="1:10">
      <c r="A113" s="13" t="s">
        <v>227</v>
      </c>
      <c r="B113" s="14">
        <v>0</v>
      </c>
      <c r="C113" s="14">
        <v>0</v>
      </c>
      <c r="D113" s="14">
        <v>0</v>
      </c>
      <c r="E113" s="14">
        <v>0</v>
      </c>
      <c r="F113" s="14">
        <v>0</v>
      </c>
      <c r="G113" s="17">
        <f t="shared" si="1"/>
        <v>0</v>
      </c>
      <c r="H113" s="2" t="str">
        <f>VLOOKUP(A113,Constants!$A:$C,2,FALSE)</f>
        <v>Validation Error Foreign Keys</v>
      </c>
      <c r="I113" s="2"/>
      <c r="J113" s="2"/>
    </row>
    <row r="114" spans="1:10">
      <c r="A114" s="13" t="s">
        <v>229</v>
      </c>
      <c r="B114" s="14">
        <v>0</v>
      </c>
      <c r="C114" s="14">
        <v>0</v>
      </c>
      <c r="D114" s="14">
        <v>0</v>
      </c>
      <c r="E114" s="14">
        <v>0</v>
      </c>
      <c r="F114" s="14">
        <v>0</v>
      </c>
      <c r="G114" s="17">
        <f t="shared" si="1"/>
        <v>0</v>
      </c>
      <c r="H114" s="2" t="str">
        <f>VLOOKUP(A114,Constants!$A:$C,2,FALSE)</f>
        <v>WF Process</v>
      </c>
      <c r="I114" s="2"/>
      <c r="J114" s="2"/>
    </row>
    <row r="115" spans="1:10">
      <c r="A115" s="13" t="s">
        <v>231</v>
      </c>
      <c r="B115" s="14">
        <v>0</v>
      </c>
      <c r="C115" s="14">
        <v>777</v>
      </c>
      <c r="D115" s="14">
        <v>3303</v>
      </c>
      <c r="E115" s="14">
        <v>8931</v>
      </c>
      <c r="F115" s="14">
        <v>0</v>
      </c>
      <c r="G115" s="17">
        <f t="shared" si="1"/>
        <v>13011</v>
      </c>
      <c r="H115" s="2" t="str">
        <f>VLOOKUP(A115,Constants!$A:$C,2,FALSE)</f>
        <v>Write Off Process</v>
      </c>
      <c r="I115" s="2"/>
      <c r="J115" s="2"/>
    </row>
    <row r="116" spans="1:10">
      <c r="A116" s="13" t="s">
        <v>233</v>
      </c>
      <c r="B116" s="14">
        <v>0</v>
      </c>
      <c r="C116" s="14">
        <v>0</v>
      </c>
      <c r="D116" s="14">
        <v>0</v>
      </c>
      <c r="E116" s="14">
        <v>0</v>
      </c>
      <c r="F116" s="14">
        <v>0</v>
      </c>
      <c r="G116" s="17">
        <f t="shared" si="1"/>
        <v>0</v>
      </c>
      <c r="H116" s="2" t="str">
        <f>VLOOKUP(A116,Constants!$A:$C,2,FALSE)</f>
        <v>XAI Download</v>
      </c>
      <c r="I116" s="2"/>
      <c r="J116" s="2"/>
    </row>
    <row r="117" spans="1:10">
      <c r="A117" s="13" t="s">
        <v>235</v>
      </c>
      <c r="B117" s="14">
        <v>0</v>
      </c>
      <c r="C117" s="14">
        <v>0</v>
      </c>
      <c r="D117" s="14">
        <v>0</v>
      </c>
      <c r="E117" s="14">
        <v>0</v>
      </c>
      <c r="F117" s="14">
        <v>0</v>
      </c>
      <c r="G117" s="17">
        <f t="shared" si="1"/>
        <v>0</v>
      </c>
      <c r="H117" s="2" t="str">
        <f>VLOOKUP(A117,Constants!$A:$C,2,FALSE)</f>
        <v>XAI Upload Staging</v>
      </c>
      <c r="I117" s="2"/>
      <c r="J117" s="2"/>
    </row>
    <row r="118" spans="1:10">
      <c r="A118" s="13" t="s">
        <v>237</v>
      </c>
      <c r="B118" s="14">
        <v>0</v>
      </c>
      <c r="C118" s="14">
        <v>0</v>
      </c>
      <c r="D118" s="14">
        <v>0</v>
      </c>
      <c r="E118" s="14">
        <v>0</v>
      </c>
      <c r="F118" s="14">
        <v>0</v>
      </c>
      <c r="G118" s="17">
        <f t="shared" si="1"/>
        <v>0</v>
      </c>
      <c r="H118" s="2" t="str">
        <f>VLOOKUP(A118,Constants!$A:$C,2,FALSE)</f>
        <v>XAI Staging Control</v>
      </c>
      <c r="I118" s="2"/>
      <c r="J118" s="2"/>
    </row>
    <row r="119" spans="1:10">
      <c r="A119" s="13" t="s">
        <v>239</v>
      </c>
      <c r="B119" s="14">
        <v>1064631</v>
      </c>
      <c r="C119" s="14">
        <v>20723</v>
      </c>
      <c r="D119" s="14">
        <v>449631</v>
      </c>
      <c r="E119" s="14">
        <v>1223106</v>
      </c>
      <c r="F119" s="14">
        <v>10987</v>
      </c>
      <c r="G119" s="17">
        <f t="shared" si="1"/>
        <v>2769078</v>
      </c>
      <c r="H119" s="2" t="str">
        <f>VLOOKUP(A119,Constants!$A:$C,2,FALSE)</f>
        <v>Activity</v>
      </c>
      <c r="I119" s="2"/>
      <c r="J119" s="2"/>
    </row>
    <row r="120" spans="1:10">
      <c r="A120" s="13" t="s">
        <v>241</v>
      </c>
      <c r="B120" s="14">
        <v>0</v>
      </c>
      <c r="C120" s="14">
        <v>0</v>
      </c>
      <c r="D120" s="14">
        <v>0</v>
      </c>
      <c r="E120" s="14">
        <v>0</v>
      </c>
      <c r="F120" s="14">
        <v>0</v>
      </c>
      <c r="G120" s="17">
        <f t="shared" si="1"/>
        <v>0</v>
      </c>
      <c r="H120" s="2" t="str">
        <f>VLOOKUP(A120,Constants!$A:$C,2,FALSE)</f>
        <v>Attribute Data Snapshot</v>
      </c>
      <c r="I120" s="2"/>
      <c r="J120" s="2"/>
    </row>
    <row r="121" spans="1:10">
      <c r="A121" s="13" t="s">
        <v>243</v>
      </c>
      <c r="B121" s="14">
        <v>0</v>
      </c>
      <c r="C121" s="14">
        <v>0</v>
      </c>
      <c r="D121" s="14">
        <v>0</v>
      </c>
      <c r="E121" s="14">
        <v>0</v>
      </c>
      <c r="F121" s="14">
        <v>0</v>
      </c>
      <c r="G121" s="17">
        <f t="shared" si="1"/>
        <v>0</v>
      </c>
      <c r="H121" s="2" t="str">
        <f>VLOOKUP(A121,Constants!$A:$C,2,FALSE)</f>
        <v>Aggregation Group Run</v>
      </c>
      <c r="I121" s="2"/>
      <c r="J121" s="2"/>
    </row>
    <row r="122" spans="1:10">
      <c r="A122" s="13" t="s">
        <v>245</v>
      </c>
      <c r="B122" s="14">
        <v>0</v>
      </c>
      <c r="C122" s="14">
        <v>0</v>
      </c>
      <c r="D122" s="14">
        <v>0</v>
      </c>
      <c r="E122" s="14">
        <v>0</v>
      </c>
      <c r="F122" s="14">
        <v>0</v>
      </c>
      <c r="G122" s="17">
        <f t="shared" si="1"/>
        <v>0</v>
      </c>
      <c r="H122" s="2" t="str">
        <f>VLOOKUP(A122,Constants!$A:$C,2,FALSE)</f>
        <v>Aggregation Measurement</v>
      </c>
      <c r="I122" s="2"/>
      <c r="J122" s="2"/>
    </row>
    <row r="123" spans="1:10">
      <c r="A123" s="13" t="s">
        <v>247</v>
      </c>
      <c r="B123" s="14">
        <v>0</v>
      </c>
      <c r="C123" s="14">
        <v>0</v>
      </c>
      <c r="D123" s="14">
        <v>0</v>
      </c>
      <c r="E123" s="14">
        <v>0</v>
      </c>
      <c r="F123" s="14">
        <v>0</v>
      </c>
      <c r="G123" s="17">
        <f t="shared" si="1"/>
        <v>0</v>
      </c>
      <c r="H123" s="2" t="str">
        <f>VLOOKUP(A123,Constants!$A:$C,2,FALSE)</f>
        <v>Attribute Values</v>
      </c>
      <c r="I123" s="2"/>
      <c r="J123" s="2"/>
    </row>
    <row r="124" spans="1:10">
      <c r="A124" s="13" t="s">
        <v>249</v>
      </c>
      <c r="B124" s="14">
        <v>144857</v>
      </c>
      <c r="C124" s="14">
        <v>943</v>
      </c>
      <c r="D124" s="14">
        <v>8493</v>
      </c>
      <c r="E124" s="14">
        <v>98507</v>
      </c>
      <c r="F124" s="14">
        <v>2756</v>
      </c>
      <c r="G124" s="17">
        <f t="shared" si="1"/>
        <v>255556</v>
      </c>
      <c r="H124" s="2" t="str">
        <f>VLOOKUP(A124,Constants!$A:$C,2,FALSE)</f>
        <v>Communication In</v>
      </c>
      <c r="I124" s="2"/>
      <c r="J124" s="2"/>
    </row>
    <row r="125" spans="1:10">
      <c r="A125" s="13" t="s">
        <v>251</v>
      </c>
      <c r="B125" s="14">
        <v>24950</v>
      </c>
      <c r="C125" s="14">
        <v>5807</v>
      </c>
      <c r="D125" s="14">
        <v>17280</v>
      </c>
      <c r="E125" s="14">
        <v>102842</v>
      </c>
      <c r="F125" s="14">
        <v>6395</v>
      </c>
      <c r="G125" s="17">
        <f t="shared" si="1"/>
        <v>157274</v>
      </c>
      <c r="H125" s="2" t="str">
        <f>VLOOKUP(A125,Constants!$A:$C,2,FALSE)</f>
        <v>Communication Out</v>
      </c>
      <c r="I125" s="2"/>
      <c r="J125" s="2"/>
    </row>
    <row r="126" spans="1:10">
      <c r="A126" s="13" t="s">
        <v>253</v>
      </c>
      <c r="B126" s="14">
        <v>772</v>
      </c>
      <c r="C126" s="14">
        <v>7939</v>
      </c>
      <c r="D126" s="14">
        <v>9230</v>
      </c>
      <c r="E126" s="14">
        <v>166450</v>
      </c>
      <c r="F126" s="14">
        <v>6023</v>
      </c>
      <c r="G126" s="17">
        <f t="shared" si="1"/>
        <v>190414</v>
      </c>
      <c r="H126" s="2" t="str">
        <f>VLOOKUP(A126,Constants!$A:$C,2,FALSE)</f>
        <v>Completion Event</v>
      </c>
      <c r="I126" s="2"/>
      <c r="J126" s="2"/>
    </row>
    <row r="127" spans="1:10">
      <c r="A127" s="13" t="s">
        <v>255</v>
      </c>
      <c r="B127" s="14">
        <v>58438</v>
      </c>
      <c r="C127" s="14">
        <v>25399</v>
      </c>
      <c r="D127" s="14">
        <v>49264</v>
      </c>
      <c r="E127" s="14">
        <v>107211</v>
      </c>
      <c r="F127" s="14">
        <v>27938</v>
      </c>
      <c r="G127" s="17">
        <f t="shared" si="1"/>
        <v>268250</v>
      </c>
      <c r="H127" s="2" t="str">
        <f>VLOOKUP(A127,Constants!$A:$C,2,FALSE)</f>
        <v>Contact</v>
      </c>
      <c r="I127" s="2"/>
      <c r="J127" s="2"/>
    </row>
    <row r="128" spans="1:10">
      <c r="A128" s="13" t="s">
        <v>257</v>
      </c>
      <c r="B128" s="14">
        <v>108121</v>
      </c>
      <c r="C128" s="14">
        <v>42311</v>
      </c>
      <c r="D128" s="14">
        <v>50796</v>
      </c>
      <c r="E128" s="14">
        <v>153525</v>
      </c>
      <c r="F128" s="14">
        <v>45740</v>
      </c>
      <c r="G128" s="17">
        <f t="shared" si="1"/>
        <v>400493</v>
      </c>
      <c r="H128" s="2" t="str">
        <f>VLOOKUP(A128,Constants!$A:$C,2,FALSE)</f>
        <v>Device</v>
      </c>
      <c r="I128" s="2"/>
      <c r="J128" s="2"/>
    </row>
    <row r="129" spans="1:10">
      <c r="A129" s="13" t="s">
        <v>259</v>
      </c>
      <c r="B129" s="14">
        <v>63491</v>
      </c>
      <c r="C129" s="14">
        <v>25292</v>
      </c>
      <c r="D129" s="14">
        <v>24760</v>
      </c>
      <c r="E129" s="14">
        <v>121261</v>
      </c>
      <c r="F129" s="14">
        <v>13893</v>
      </c>
      <c r="G129" s="17">
        <f t="shared" si="1"/>
        <v>248697</v>
      </c>
      <c r="H129" s="2" t="str">
        <f>VLOOKUP(A129,Constants!$A:$C,2,FALSE)</f>
        <v>Device Configuration</v>
      </c>
      <c r="I129" s="2"/>
      <c r="J129" s="2"/>
    </row>
    <row r="130" spans="1:10">
      <c r="A130" s="13" t="s">
        <v>261</v>
      </c>
      <c r="B130" s="14">
        <v>1</v>
      </c>
      <c r="C130" s="14">
        <v>0</v>
      </c>
      <c r="D130" s="14">
        <v>2921</v>
      </c>
      <c r="E130" s="14">
        <v>3250</v>
      </c>
      <c r="F130" s="14">
        <v>12620</v>
      </c>
      <c r="G130" s="17">
        <f t="shared" si="1"/>
        <v>18792</v>
      </c>
      <c r="H130" s="2" t="str">
        <f>VLOOKUP(A130,Constants!$A:$C,2,FALSE)</f>
        <v>Device Event</v>
      </c>
      <c r="I130" s="2"/>
      <c r="J130" s="2"/>
    </row>
    <row r="131" spans="1:10">
      <c r="A131" s="13" t="s">
        <v>263</v>
      </c>
      <c r="B131" s="14">
        <v>0</v>
      </c>
      <c r="C131" s="14">
        <v>0</v>
      </c>
      <c r="D131" s="14">
        <v>0</v>
      </c>
      <c r="E131" s="14">
        <v>0</v>
      </c>
      <c r="F131" s="14">
        <v>0</v>
      </c>
      <c r="G131" s="17">
        <f t="shared" si="1"/>
        <v>0</v>
      </c>
      <c r="H131" s="2" t="str">
        <f>VLOOKUP(A131,Constants!$A:$C,2,FALSE)</f>
        <v>Dynamic Option</v>
      </c>
      <c r="I131" s="2"/>
      <c r="J131" s="2"/>
    </row>
    <row r="132" spans="1:10">
      <c r="A132" s="13" t="s">
        <v>265</v>
      </c>
      <c r="B132" s="14">
        <v>0</v>
      </c>
      <c r="C132" s="14">
        <v>0</v>
      </c>
      <c r="D132" s="14">
        <v>0</v>
      </c>
      <c r="E132" s="14">
        <v>0</v>
      </c>
      <c r="F132" s="14">
        <v>0</v>
      </c>
      <c r="G132" s="17">
        <f t="shared" ref="G132:G195" si="2">SUM(B132,C132,D132,E132,F132)</f>
        <v>0</v>
      </c>
      <c r="H132" s="2" t="str">
        <f>VLOOKUP(A132,Constants!$A:$C,2,FALSE)</f>
        <v>Dynamic Option Event</v>
      </c>
      <c r="I132" s="2"/>
      <c r="J132" s="2"/>
    </row>
    <row r="133" spans="1:10">
      <c r="A133" s="13" t="s">
        <v>269</v>
      </c>
      <c r="B133" s="14">
        <v>0</v>
      </c>
      <c r="C133" s="14">
        <v>0</v>
      </c>
      <c r="D133" s="14">
        <v>0</v>
      </c>
      <c r="E133" s="14">
        <v>0</v>
      </c>
      <c r="F133" s="14">
        <v>0</v>
      </c>
      <c r="G133" s="17">
        <f t="shared" si="2"/>
        <v>0</v>
      </c>
      <c r="H133" s="2" t="str">
        <f>VLOOKUP(A133,Constants!$A:$C,2,FALSE)</f>
        <v>Facility</v>
      </c>
      <c r="I133" s="2"/>
      <c r="J133" s="2"/>
    </row>
    <row r="134" spans="1:10">
      <c r="A134" s="13" t="s">
        <v>271</v>
      </c>
      <c r="B134" s="14">
        <v>1161339</v>
      </c>
      <c r="C134" s="14">
        <v>126336</v>
      </c>
      <c r="D134" s="14">
        <v>442532</v>
      </c>
      <c r="E134" s="14">
        <v>1878667</v>
      </c>
      <c r="F134" s="14">
        <v>139252</v>
      </c>
      <c r="G134" s="17">
        <f t="shared" si="2"/>
        <v>3748126</v>
      </c>
      <c r="H134" s="2" t="str">
        <f>VLOOKUP(A134,Constants!$A:$C,2,FALSE)</f>
        <v>Initial Measurement Data</v>
      </c>
      <c r="I134" s="2"/>
      <c r="J134" s="2"/>
    </row>
    <row r="135" spans="1:10">
      <c r="A135" s="13" t="s">
        <v>273</v>
      </c>
      <c r="B135" s="14">
        <v>0</v>
      </c>
      <c r="C135" s="14">
        <v>0</v>
      </c>
      <c r="D135" s="14">
        <v>0</v>
      </c>
      <c r="E135" s="14">
        <v>0</v>
      </c>
      <c r="F135" s="14">
        <v>0</v>
      </c>
      <c r="G135" s="17">
        <f t="shared" si="2"/>
        <v>0</v>
      </c>
      <c r="H135" s="2" t="str">
        <f>VLOOKUP(A135,Constants!$A:$C,2,FALSE)</f>
        <v>Initial Measurement Snapshot</v>
      </c>
      <c r="I135" s="2"/>
      <c r="J135" s="2"/>
    </row>
    <row r="136" spans="1:10">
      <c r="A136" s="13" t="s">
        <v>275</v>
      </c>
      <c r="B136" s="14">
        <v>60661</v>
      </c>
      <c r="C136" s="14">
        <v>18575</v>
      </c>
      <c r="D136" s="14">
        <v>23616</v>
      </c>
      <c r="E136" s="14">
        <v>115256</v>
      </c>
      <c r="F136" s="14">
        <v>13482</v>
      </c>
      <c r="G136" s="17">
        <f t="shared" si="2"/>
        <v>231590</v>
      </c>
      <c r="H136" s="2" t="str">
        <f>VLOOKUP(A136,Constants!$A:$C,2,FALSE)</f>
        <v>Install Event</v>
      </c>
      <c r="I136" s="2"/>
      <c r="J136" s="2"/>
    </row>
    <row r="137" spans="1:10">
      <c r="A137" s="13" t="s">
        <v>277</v>
      </c>
      <c r="B137" s="14">
        <v>0</v>
      </c>
      <c r="C137" s="14">
        <v>0</v>
      </c>
      <c r="D137" s="14">
        <v>0</v>
      </c>
      <c r="E137" s="14">
        <v>0</v>
      </c>
      <c r="F137" s="14">
        <v>0</v>
      </c>
      <c r="G137" s="17">
        <f t="shared" si="2"/>
        <v>0</v>
      </c>
      <c r="H137" s="2" t="str">
        <f>VLOOKUP(A137,Constants!$A:$C,2,FALSE)</f>
        <v>Interval Snapshot Mapping</v>
      </c>
      <c r="I137" s="2"/>
      <c r="J137" s="2"/>
    </row>
    <row r="138" spans="1:10">
      <c r="A138" s="13" t="s">
        <v>279</v>
      </c>
      <c r="B138" s="14">
        <v>0</v>
      </c>
      <c r="C138" s="14">
        <v>0</v>
      </c>
      <c r="D138" s="14">
        <v>0</v>
      </c>
      <c r="E138" s="14">
        <v>0</v>
      </c>
      <c r="F138" s="14">
        <v>0</v>
      </c>
      <c r="G138" s="17">
        <f t="shared" si="2"/>
        <v>0</v>
      </c>
      <c r="H138" s="2" t="str">
        <f>VLOOKUP(A138,Constants!$A:$C,2,FALSE)</f>
        <v>MC Comparison Period</v>
      </c>
      <c r="I138" s="2"/>
      <c r="J138" s="2"/>
    </row>
    <row r="139" spans="1:10">
      <c r="A139" s="13" t="s">
        <v>281</v>
      </c>
      <c r="B139" s="14">
        <v>0</v>
      </c>
      <c r="C139" s="14">
        <v>0</v>
      </c>
      <c r="D139" s="14">
        <v>0</v>
      </c>
      <c r="E139" s="14">
        <v>0</v>
      </c>
      <c r="F139" s="14">
        <v>0</v>
      </c>
      <c r="G139" s="17">
        <f t="shared" si="2"/>
        <v>0</v>
      </c>
      <c r="H139" s="2" t="str">
        <f>VLOOKUP(A139,Constants!$A:$C,2,FALSE)</f>
        <v>Measurement Data Snapshot Interval</v>
      </c>
      <c r="I139" s="2"/>
      <c r="J139" s="2"/>
    </row>
    <row r="140" spans="1:10">
      <c r="A140" s="13" t="s">
        <v>283</v>
      </c>
      <c r="B140" s="14">
        <v>0</v>
      </c>
      <c r="C140" s="14">
        <v>0</v>
      </c>
      <c r="D140" s="14">
        <v>0</v>
      </c>
      <c r="E140" s="14">
        <v>0</v>
      </c>
      <c r="F140" s="14">
        <v>0</v>
      </c>
      <c r="G140" s="17">
        <f t="shared" si="2"/>
        <v>0</v>
      </c>
      <c r="H140" s="2" t="str">
        <f>VLOOKUP(A140,Constants!$A:$C,2,FALSE)</f>
        <v>Measurement Data Snapshot Scalar</v>
      </c>
      <c r="I140" s="2"/>
      <c r="J140" s="2"/>
    </row>
    <row r="141" spans="1:10">
      <c r="A141" s="13" t="s">
        <v>285</v>
      </c>
      <c r="B141" s="14">
        <v>63503</v>
      </c>
      <c r="C141" s="14">
        <v>25309</v>
      </c>
      <c r="D141" s="14">
        <v>26177</v>
      </c>
      <c r="E141" s="14">
        <v>209914</v>
      </c>
      <c r="F141" s="14">
        <v>13893</v>
      </c>
      <c r="G141" s="17">
        <f t="shared" si="2"/>
        <v>338796</v>
      </c>
      <c r="H141" s="2" t="str">
        <f>VLOOKUP(A141,Constants!$A:$C,2,FALSE)</f>
        <v>Measuring Component</v>
      </c>
      <c r="I141" s="2"/>
      <c r="J141" s="2"/>
    </row>
    <row r="142" spans="1:10">
      <c r="A142" s="13" t="s">
        <v>287</v>
      </c>
      <c r="B142" s="14">
        <v>0</v>
      </c>
      <c r="C142" s="14">
        <v>0</v>
      </c>
      <c r="D142" s="14">
        <v>0</v>
      </c>
      <c r="E142" s="14">
        <v>0</v>
      </c>
      <c r="F142" s="14">
        <v>0</v>
      </c>
      <c r="G142" s="17">
        <f t="shared" si="2"/>
        <v>0</v>
      </c>
      <c r="H142" s="2" t="str">
        <f>VLOOKUP(A142,Constants!$A:$C,2,FALSE)</f>
        <v>Market Award</v>
      </c>
      <c r="I142" s="2"/>
      <c r="J142" s="2"/>
    </row>
    <row r="143" spans="1:10">
      <c r="A143" s="13" t="s">
        <v>289</v>
      </c>
      <c r="B143" s="14">
        <v>0</v>
      </c>
      <c r="C143" s="14">
        <v>0</v>
      </c>
      <c r="D143" s="14">
        <v>0</v>
      </c>
      <c r="E143" s="14">
        <v>0</v>
      </c>
      <c r="F143" s="14">
        <v>0</v>
      </c>
      <c r="G143" s="17">
        <f t="shared" si="2"/>
        <v>0</v>
      </c>
      <c r="H143" s="2" t="str">
        <f>VLOOKUP(A143,Constants!$A:$C,2,FALSE)</f>
        <v>Market Contract</v>
      </c>
      <c r="I143" s="2"/>
      <c r="J143" s="2"/>
    </row>
    <row r="144" spans="1:10">
      <c r="A144" s="13" t="s">
        <v>291</v>
      </c>
      <c r="B144" s="14">
        <v>0</v>
      </c>
      <c r="C144" s="14">
        <v>0</v>
      </c>
      <c r="D144" s="14">
        <v>0</v>
      </c>
      <c r="E144" s="14">
        <v>0</v>
      </c>
      <c r="F144" s="14">
        <v>0</v>
      </c>
      <c r="G144" s="17">
        <f t="shared" si="2"/>
        <v>0</v>
      </c>
      <c r="H144" s="2" t="str">
        <f>VLOOKUP(A144,Constants!$A:$C,2,FALSE)</f>
        <v>Market Product</v>
      </c>
      <c r="I144" s="2"/>
      <c r="J144" s="2"/>
    </row>
    <row r="145" spans="1:10">
      <c r="A145" s="13" t="s">
        <v>293</v>
      </c>
      <c r="B145" s="14">
        <v>0</v>
      </c>
      <c r="C145" s="14">
        <v>0</v>
      </c>
      <c r="D145" s="14">
        <v>0</v>
      </c>
      <c r="E145" s="14">
        <v>0</v>
      </c>
      <c r="F145" s="14">
        <v>0</v>
      </c>
      <c r="G145" s="17">
        <f t="shared" si="2"/>
        <v>0</v>
      </c>
      <c r="H145" s="2" t="str">
        <f>VLOOKUP(A145,Constants!$A:$C,2,FALSE)</f>
        <v>Registration Point</v>
      </c>
      <c r="I145" s="2"/>
      <c r="J145" s="2"/>
    </row>
    <row r="146" spans="1:10">
      <c r="A146" s="13" t="s">
        <v>294</v>
      </c>
      <c r="B146" s="14">
        <v>4625948</v>
      </c>
      <c r="C146" s="14">
        <v>506057</v>
      </c>
      <c r="D146" s="14">
        <v>1437398</v>
      </c>
      <c r="E146" s="14">
        <v>6442665</v>
      </c>
      <c r="F146" s="14">
        <v>996149</v>
      </c>
      <c r="G146" s="17">
        <f t="shared" si="2"/>
        <v>14008217</v>
      </c>
      <c r="H146" s="2" t="str">
        <f>VLOOKUP(A146,Constants!$A:$C,2,FALSE)</f>
        <v>Measurement</v>
      </c>
      <c r="I146" s="2"/>
      <c r="J146" s="2"/>
    </row>
    <row r="147" spans="1:10">
      <c r="A147" s="13" t="s">
        <v>296</v>
      </c>
      <c r="B147" s="14">
        <v>10202</v>
      </c>
      <c r="C147" s="14">
        <v>1829</v>
      </c>
      <c r="D147" s="14">
        <v>13938</v>
      </c>
      <c r="E147" s="14">
        <v>36529</v>
      </c>
      <c r="F147" s="14">
        <v>2535</v>
      </c>
      <c r="G147" s="17">
        <f t="shared" si="2"/>
        <v>65033</v>
      </c>
      <c r="H147" s="2" t="str">
        <f>VLOOKUP(A147,Constants!$A:$C,2,FALSE)</f>
        <v>Measurement Log</v>
      </c>
      <c r="I147" s="2"/>
      <c r="J147" s="2"/>
    </row>
    <row r="148" spans="1:10">
      <c r="A148" s="13" t="s">
        <v>298</v>
      </c>
      <c r="B148" s="14">
        <v>0</v>
      </c>
      <c r="C148" s="14">
        <v>0</v>
      </c>
      <c r="D148" s="14">
        <v>0</v>
      </c>
      <c r="E148" s="14">
        <v>0</v>
      </c>
      <c r="F148" s="14">
        <v>0</v>
      </c>
      <c r="G148" s="17">
        <f t="shared" si="2"/>
        <v>0</v>
      </c>
      <c r="H148" s="2" t="str">
        <f>VLOOKUP(A148,Constants!$A:$C,2,FALSE)</f>
        <v>Network Location</v>
      </c>
      <c r="I148" s="2"/>
      <c r="J148" s="2"/>
    </row>
    <row r="149" spans="1:10">
      <c r="A149" s="13" t="s">
        <v>300</v>
      </c>
      <c r="B149" s="14">
        <v>44699</v>
      </c>
      <c r="C149" s="14">
        <v>17674</v>
      </c>
      <c r="D149" s="14">
        <v>32598</v>
      </c>
      <c r="E149" s="14">
        <v>226778</v>
      </c>
      <c r="F149" s="14">
        <v>29259</v>
      </c>
      <c r="G149" s="17">
        <f t="shared" si="2"/>
        <v>351008</v>
      </c>
      <c r="H149" s="2" t="str">
        <f>VLOOKUP(A149,Constants!$A:$C,2,FALSE)</f>
        <v>Service Point - MDM</v>
      </c>
      <c r="I149" s="2"/>
      <c r="J149" s="2"/>
    </row>
    <row r="150" spans="1:10">
      <c r="A150" s="13" t="s">
        <v>302</v>
      </c>
      <c r="B150" s="14">
        <v>1020257</v>
      </c>
      <c r="C150" s="14">
        <v>105410</v>
      </c>
      <c r="D150" s="14">
        <v>520916</v>
      </c>
      <c r="E150" s="14">
        <v>1100694</v>
      </c>
      <c r="F150" s="14">
        <v>131207</v>
      </c>
      <c r="G150" s="17">
        <f t="shared" si="2"/>
        <v>2878484</v>
      </c>
      <c r="H150" s="2" t="str">
        <f>VLOOKUP(A150,Constants!$A:$C,2,FALSE)</f>
        <v>SP/Measurement Cycle Schedule Route</v>
      </c>
      <c r="I150" s="2"/>
      <c r="J150" s="2"/>
    </row>
    <row r="151" spans="1:10">
      <c r="A151" s="13" t="s">
        <v>304</v>
      </c>
      <c r="B151" s="14">
        <v>0</v>
      </c>
      <c r="C151" s="14">
        <v>0</v>
      </c>
      <c r="D151" s="14">
        <v>0</v>
      </c>
      <c r="E151" s="14">
        <v>0</v>
      </c>
      <c r="F151" s="14">
        <v>0</v>
      </c>
      <c r="G151" s="17">
        <f t="shared" si="2"/>
        <v>0</v>
      </c>
      <c r="H151" s="2" t="str">
        <f>VLOOKUP(A151,Constants!$A:$C,2,FALSE)</f>
        <v>Service Point Quantity</v>
      </c>
      <c r="I151" s="2"/>
      <c r="J151" s="2"/>
    </row>
    <row r="152" spans="1:10">
      <c r="A152" s="13" t="s">
        <v>306</v>
      </c>
      <c r="B152" s="14">
        <v>0</v>
      </c>
      <c r="C152" s="14">
        <v>0</v>
      </c>
      <c r="D152" s="14">
        <v>0</v>
      </c>
      <c r="E152" s="14">
        <v>0</v>
      </c>
      <c r="F152" s="14">
        <v>0</v>
      </c>
      <c r="G152" s="17">
        <f t="shared" si="2"/>
        <v>0</v>
      </c>
      <c r="H152" s="2" t="str">
        <f>VLOOKUP(A152,Constants!$A:$C,2,FALSE)</f>
        <v>Service Pont Snapshot Download</v>
      </c>
      <c r="I152" s="2"/>
      <c r="J152" s="2"/>
    </row>
    <row r="153" spans="1:10">
      <c r="A153" s="13" t="s">
        <v>308</v>
      </c>
      <c r="B153" s="14">
        <v>0</v>
      </c>
      <c r="C153" s="14">
        <v>0</v>
      </c>
      <c r="D153" s="14">
        <v>0</v>
      </c>
      <c r="E153" s="14">
        <v>0</v>
      </c>
      <c r="F153" s="14">
        <v>0</v>
      </c>
      <c r="G153" s="17">
        <f t="shared" si="2"/>
        <v>0</v>
      </c>
      <c r="H153" s="2" t="str">
        <f>VLOOKUP(A153,Constants!$A:$C,2,FALSE)</f>
        <v>SP Unreported Usage Snapshot Download</v>
      </c>
      <c r="I153" s="2"/>
      <c r="J153" s="2"/>
    </row>
    <row r="154" spans="1:10">
      <c r="A154" s="13" t="s">
        <v>310</v>
      </c>
      <c r="B154" s="14">
        <v>0</v>
      </c>
      <c r="C154" s="14">
        <v>0</v>
      </c>
      <c r="D154" s="14">
        <v>0</v>
      </c>
      <c r="E154" s="14">
        <v>0</v>
      </c>
      <c r="F154" s="14">
        <v>0</v>
      </c>
      <c r="G154" s="17">
        <f t="shared" si="2"/>
        <v>0</v>
      </c>
      <c r="H154" s="2" t="str">
        <f>VLOOKUP(A154,Constants!$A:$C,2,FALSE)</f>
        <v>Service Point Usage Snapshot Download</v>
      </c>
      <c r="I154" s="2"/>
      <c r="J154" s="2"/>
    </row>
    <row r="155" spans="1:10">
      <c r="A155" s="13" t="s">
        <v>312</v>
      </c>
      <c r="B155" s="14">
        <v>0</v>
      </c>
      <c r="C155" s="14">
        <v>0</v>
      </c>
      <c r="D155" s="14">
        <v>0</v>
      </c>
      <c r="E155" s="14">
        <v>0</v>
      </c>
      <c r="F155" s="14">
        <v>0</v>
      </c>
      <c r="G155" s="17">
        <f t="shared" si="2"/>
        <v>0</v>
      </c>
      <c r="H155" s="2" t="str">
        <f>VLOOKUP(A155,Constants!$A:$C,2,FALSE)</f>
        <v>SP VEE Exception Snapshot Download</v>
      </c>
      <c r="I155" s="2"/>
      <c r="J155" s="2"/>
    </row>
    <row r="156" spans="1:10">
      <c r="A156" s="13" t="s">
        <v>314</v>
      </c>
      <c r="B156" s="14">
        <v>151934</v>
      </c>
      <c r="C156" s="14">
        <v>59611</v>
      </c>
      <c r="D156" s="14">
        <v>54699</v>
      </c>
      <c r="E156" s="14">
        <v>644343</v>
      </c>
      <c r="F156" s="14">
        <v>53747</v>
      </c>
      <c r="G156" s="17">
        <f t="shared" si="2"/>
        <v>964334</v>
      </c>
      <c r="H156" s="2" t="str">
        <f>VLOOKUP(A156,Constants!$A:$C,2,FALSE)</f>
        <v>Usage Subscription</v>
      </c>
      <c r="I156" s="2"/>
      <c r="J156" s="2"/>
    </row>
    <row r="157" spans="1:10">
      <c r="A157" s="13" t="s">
        <v>316</v>
      </c>
      <c r="B157" s="14">
        <v>25258673</v>
      </c>
      <c r="C157" s="14">
        <v>2151298</v>
      </c>
      <c r="D157" s="14">
        <v>445119</v>
      </c>
      <c r="E157" s="14">
        <v>1501677</v>
      </c>
      <c r="F157" s="14">
        <v>251992</v>
      </c>
      <c r="G157" s="17">
        <f t="shared" si="2"/>
        <v>29608759</v>
      </c>
      <c r="H157" s="2" t="str">
        <f>VLOOKUP(A157,Constants!$A:$C,2,FALSE)</f>
        <v>Usage</v>
      </c>
      <c r="I157" s="2"/>
      <c r="J157" s="2"/>
    </row>
    <row r="158" spans="1:10">
      <c r="A158" s="13" t="s">
        <v>317</v>
      </c>
      <c r="B158" s="14">
        <v>1972616</v>
      </c>
      <c r="C158" s="14">
        <v>0</v>
      </c>
      <c r="D158" s="14">
        <v>325000</v>
      </c>
      <c r="E158" s="14">
        <v>21825</v>
      </c>
      <c r="F158" s="14">
        <v>12499</v>
      </c>
      <c r="G158" s="17">
        <f t="shared" si="2"/>
        <v>2331940</v>
      </c>
      <c r="H158" s="2" t="str">
        <f>VLOOKUP(A158,Constants!$A:$C,2,FALSE)</f>
        <v>Usage Transaction Exception</v>
      </c>
      <c r="I158" s="2"/>
      <c r="J158" s="2"/>
    </row>
    <row r="159" spans="1:10">
      <c r="A159" s="13" t="s">
        <v>319</v>
      </c>
      <c r="B159" s="14">
        <v>0</v>
      </c>
      <c r="C159" s="14">
        <v>0</v>
      </c>
      <c r="D159" s="14">
        <v>0</v>
      </c>
      <c r="E159" s="14">
        <v>0</v>
      </c>
      <c r="F159" s="14">
        <v>0</v>
      </c>
      <c r="G159" s="17">
        <f t="shared" si="2"/>
        <v>0</v>
      </c>
      <c r="H159" s="2" t="str">
        <f>VLOOKUP(A159,Constants!$A:$C,2,FALSE)</f>
        <v>Usage Subscription Market Participant</v>
      </c>
      <c r="I159" s="2"/>
      <c r="J159" s="2"/>
    </row>
    <row r="160" spans="1:10">
      <c r="A160" s="13" t="s">
        <v>321</v>
      </c>
      <c r="B160" s="14">
        <v>0</v>
      </c>
      <c r="C160" s="14">
        <v>0</v>
      </c>
      <c r="D160" s="14">
        <v>0</v>
      </c>
      <c r="E160" s="14">
        <v>0</v>
      </c>
      <c r="F160" s="14">
        <v>0</v>
      </c>
      <c r="G160" s="17">
        <f t="shared" si="2"/>
        <v>0</v>
      </c>
      <c r="H160" s="2" t="str">
        <f>VLOOKUP(A160,Constants!$A:$C,2,FALSE)</f>
        <v>Usage Subscription Quantity</v>
      </c>
      <c r="I160" s="2"/>
      <c r="J160" s="2"/>
    </row>
    <row r="161" spans="1:10">
      <c r="A161" s="13" t="s">
        <v>323</v>
      </c>
      <c r="B161" s="14">
        <v>0</v>
      </c>
      <c r="C161" s="14">
        <v>0</v>
      </c>
      <c r="D161" s="14">
        <v>0</v>
      </c>
      <c r="E161" s="14">
        <v>0</v>
      </c>
      <c r="F161" s="14">
        <v>0</v>
      </c>
      <c r="G161" s="17">
        <f t="shared" si="2"/>
        <v>0</v>
      </c>
      <c r="H161" s="2" t="str">
        <f>VLOOKUP(A161,Constants!$A:$C,2,FALSE)</f>
        <v>Usage Subscription Usage Group Download</v>
      </c>
      <c r="I161" s="2"/>
      <c r="J161" s="2"/>
    </row>
    <row r="162" spans="1:10">
      <c r="A162" s="13" t="s">
        <v>325</v>
      </c>
      <c r="B162" s="14">
        <v>1936460</v>
      </c>
      <c r="C162" s="14">
        <v>133102</v>
      </c>
      <c r="D162" s="14">
        <v>1052463</v>
      </c>
      <c r="E162" s="14">
        <v>2538465</v>
      </c>
      <c r="F162" s="14">
        <v>230327</v>
      </c>
      <c r="G162" s="17">
        <f t="shared" si="2"/>
        <v>5890817</v>
      </c>
      <c r="H162" s="2" t="str">
        <f>VLOOKUP(A162,Constants!$A:$C,2,FALSE)</f>
        <v>VEE Exception</v>
      </c>
      <c r="I162" s="2"/>
      <c r="J162" s="2"/>
    </row>
    <row r="163" spans="1:10">
      <c r="A163" s="13" t="s">
        <v>327</v>
      </c>
      <c r="B163" s="14">
        <v>3</v>
      </c>
      <c r="C163" s="14">
        <v>5345</v>
      </c>
      <c r="D163" s="14">
        <v>0</v>
      </c>
      <c r="E163" s="14">
        <v>9</v>
      </c>
      <c r="F163" s="14">
        <v>2466</v>
      </c>
      <c r="G163" s="17">
        <f t="shared" si="2"/>
        <v>7823</v>
      </c>
      <c r="H163" s="2" t="str">
        <f>VLOOKUP(A163,Constants!$A:$C,2,FALSE)</f>
        <v>Attachment</v>
      </c>
      <c r="I163" s="2"/>
      <c r="J163" s="2"/>
    </row>
    <row r="164" spans="1:10">
      <c r="A164" s="13" t="s">
        <v>334</v>
      </c>
      <c r="B164" s="14">
        <v>33</v>
      </c>
      <c r="C164" s="14">
        <v>65</v>
      </c>
      <c r="D164" s="14">
        <v>5</v>
      </c>
      <c r="E164" s="14">
        <v>58</v>
      </c>
      <c r="F164" s="14">
        <v>9</v>
      </c>
      <c r="G164" s="17">
        <f t="shared" si="2"/>
        <v>170</v>
      </c>
      <c r="H164" s="2" t="str">
        <f>VLOOKUP(A164,Constants!$A:$C,2,FALSE)</f>
        <v>Bundle</v>
      </c>
      <c r="I164" s="2"/>
      <c r="J164" s="2"/>
    </row>
    <row r="165" spans="1:10">
      <c r="A165" s="13" t="s">
        <v>336</v>
      </c>
      <c r="B165" s="14">
        <v>0</v>
      </c>
      <c r="C165" s="14">
        <v>0</v>
      </c>
      <c r="D165" s="14">
        <v>0</v>
      </c>
      <c r="E165" s="14">
        <v>0</v>
      </c>
      <c r="F165" s="14">
        <v>0</v>
      </c>
      <c r="G165" s="17">
        <f t="shared" si="2"/>
        <v>0</v>
      </c>
      <c r="H165" s="2" t="str">
        <f>VLOOKUP(A165,Constants!$A:$C,2,FALSE)</f>
        <v>Business Event Log</v>
      </c>
      <c r="I165" s="2"/>
      <c r="J165" s="2"/>
    </row>
    <row r="166" spans="1:10">
      <c r="A166" s="13" t="s">
        <v>338</v>
      </c>
      <c r="B166" s="14">
        <v>0</v>
      </c>
      <c r="C166" s="14">
        <v>0</v>
      </c>
      <c r="D166" s="14">
        <v>0</v>
      </c>
      <c r="E166" s="14">
        <v>0</v>
      </c>
      <c r="F166" s="14">
        <v>0</v>
      </c>
      <c r="G166" s="17">
        <f t="shared" si="2"/>
        <v>0</v>
      </c>
      <c r="H166" s="2" t="str">
        <f>VLOOKUP(A166,Constants!$A:$C,2,FALSE)</f>
        <v>Business Flag</v>
      </c>
      <c r="I166" s="2"/>
      <c r="J166" s="2"/>
    </row>
    <row r="167" spans="1:10">
      <c r="A167" s="13" t="s">
        <v>340</v>
      </c>
      <c r="B167" s="14">
        <v>0</v>
      </c>
      <c r="C167" s="14">
        <v>0</v>
      </c>
      <c r="D167" s="14">
        <v>0</v>
      </c>
      <c r="E167" s="14">
        <v>0</v>
      </c>
      <c r="F167" s="14">
        <v>0</v>
      </c>
      <c r="G167" s="17">
        <f t="shared" si="2"/>
        <v>0</v>
      </c>
      <c r="H167" s="2" t="str">
        <f>VLOOKUP(A167,Constants!$A:$C,2,FALSE)</f>
        <v>Calendar Dimension</v>
      </c>
      <c r="I167" s="2"/>
      <c r="J167" s="2"/>
    </row>
    <row r="168" spans="1:10">
      <c r="A168" s="13" t="s">
        <v>342</v>
      </c>
      <c r="B168" s="14">
        <v>0</v>
      </c>
      <c r="C168" s="14">
        <v>0</v>
      </c>
      <c r="D168" s="14">
        <v>0</v>
      </c>
      <c r="E168" s="14">
        <v>0</v>
      </c>
      <c r="F168" s="14">
        <v>0</v>
      </c>
      <c r="G168" s="17">
        <f t="shared" si="2"/>
        <v>0</v>
      </c>
      <c r="H168" s="2" t="str">
        <f>VLOOKUP(A168,Constants!$A:$C,2,FALSE)</f>
        <v>Cube View</v>
      </c>
      <c r="I168" s="2"/>
      <c r="J168" s="2"/>
    </row>
    <row r="169" spans="1:10">
      <c r="A169" s="13" t="s">
        <v>344</v>
      </c>
      <c r="B169" s="14">
        <v>0</v>
      </c>
      <c r="C169" s="14">
        <v>0</v>
      </c>
      <c r="D169" s="14">
        <v>0</v>
      </c>
      <c r="E169" s="14">
        <v>0</v>
      </c>
      <c r="F169" s="14">
        <v>0</v>
      </c>
      <c r="G169" s="17">
        <f t="shared" si="2"/>
        <v>0</v>
      </c>
      <c r="H169" s="2" t="str">
        <f>VLOOKUP(A169,Constants!$A:$C,2,FALSE)</f>
        <v>Deployment</v>
      </c>
      <c r="I169" s="2"/>
      <c r="J169" s="2"/>
    </row>
    <row r="170" spans="1:10">
      <c r="A170" s="13" t="s">
        <v>346</v>
      </c>
      <c r="B170" s="14">
        <v>0</v>
      </c>
      <c r="C170" s="14">
        <v>0</v>
      </c>
      <c r="D170" s="14">
        <v>0</v>
      </c>
      <c r="E170" s="14">
        <v>0</v>
      </c>
      <c r="F170" s="14">
        <v>0</v>
      </c>
      <c r="G170" s="17">
        <f t="shared" si="2"/>
        <v>0</v>
      </c>
      <c r="H170" s="2" t="str">
        <f>VLOOKUP(A170,Constants!$A:$C,2,FALSE)</f>
        <v>Object Erasure Schedule</v>
      </c>
      <c r="I170" s="2"/>
      <c r="J170" s="2"/>
    </row>
    <row r="171" spans="1:10">
      <c r="A171" s="13" t="s">
        <v>348</v>
      </c>
      <c r="B171" s="14">
        <v>34</v>
      </c>
      <c r="C171" s="14">
        <v>186</v>
      </c>
      <c r="D171" s="14">
        <v>41</v>
      </c>
      <c r="E171" s="14">
        <v>9</v>
      </c>
      <c r="F171" s="14">
        <v>29</v>
      </c>
      <c r="G171" s="17">
        <f t="shared" si="2"/>
        <v>299</v>
      </c>
      <c r="H171" s="2" t="str">
        <f>VLOOKUP(A171,Constants!$A:$C,2,FALSE)</f>
        <v>Fact</v>
      </c>
      <c r="I171" s="2"/>
      <c r="J171" s="2"/>
    </row>
    <row r="172" spans="1:10">
      <c r="A172" s="13" t="s">
        <v>350</v>
      </c>
      <c r="B172" s="14">
        <v>909484</v>
      </c>
      <c r="C172" s="14">
        <v>15747</v>
      </c>
      <c r="D172" s="14">
        <v>343765</v>
      </c>
      <c r="E172" s="14">
        <v>1041222</v>
      </c>
      <c r="F172" s="14">
        <v>6212</v>
      </c>
      <c r="G172" s="17">
        <f t="shared" si="2"/>
        <v>2316430</v>
      </c>
      <c r="H172" s="2" t="str">
        <f>VLOOKUP(A172,Constants!$A:$C,2,FALSE)</f>
        <v>General Process</v>
      </c>
      <c r="I172" s="2"/>
      <c r="J172" s="2"/>
    </row>
    <row r="173" spans="1:10">
      <c r="A173" s="13" t="s">
        <v>352</v>
      </c>
      <c r="B173" s="14">
        <v>0</v>
      </c>
      <c r="C173" s="14">
        <v>0</v>
      </c>
      <c r="D173" s="14">
        <v>0</v>
      </c>
      <c r="E173" s="14">
        <v>0</v>
      </c>
      <c r="F173" s="14">
        <v>0</v>
      </c>
      <c r="G173" s="17">
        <f t="shared" si="2"/>
        <v>0</v>
      </c>
      <c r="H173" s="2" t="str">
        <f>VLOOKUP(A173,Constants!$A:$C,2,FALSE)</f>
        <v>General Audit</v>
      </c>
      <c r="I173" s="2"/>
      <c r="J173" s="2"/>
    </row>
    <row r="174" spans="1:10">
      <c r="A174" s="13" t="s">
        <v>354</v>
      </c>
      <c r="B174" s="14">
        <v>0</v>
      </c>
      <c r="C174" s="14">
        <v>0</v>
      </c>
      <c r="D174" s="14">
        <v>0</v>
      </c>
      <c r="E174" s="14">
        <v>0</v>
      </c>
      <c r="F174" s="14">
        <v>0</v>
      </c>
      <c r="G174" s="17">
        <f t="shared" si="2"/>
        <v>0</v>
      </c>
      <c r="H174" s="2" t="str">
        <f>VLOOKUP(A174,Constants!$A:$C,2,FALSE)</f>
        <v>Mobile Data Terminal</v>
      </c>
      <c r="I174" s="2"/>
      <c r="J174" s="2"/>
    </row>
    <row r="175" spans="1:10">
      <c r="A175" s="13" t="s">
        <v>356</v>
      </c>
      <c r="B175" s="14">
        <v>0</v>
      </c>
      <c r="C175" s="14">
        <v>0</v>
      </c>
      <c r="D175" s="14">
        <v>0</v>
      </c>
      <c r="E175" s="14">
        <v>0</v>
      </c>
      <c r="F175" s="14">
        <v>0</v>
      </c>
      <c r="G175" s="17">
        <f t="shared" si="2"/>
        <v>0</v>
      </c>
      <c r="H175" s="2" t="str">
        <f>VLOOKUP(A175,Constants!$A:$C,2,FALSE)</f>
        <v>Mobile Data Terminal Type</v>
      </c>
      <c r="I175" s="2"/>
      <c r="J175" s="2"/>
    </row>
    <row r="176" spans="1:10">
      <c r="A176" s="13" t="s">
        <v>358</v>
      </c>
      <c r="B176" s="14">
        <v>254</v>
      </c>
      <c r="C176" s="14">
        <v>358</v>
      </c>
      <c r="D176" s="14">
        <v>564</v>
      </c>
      <c r="E176" s="14">
        <v>179</v>
      </c>
      <c r="F176" s="14">
        <v>647</v>
      </c>
      <c r="G176" s="17">
        <f t="shared" si="2"/>
        <v>2002</v>
      </c>
      <c r="H176" s="2" t="str">
        <f>VLOOKUP(A176,Constants!$A:$C,2,FALSE)</f>
        <v>Migration Data Set</v>
      </c>
      <c r="I176" s="2"/>
      <c r="J176" s="2"/>
    </row>
    <row r="177" spans="1:10">
      <c r="A177" s="13" t="s">
        <v>360</v>
      </c>
      <c r="B177" s="14">
        <v>93597</v>
      </c>
      <c r="C177" s="14">
        <v>114332</v>
      </c>
      <c r="D177" s="14">
        <v>76876</v>
      </c>
      <c r="E177" s="14">
        <v>5362</v>
      </c>
      <c r="F177" s="14">
        <v>90617</v>
      </c>
      <c r="G177" s="17">
        <f t="shared" si="2"/>
        <v>380784</v>
      </c>
      <c r="H177" s="2" t="str">
        <f>VLOOKUP(A177,Constants!$A:$C,2,FALSE)</f>
        <v>Migration Object</v>
      </c>
      <c r="I177" s="2"/>
      <c r="J177" s="2"/>
    </row>
    <row r="178" spans="1:10">
      <c r="A178" s="13" t="s">
        <v>362</v>
      </c>
      <c r="B178" s="14">
        <v>11156</v>
      </c>
      <c r="C178" s="14">
        <v>11306</v>
      </c>
      <c r="D178" s="14">
        <v>7698</v>
      </c>
      <c r="E178" s="14">
        <v>676</v>
      </c>
      <c r="F178" s="14">
        <v>15033</v>
      </c>
      <c r="G178" s="17">
        <f t="shared" si="2"/>
        <v>45869</v>
      </c>
      <c r="H178" s="2" t="str">
        <f>VLOOKUP(A178,Constants!$A:$C,2,FALSE)</f>
        <v>Migration Transaction</v>
      </c>
      <c r="I178" s="2"/>
      <c r="J178" s="2"/>
    </row>
    <row r="179" spans="1:10">
      <c r="A179" s="13" t="s">
        <v>364</v>
      </c>
      <c r="B179" s="14">
        <v>0</v>
      </c>
      <c r="C179" s="14">
        <v>0</v>
      </c>
      <c r="D179" s="14">
        <v>0</v>
      </c>
      <c r="E179" s="14">
        <v>0</v>
      </c>
      <c r="F179" s="14">
        <v>0</v>
      </c>
      <c r="G179" s="17">
        <f t="shared" si="2"/>
        <v>0</v>
      </c>
      <c r="H179" s="2" t="str">
        <f>VLOOKUP(A179,Constants!$A:$C,2,FALSE)</f>
        <v>Inbound Market Message</v>
      </c>
      <c r="I179" s="2"/>
      <c r="J179" s="2"/>
    </row>
    <row r="180" spans="1:10">
      <c r="A180" s="13" t="s">
        <v>366</v>
      </c>
      <c r="B180" s="14">
        <v>0</v>
      </c>
      <c r="C180" s="14">
        <v>0</v>
      </c>
      <c r="D180" s="14">
        <v>0</v>
      </c>
      <c r="E180" s="14">
        <v>0</v>
      </c>
      <c r="F180" s="14">
        <v>0</v>
      </c>
      <c r="G180" s="17">
        <f t="shared" si="2"/>
        <v>0</v>
      </c>
      <c r="H180" s="2" t="str">
        <f>VLOOKUP(A180,Constants!$A:$C,2,FALSE)</f>
        <v>Outbound Market Message</v>
      </c>
      <c r="I180" s="2"/>
      <c r="J180" s="2"/>
    </row>
    <row r="181" spans="1:10">
      <c r="A181" s="13" t="s">
        <v>368</v>
      </c>
      <c r="B181" s="14">
        <v>0</v>
      </c>
      <c r="C181" s="14">
        <v>0</v>
      </c>
      <c r="D181" s="14">
        <v>0</v>
      </c>
      <c r="E181" s="14">
        <v>0</v>
      </c>
      <c r="F181" s="14">
        <v>0</v>
      </c>
      <c r="G181" s="17">
        <f t="shared" si="2"/>
        <v>0</v>
      </c>
      <c r="H181" s="2" t="str">
        <f>VLOOKUP(A181,Constants!$A:$C,2,FALSE)</f>
        <v>Market Process</v>
      </c>
      <c r="I181" s="2"/>
      <c r="J181" s="2"/>
    </row>
    <row r="182" spans="1:10">
      <c r="A182" s="13" t="s">
        <v>370</v>
      </c>
      <c r="B182" s="14">
        <v>0</v>
      </c>
      <c r="C182" s="14">
        <v>0</v>
      </c>
      <c r="D182" s="14">
        <v>0</v>
      </c>
      <c r="E182" s="14">
        <v>0</v>
      </c>
      <c r="F182" s="14">
        <v>0</v>
      </c>
      <c r="G182" s="17">
        <f t="shared" si="2"/>
        <v>0</v>
      </c>
      <c r="H182" s="2" t="str">
        <f>VLOOKUP(A182,Constants!$A:$C,2,FALSE)</f>
        <v>Market Process Event</v>
      </c>
      <c r="I182" s="2"/>
      <c r="J182" s="2"/>
    </row>
    <row r="183" spans="1:10">
      <c r="A183" s="13" t="s">
        <v>372</v>
      </c>
      <c r="B183" s="14">
        <v>0</v>
      </c>
      <c r="C183" s="14">
        <v>0</v>
      </c>
      <c r="D183" s="14">
        <v>0</v>
      </c>
      <c r="E183" s="14">
        <v>0</v>
      </c>
      <c r="F183" s="14">
        <v>0</v>
      </c>
      <c r="G183" s="17">
        <f t="shared" si="2"/>
        <v>0</v>
      </c>
      <c r="H183" s="2" t="str">
        <f>VLOOKUP(A183,Constants!$A:$C,2,FALSE)</f>
        <v>Object Revision</v>
      </c>
      <c r="I183" s="2"/>
      <c r="J183" s="2"/>
    </row>
    <row r="184" spans="1:10">
      <c r="A184" s="13" t="s">
        <v>374</v>
      </c>
      <c r="B184" s="14">
        <v>439263</v>
      </c>
      <c r="C184" s="14">
        <v>112595</v>
      </c>
      <c r="D184" s="14">
        <v>259861</v>
      </c>
      <c r="E184" s="14">
        <v>1471815</v>
      </c>
      <c r="F184" s="14">
        <v>154388</v>
      </c>
      <c r="G184" s="17">
        <f t="shared" si="2"/>
        <v>2437922</v>
      </c>
      <c r="H184" s="2" t="str">
        <f>VLOOKUP(A184,Constants!$A:$C,2,FALSE)</f>
        <v>Outbound Message</v>
      </c>
      <c r="I184" s="2"/>
      <c r="J184" s="2"/>
    </row>
    <row r="185" spans="1:10">
      <c r="A185" s="13" t="s">
        <v>376</v>
      </c>
      <c r="B185" s="14">
        <v>1790</v>
      </c>
      <c r="C185" s="14">
        <v>5246</v>
      </c>
      <c r="D185" s="14">
        <v>6545</v>
      </c>
      <c r="E185" s="14">
        <v>26</v>
      </c>
      <c r="F185" s="14">
        <v>1756</v>
      </c>
      <c r="G185" s="17">
        <f t="shared" si="2"/>
        <v>15363</v>
      </c>
      <c r="H185" s="2" t="str">
        <f>VLOOKUP(A185,Constants!$A:$C,2,FALSE)</f>
        <v>Process Flow</v>
      </c>
      <c r="I185" s="2"/>
      <c r="J185" s="2"/>
    </row>
    <row r="186" spans="1:10">
      <c r="A186" s="13" t="s">
        <v>378</v>
      </c>
      <c r="B186" s="14">
        <v>0</v>
      </c>
      <c r="C186" s="14">
        <v>0</v>
      </c>
      <c r="D186" s="14">
        <v>0</v>
      </c>
      <c r="E186" s="14">
        <v>0</v>
      </c>
      <c r="F186" s="14">
        <v>0</v>
      </c>
      <c r="G186" s="17">
        <f t="shared" si="2"/>
        <v>0</v>
      </c>
      <c r="H186" s="2" t="str">
        <f>VLOOKUP(A186,Constants!$A:$C,2,FALSE)</f>
        <v>Mobile Remote Message</v>
      </c>
      <c r="I186" s="2"/>
      <c r="J186" s="2"/>
    </row>
    <row r="187" spans="1:10">
      <c r="A187" s="13" t="s">
        <v>380</v>
      </c>
      <c r="B187" s="14">
        <v>0</v>
      </c>
      <c r="C187" s="14">
        <v>0</v>
      </c>
      <c r="D187" s="14">
        <v>3</v>
      </c>
      <c r="E187" s="14">
        <v>2103</v>
      </c>
      <c r="F187" s="14">
        <v>3</v>
      </c>
      <c r="G187" s="17">
        <f t="shared" si="2"/>
        <v>2109</v>
      </c>
      <c r="H187" s="2" t="str">
        <f>VLOOKUP(A187,Constants!$A:$C,2,FALSE)</f>
        <v>Request</v>
      </c>
      <c r="I187" s="2"/>
      <c r="J187" s="2"/>
    </row>
    <row r="188" spans="1:10">
      <c r="A188" s="13" t="s">
        <v>382</v>
      </c>
      <c r="B188" s="14">
        <v>704</v>
      </c>
      <c r="C188" s="14">
        <v>0</v>
      </c>
      <c r="D188" s="14">
        <v>0</v>
      </c>
      <c r="E188" s="14">
        <v>0</v>
      </c>
      <c r="F188" s="14">
        <v>0</v>
      </c>
      <c r="G188" s="17">
        <f t="shared" si="2"/>
        <v>704</v>
      </c>
      <c r="H188" s="2" t="str">
        <f>VLOOKUP(A188,Constants!$A:$C,2,FALSE)</f>
        <v>Statistics Snapshot</v>
      </c>
      <c r="I188" s="2"/>
      <c r="J188" s="2"/>
    </row>
    <row r="189" spans="1:10">
      <c r="A189" s="13" t="s">
        <v>384</v>
      </c>
      <c r="B189" s="14">
        <v>395299</v>
      </c>
      <c r="C189" s="14">
        <v>61106</v>
      </c>
      <c r="D189" s="14">
        <v>202487</v>
      </c>
      <c r="E189" s="14">
        <v>1710222</v>
      </c>
      <c r="F189" s="14">
        <v>174538</v>
      </c>
      <c r="G189" s="17">
        <f t="shared" si="2"/>
        <v>2543652</v>
      </c>
      <c r="H189" s="2" t="str">
        <f>VLOOKUP(A189,Constants!$A:$C,2,FALSE)</f>
        <v>Service Task</v>
      </c>
      <c r="I189" s="2"/>
      <c r="J189" s="2"/>
    </row>
    <row r="190" spans="1:10">
      <c r="A190" s="13" t="s">
        <v>386</v>
      </c>
      <c r="B190" s="14">
        <v>323972</v>
      </c>
      <c r="C190" s="14">
        <v>142216</v>
      </c>
      <c r="D190" s="14">
        <v>286321</v>
      </c>
      <c r="E190" s="14">
        <v>1016384</v>
      </c>
      <c r="F190" s="14">
        <v>156882</v>
      </c>
      <c r="G190" s="17">
        <f t="shared" si="2"/>
        <v>1925775</v>
      </c>
      <c r="H190" s="2" t="str">
        <f>VLOOKUP(A190,Constants!$A:$C,2,FALSE)</f>
        <v>Sync Request</v>
      </c>
      <c r="I190" s="2"/>
      <c r="J190" s="2"/>
    </row>
    <row r="191" spans="1:10">
      <c r="A191" s="13" t="s">
        <v>388</v>
      </c>
      <c r="B191" s="14">
        <v>49304</v>
      </c>
      <c r="C191" s="14">
        <v>43783</v>
      </c>
      <c r="D191" s="14">
        <v>94776</v>
      </c>
      <c r="E191" s="14">
        <v>614636</v>
      </c>
      <c r="F191" s="14">
        <v>69880</v>
      </c>
      <c r="G191" s="17">
        <f t="shared" si="2"/>
        <v>872379</v>
      </c>
      <c r="H191" s="2" t="str">
        <f>VLOOKUP(A191,Constants!$A:$C,2,FALSE)</f>
        <v>Inbound Sync Request</v>
      </c>
      <c r="I191" s="2"/>
      <c r="J191" s="2"/>
    </row>
    <row r="192" spans="1:10">
      <c r="A192" s="13" t="s">
        <v>390</v>
      </c>
      <c r="B192" s="14">
        <v>0</v>
      </c>
      <c r="C192" s="14">
        <v>0</v>
      </c>
      <c r="D192" s="14">
        <v>0</v>
      </c>
      <c r="E192" s="14">
        <v>0</v>
      </c>
      <c r="F192" s="14">
        <v>0</v>
      </c>
      <c r="G192" s="17">
        <f t="shared" si="2"/>
        <v>0</v>
      </c>
      <c r="H192" s="2" t="str">
        <f>VLOOKUP(A192,Constants!$A:$C,2,FALSE)</f>
        <v>Time Dimension</v>
      </c>
      <c r="I192" s="2"/>
      <c r="J192" s="2"/>
    </row>
    <row r="193" spans="1:10">
      <c r="A193" s="13" t="s">
        <v>392</v>
      </c>
      <c r="B193" s="14">
        <v>0</v>
      </c>
      <c r="C193" s="14">
        <v>0</v>
      </c>
      <c r="D193" s="14">
        <v>0</v>
      </c>
      <c r="E193" s="14">
        <v>0</v>
      </c>
      <c r="F193" s="14">
        <v>0</v>
      </c>
      <c r="G193" s="17">
        <f t="shared" si="2"/>
        <v>0</v>
      </c>
      <c r="H193" s="2" t="str">
        <f>VLOOKUP(A193,Constants!$A:$C,2,FALSE)</f>
        <v>Accept Line</v>
      </c>
      <c r="I193" s="2"/>
      <c r="J193" s="2"/>
    </row>
    <row r="194" spans="1:10">
      <c r="A194" s="13" t="s">
        <v>394</v>
      </c>
      <c r="B194" s="14">
        <v>81</v>
      </c>
      <c r="C194" s="14">
        <v>20</v>
      </c>
      <c r="D194" s="14">
        <v>24</v>
      </c>
      <c r="E194" s="14">
        <v>176</v>
      </c>
      <c r="F194" s="14">
        <v>14</v>
      </c>
      <c r="G194" s="17">
        <f t="shared" si="2"/>
        <v>315</v>
      </c>
      <c r="H194" s="2" t="str">
        <f>VLOOKUP(A194,Constants!$A:$C,2,FALSE)</f>
        <v>Activity</v>
      </c>
      <c r="I194" s="2"/>
      <c r="J194" s="2"/>
    </row>
    <row r="195" spans="1:10">
      <c r="A195" s="13" t="s">
        <v>395</v>
      </c>
      <c r="B195" s="14">
        <v>0</v>
      </c>
      <c r="C195" s="14">
        <v>0</v>
      </c>
      <c r="D195" s="14">
        <v>0</v>
      </c>
      <c r="E195" s="14">
        <v>0</v>
      </c>
      <c r="F195" s="14">
        <v>0</v>
      </c>
      <c r="G195" s="17">
        <f t="shared" si="2"/>
        <v>0</v>
      </c>
      <c r="H195" s="2" t="str">
        <f>VLOOKUP(A195,Constants!$A:$C,2,FALSE)</f>
        <v>Activity Construction Location</v>
      </c>
      <c r="I195" s="2"/>
      <c r="J195" s="2"/>
    </row>
    <row r="196" spans="1:10">
      <c r="A196" s="13" t="s">
        <v>397</v>
      </c>
      <c r="B196" s="14">
        <v>0</v>
      </c>
      <c r="C196" s="14">
        <v>0</v>
      </c>
      <c r="D196" s="14">
        <v>0</v>
      </c>
      <c r="E196" s="14">
        <v>0</v>
      </c>
      <c r="F196" s="14">
        <v>0</v>
      </c>
      <c r="G196" s="17">
        <f t="shared" ref="G196:G259" si="3">SUM(B196,C196,D196,E196,F196)</f>
        <v>0</v>
      </c>
      <c r="H196" s="2" t="str">
        <f>VLOOKUP(A196,Constants!$A:$C,2,FALSE)</f>
        <v>Activity Reconciliation</v>
      </c>
      <c r="I196" s="2"/>
      <c r="J196" s="2"/>
    </row>
    <row r="197" spans="1:10">
      <c r="A197" s="13" t="s">
        <v>399</v>
      </c>
      <c r="B197" s="14">
        <v>0</v>
      </c>
      <c r="C197" s="14">
        <v>0</v>
      </c>
      <c r="D197" s="14">
        <v>0</v>
      </c>
      <c r="E197" s="14">
        <v>0</v>
      </c>
      <c r="F197" s="14">
        <v>0</v>
      </c>
      <c r="G197" s="17">
        <f t="shared" si="3"/>
        <v>0</v>
      </c>
      <c r="H197" s="2" t="str">
        <f>VLOOKUP(A197,Constants!$A:$C,2,FALSE)</f>
        <v>Activity Resource Requirement</v>
      </c>
      <c r="I197" s="2"/>
      <c r="J197" s="2"/>
    </row>
    <row r="198" spans="1:10">
      <c r="A198" s="13" t="s">
        <v>401</v>
      </c>
      <c r="B198" s="14">
        <v>0</v>
      </c>
      <c r="C198" s="14">
        <v>0</v>
      </c>
      <c r="D198" s="14">
        <v>0</v>
      </c>
      <c r="E198" s="14">
        <v>0</v>
      </c>
      <c r="F198" s="14">
        <v>0</v>
      </c>
      <c r="G198" s="17">
        <f t="shared" si="3"/>
        <v>0</v>
      </c>
      <c r="H198" s="2" t="str">
        <f>VLOOKUP(A198,Constants!$A:$C,2,FALSE)</f>
        <v>Cost Adjustment</v>
      </c>
      <c r="I198" s="2"/>
      <c r="J198" s="2"/>
    </row>
    <row r="199" spans="1:10">
      <c r="A199" s="13" t="s">
        <v>403</v>
      </c>
      <c r="B199" s="14">
        <v>0</v>
      </c>
      <c r="C199" s="14">
        <v>0</v>
      </c>
      <c r="D199" s="14">
        <v>0</v>
      </c>
      <c r="E199" s="14">
        <v>0</v>
      </c>
      <c r="F199" s="14">
        <v>0</v>
      </c>
      <c r="G199" s="17">
        <f t="shared" si="3"/>
        <v>0</v>
      </c>
      <c r="H199" s="2" t="str">
        <f>VLOOKUP(A199,Constants!$A:$C,2,FALSE)</f>
        <v>Approval Request</v>
      </c>
      <c r="I199" s="2"/>
      <c r="J199" s="2"/>
    </row>
    <row r="200" spans="1:10">
      <c r="A200" s="13" t="s">
        <v>404</v>
      </c>
      <c r="B200" s="14">
        <v>108114</v>
      </c>
      <c r="C200" s="14">
        <v>42282</v>
      </c>
      <c r="D200" s="14">
        <v>50791</v>
      </c>
      <c r="E200" s="14">
        <v>153525</v>
      </c>
      <c r="F200" s="14">
        <v>45720</v>
      </c>
      <c r="G200" s="17">
        <f t="shared" si="3"/>
        <v>400432</v>
      </c>
      <c r="H200" s="2" t="str">
        <f>VLOOKUP(A200,Constants!$A:$C,2,FALSE)</f>
        <v>Asset</v>
      </c>
      <c r="I200" s="2"/>
      <c r="J200" s="2"/>
    </row>
    <row r="201" spans="1:10">
      <c r="A201" s="13" t="s">
        <v>406</v>
      </c>
      <c r="B201" s="14">
        <v>0</v>
      </c>
      <c r="C201" s="14">
        <v>0</v>
      </c>
      <c r="D201" s="14">
        <v>0</v>
      </c>
      <c r="E201" s="14">
        <v>0</v>
      </c>
      <c r="F201" s="14">
        <v>0</v>
      </c>
      <c r="G201" s="17">
        <f t="shared" si="3"/>
        <v>0</v>
      </c>
      <c r="H201" s="2" t="str">
        <f>VLOOKUP(A201,Constants!$A:$C,2,FALSE)</f>
        <v>Blanket Contract Header</v>
      </c>
      <c r="I201" s="2"/>
      <c r="J201" s="2"/>
    </row>
    <row r="202" spans="1:10">
      <c r="A202" s="13" t="s">
        <v>408</v>
      </c>
      <c r="B202" s="14">
        <v>0</v>
      </c>
      <c r="C202" s="14">
        <v>0</v>
      </c>
      <c r="D202" s="14">
        <v>0</v>
      </c>
      <c r="E202" s="14">
        <v>0</v>
      </c>
      <c r="F202" s="14">
        <v>0</v>
      </c>
      <c r="G202" s="17">
        <f t="shared" si="3"/>
        <v>0</v>
      </c>
      <c r="H202" s="2" t="str">
        <f>VLOOKUP(A202,Constants!$A:$C,2,FALSE)</f>
        <v>Blanket Contract Line</v>
      </c>
      <c r="I202" s="2"/>
      <c r="J202" s="2"/>
    </row>
    <row r="203" spans="1:10">
      <c r="A203" s="13" t="s">
        <v>410</v>
      </c>
      <c r="B203" s="14">
        <v>0</v>
      </c>
      <c r="C203" s="14">
        <v>0</v>
      </c>
      <c r="D203" s="14">
        <v>0</v>
      </c>
      <c r="E203" s="14">
        <v>0</v>
      </c>
      <c r="F203" s="14">
        <v>0</v>
      </c>
      <c r="G203" s="17">
        <f t="shared" si="3"/>
        <v>0</v>
      </c>
      <c r="H203" s="2" t="str">
        <f>VLOOKUP(A203,Constants!$A:$C,2,FALSE)</f>
        <v>Bill of Materials Part</v>
      </c>
      <c r="I203" s="2"/>
      <c r="J203" s="2"/>
    </row>
    <row r="204" spans="1:10">
      <c r="A204" s="13" t="s">
        <v>412</v>
      </c>
      <c r="B204" s="14">
        <v>0</v>
      </c>
      <c r="C204" s="14">
        <v>0</v>
      </c>
      <c r="D204" s="14">
        <v>0</v>
      </c>
      <c r="E204" s="14">
        <v>0</v>
      </c>
      <c r="F204" s="14">
        <v>0</v>
      </c>
      <c r="G204" s="17">
        <f t="shared" si="3"/>
        <v>0</v>
      </c>
      <c r="H204" s="2" t="str">
        <f>VLOOKUP(A204,Constants!$A:$C,2,FALSE)</f>
        <v>Change Request</v>
      </c>
      <c r="I204" s="2"/>
      <c r="J204" s="2"/>
    </row>
    <row r="205" spans="1:10">
      <c r="A205" s="13" t="s">
        <v>414</v>
      </c>
      <c r="B205" s="14">
        <v>0</v>
      </c>
      <c r="C205" s="14">
        <v>0</v>
      </c>
      <c r="D205" s="14">
        <v>0</v>
      </c>
      <c r="E205" s="14">
        <v>0</v>
      </c>
      <c r="F205" s="14">
        <v>0</v>
      </c>
      <c r="G205" s="17">
        <f t="shared" si="3"/>
        <v>0</v>
      </c>
      <c r="H205" s="2" t="str">
        <f>VLOOKUP(A205,Constants!$A:$C,2,FALSE)</f>
        <v>Checklist</v>
      </c>
      <c r="I205" s="2"/>
      <c r="J205" s="2"/>
    </row>
    <row r="206" spans="1:10">
      <c r="A206" s="13" t="s">
        <v>416</v>
      </c>
      <c r="B206" s="14">
        <v>81</v>
      </c>
      <c r="C206" s="14">
        <v>20</v>
      </c>
      <c r="D206" s="14">
        <v>24</v>
      </c>
      <c r="E206" s="14">
        <v>176</v>
      </c>
      <c r="F206" s="14">
        <v>14</v>
      </c>
      <c r="G206" s="17">
        <f t="shared" si="3"/>
        <v>315</v>
      </c>
      <c r="H206" s="2" t="str">
        <f>VLOOKUP(A206,Constants!$A:$C,2,FALSE)</f>
        <v>Completion Event</v>
      </c>
      <c r="I206" s="2"/>
      <c r="J206" s="2"/>
    </row>
    <row r="207" spans="1:10">
      <c r="A207" s="13" t="s">
        <v>417</v>
      </c>
      <c r="B207" s="14">
        <v>0</v>
      </c>
      <c r="C207" s="14">
        <v>0</v>
      </c>
      <c r="D207" s="14">
        <v>0</v>
      </c>
      <c r="E207" s="14">
        <v>0</v>
      </c>
      <c r="F207" s="14">
        <v>0</v>
      </c>
      <c r="G207" s="17">
        <f t="shared" si="3"/>
        <v>0</v>
      </c>
      <c r="H207" s="2" t="str">
        <f>VLOOKUP(A207,Constants!$A:$C,2,FALSE)</f>
        <v>Communication</v>
      </c>
      <c r="I207" s="2"/>
      <c r="J207" s="2"/>
    </row>
    <row r="208" spans="1:10">
      <c r="A208" s="13" t="s">
        <v>419</v>
      </c>
      <c r="B208" s="14">
        <v>0</v>
      </c>
      <c r="C208" s="14">
        <v>0</v>
      </c>
      <c r="D208" s="14">
        <v>0</v>
      </c>
      <c r="E208" s="14">
        <v>0</v>
      </c>
      <c r="F208" s="14">
        <v>0</v>
      </c>
      <c r="G208" s="17">
        <f t="shared" si="3"/>
        <v>0</v>
      </c>
      <c r="H208" s="2" t="str">
        <f>VLOOKUP(A208,Constants!$A:$C,2,FALSE)</f>
        <v>Communication In</v>
      </c>
      <c r="I208" s="2"/>
      <c r="J208" s="2"/>
    </row>
    <row r="209" spans="1:10">
      <c r="A209" s="13" t="s">
        <v>420</v>
      </c>
      <c r="B209" s="14">
        <v>0</v>
      </c>
      <c r="C209" s="14">
        <v>0</v>
      </c>
      <c r="D209" s="14">
        <v>0</v>
      </c>
      <c r="E209" s="14">
        <v>0</v>
      </c>
      <c r="F209" s="14">
        <v>0</v>
      </c>
      <c r="G209" s="17">
        <f t="shared" si="3"/>
        <v>0</v>
      </c>
      <c r="H209" s="2" t="str">
        <f>VLOOKUP(A209,Constants!$A:$C,2,FALSE)</f>
        <v>Configuration</v>
      </c>
      <c r="I209" s="2"/>
      <c r="J209" s="2"/>
    </row>
    <row r="210" spans="1:10">
      <c r="A210" s="13" t="s">
        <v>422</v>
      </c>
      <c r="B210" s="14">
        <v>0</v>
      </c>
      <c r="C210" s="14">
        <v>0</v>
      </c>
      <c r="D210" s="14">
        <v>0</v>
      </c>
      <c r="E210" s="14">
        <v>0</v>
      </c>
      <c r="F210" s="14">
        <v>0</v>
      </c>
      <c r="G210" s="17">
        <f t="shared" si="3"/>
        <v>0</v>
      </c>
      <c r="H210" s="2" t="str">
        <f>VLOOKUP(A210,Constants!$A:$C,2,FALSE)</f>
        <v>Configuration Report</v>
      </c>
      <c r="I210" s="2"/>
      <c r="J210" s="2"/>
    </row>
    <row r="211" spans="1:10">
      <c r="A211" s="13" t="s">
        <v>424</v>
      </c>
      <c r="B211" s="14">
        <v>56750</v>
      </c>
      <c r="C211" s="14">
        <v>23209</v>
      </c>
      <c r="D211" s="14">
        <v>48019</v>
      </c>
      <c r="E211" s="14">
        <v>98478</v>
      </c>
      <c r="F211" s="14">
        <v>33884</v>
      </c>
      <c r="G211" s="17">
        <f t="shared" si="3"/>
        <v>260340</v>
      </c>
      <c r="H211" s="2" t="str">
        <f>VLOOKUP(A211,Constants!$A:$C,2,FALSE)</f>
        <v>Contact</v>
      </c>
      <c r="I211" s="2"/>
      <c r="J211" s="2"/>
    </row>
    <row r="212" spans="1:10">
      <c r="A212" s="13" t="s">
        <v>425</v>
      </c>
      <c r="B212" s="14">
        <v>0</v>
      </c>
      <c r="C212" s="14">
        <v>0</v>
      </c>
      <c r="D212" s="14">
        <v>0</v>
      </c>
      <c r="E212" s="14">
        <v>0</v>
      </c>
      <c r="F212" s="14">
        <v>0</v>
      </c>
      <c r="G212" s="17">
        <f t="shared" si="3"/>
        <v>0</v>
      </c>
      <c r="H212" s="2" t="str">
        <f>VLOOKUP(A212,Constants!$A:$C,2,FALSE)</f>
        <v>Crew</v>
      </c>
      <c r="I212" s="2"/>
      <c r="J212" s="2"/>
    </row>
    <row r="213" spans="1:10">
      <c r="A213" s="13" t="s">
        <v>427</v>
      </c>
      <c r="B213" s="14">
        <v>0</v>
      </c>
      <c r="C213" s="14">
        <v>0</v>
      </c>
      <c r="D213" s="14">
        <v>0</v>
      </c>
      <c r="E213" s="14">
        <v>0</v>
      </c>
      <c r="F213" s="14">
        <v>0</v>
      </c>
      <c r="G213" s="17">
        <f t="shared" si="3"/>
        <v>0</v>
      </c>
      <c r="H213" s="2" t="str">
        <f>VLOOKUP(A213,Constants!$A:$C,2,FALSE)</f>
        <v>Crew Shift</v>
      </c>
      <c r="I213" s="2"/>
      <c r="J213" s="2"/>
    </row>
    <row r="214" spans="1:10">
      <c r="A214" s="13" t="s">
        <v>429</v>
      </c>
      <c r="B214" s="14">
        <v>0</v>
      </c>
      <c r="C214" s="14">
        <v>0</v>
      </c>
      <c r="D214" s="14">
        <v>0</v>
      </c>
      <c r="E214" s="14">
        <v>0</v>
      </c>
      <c r="F214" s="14">
        <v>0</v>
      </c>
      <c r="G214" s="17">
        <f t="shared" si="3"/>
        <v>0</v>
      </c>
      <c r="H214" s="2" t="str">
        <f>VLOOKUP(A214,Constants!$A:$C,2,FALSE)</f>
        <v>Compatible Unit</v>
      </c>
      <c r="I214" s="2"/>
      <c r="J214" s="2"/>
    </row>
    <row r="215" spans="1:10">
      <c r="A215" s="13" t="s">
        <v>431</v>
      </c>
      <c r="B215" s="14">
        <v>0</v>
      </c>
      <c r="C215" s="14">
        <v>0</v>
      </c>
      <c r="D215" s="14">
        <v>0</v>
      </c>
      <c r="E215" s="14">
        <v>0</v>
      </c>
      <c r="F215" s="14">
        <v>0</v>
      </c>
      <c r="G215" s="17">
        <f t="shared" si="3"/>
        <v>0</v>
      </c>
      <c r="H215" s="2" t="str">
        <f>VLOOKUP(A215,Constants!$A:$C,2,FALSE)</f>
        <v>CU Contractor Bid</v>
      </c>
      <c r="I215" s="2"/>
      <c r="J215" s="2"/>
    </row>
    <row r="216" spans="1:10">
      <c r="A216" s="13" t="s">
        <v>433</v>
      </c>
      <c r="B216" s="14">
        <v>0</v>
      </c>
      <c r="C216" s="14">
        <v>0</v>
      </c>
      <c r="D216" s="14">
        <v>0</v>
      </c>
      <c r="E216" s="14">
        <v>0</v>
      </c>
      <c r="F216" s="14">
        <v>0</v>
      </c>
      <c r="G216" s="17">
        <f t="shared" si="3"/>
        <v>0</v>
      </c>
      <c r="H216" s="2" t="str">
        <f>VLOOKUP(A216,Constants!$A:$C,2,FALSE)</f>
        <v>Design Element</v>
      </c>
      <c r="I216" s="2"/>
      <c r="J216" s="2"/>
    </row>
    <row r="217" spans="1:10">
      <c r="A217" s="13" t="s">
        <v>435</v>
      </c>
      <c r="B217" s="14">
        <v>0</v>
      </c>
      <c r="C217" s="14">
        <v>0</v>
      </c>
      <c r="D217" s="14">
        <v>0</v>
      </c>
      <c r="E217" s="14">
        <v>0</v>
      </c>
      <c r="F217" s="14">
        <v>0</v>
      </c>
      <c r="G217" s="17">
        <f t="shared" si="3"/>
        <v>0</v>
      </c>
      <c r="H217" s="2" t="str">
        <f>VLOOKUP(A217,Constants!$A:$C,2,FALSE)</f>
        <v>Document</v>
      </c>
      <c r="I217" s="2"/>
      <c r="J217" s="2"/>
    </row>
    <row r="218" spans="1:10">
      <c r="A218" s="13" t="s">
        <v>437</v>
      </c>
      <c r="B218" s="14">
        <v>0</v>
      </c>
      <c r="C218" s="14">
        <v>0</v>
      </c>
      <c r="D218" s="14">
        <v>0</v>
      </c>
      <c r="E218" s="14">
        <v>0</v>
      </c>
      <c r="F218" s="14">
        <v>0</v>
      </c>
      <c r="G218" s="17">
        <f t="shared" si="3"/>
        <v>0</v>
      </c>
      <c r="H218" s="2" t="str">
        <f>VLOOKUP(A218,Constants!$A:$C,2,FALSE)</f>
        <v>Employee</v>
      </c>
      <c r="I218" s="2"/>
      <c r="J218" s="2"/>
    </row>
    <row r="219" spans="1:10">
      <c r="A219" s="13" t="s">
        <v>439</v>
      </c>
      <c r="B219" s="14">
        <v>0</v>
      </c>
      <c r="C219" s="14">
        <v>0</v>
      </c>
      <c r="D219" s="14">
        <v>0</v>
      </c>
      <c r="E219" s="14">
        <v>0</v>
      </c>
      <c r="F219" s="14">
        <v>0</v>
      </c>
      <c r="G219" s="17">
        <f t="shared" si="3"/>
        <v>0</v>
      </c>
      <c r="H219" s="2" t="str">
        <f>VLOOKUP(A219,Constants!$A:$C,2,FALSE)</f>
        <v>Employee Unavailability</v>
      </c>
      <c r="I219" s="2"/>
      <c r="J219" s="2"/>
    </row>
    <row r="220" spans="1:10">
      <c r="A220" s="13" t="s">
        <v>441</v>
      </c>
      <c r="B220" s="14">
        <v>0</v>
      </c>
      <c r="C220" s="14">
        <v>0</v>
      </c>
      <c r="D220" s="14">
        <v>0</v>
      </c>
      <c r="E220" s="14">
        <v>0</v>
      </c>
      <c r="F220" s="14">
        <v>0</v>
      </c>
      <c r="G220" s="17">
        <f t="shared" si="3"/>
        <v>0</v>
      </c>
      <c r="H220" s="2" t="str">
        <f>VLOOKUP(A220,Constants!$A:$C,2,FALSE)</f>
        <v>Expedite Purchase Order</v>
      </c>
      <c r="I220" s="2"/>
      <c r="J220" s="2"/>
    </row>
    <row r="221" spans="1:10">
      <c r="A221" s="13" t="s">
        <v>443</v>
      </c>
      <c r="B221" s="14">
        <v>0</v>
      </c>
      <c r="C221" s="14">
        <v>0</v>
      </c>
      <c r="D221" s="14">
        <v>0</v>
      </c>
      <c r="E221" s="14">
        <v>0</v>
      </c>
      <c r="F221" s="14">
        <v>0</v>
      </c>
      <c r="G221" s="17">
        <f t="shared" si="3"/>
        <v>0</v>
      </c>
      <c r="H221" s="2" t="str">
        <f>VLOOKUP(A221,Constants!$A:$C,2,FALSE)</f>
        <v>Financial Transaction</v>
      </c>
      <c r="I221" s="2"/>
      <c r="J221" s="2"/>
    </row>
    <row r="222" spans="1:10">
      <c r="A222" s="13" t="s">
        <v>444</v>
      </c>
      <c r="B222" s="14">
        <v>0</v>
      </c>
      <c r="C222" s="14">
        <v>0</v>
      </c>
      <c r="D222" s="14">
        <v>0</v>
      </c>
      <c r="E222" s="14">
        <v>0</v>
      </c>
      <c r="F222" s="14">
        <v>0</v>
      </c>
      <c r="G222" s="17">
        <f t="shared" si="3"/>
        <v>0</v>
      </c>
      <c r="H222" s="2" t="str">
        <f>VLOOKUP(A222,Constants!$A:$C,2,FALSE)</f>
        <v>Invoice Group</v>
      </c>
      <c r="I222" s="2"/>
      <c r="J222" s="2"/>
    </row>
    <row r="223" spans="1:10">
      <c r="A223" s="13" t="s">
        <v>446</v>
      </c>
      <c r="B223" s="14">
        <v>0</v>
      </c>
      <c r="C223" s="14">
        <v>0</v>
      </c>
      <c r="D223" s="14">
        <v>0</v>
      </c>
      <c r="E223" s="14">
        <v>0</v>
      </c>
      <c r="F223" s="14">
        <v>0</v>
      </c>
      <c r="G223" s="17">
        <f t="shared" si="3"/>
        <v>0</v>
      </c>
      <c r="H223" s="2" t="str">
        <f>VLOOKUP(A223,Constants!$A:$C,2,FALSE)</f>
        <v>Invoice Header</v>
      </c>
      <c r="I223" s="2"/>
      <c r="J223" s="2"/>
    </row>
    <row r="224" spans="1:10">
      <c r="A224" s="13" t="s">
        <v>448</v>
      </c>
      <c r="B224" s="14">
        <v>0</v>
      </c>
      <c r="C224" s="14">
        <v>0</v>
      </c>
      <c r="D224" s="14">
        <v>0</v>
      </c>
      <c r="E224" s="14">
        <v>0</v>
      </c>
      <c r="F224" s="14">
        <v>0</v>
      </c>
      <c r="G224" s="17">
        <f t="shared" si="3"/>
        <v>0</v>
      </c>
      <c r="H224" s="2" t="str">
        <f>VLOOKUP(A224,Constants!$A:$C,2,FALSE)</f>
        <v>Invoice Line</v>
      </c>
      <c r="I224" s="2"/>
      <c r="J224" s="2"/>
    </row>
    <row r="225" spans="1:10">
      <c r="A225" s="13" t="s">
        <v>450</v>
      </c>
      <c r="B225" s="14">
        <v>0</v>
      </c>
      <c r="C225" s="14">
        <v>0</v>
      </c>
      <c r="D225" s="14">
        <v>0</v>
      </c>
      <c r="E225" s="14">
        <v>0</v>
      </c>
      <c r="F225" s="14">
        <v>0</v>
      </c>
      <c r="G225" s="17">
        <f t="shared" si="3"/>
        <v>0</v>
      </c>
      <c r="H225" s="2" t="str">
        <f>VLOOKUP(A225,Constants!$A:$C,2,FALSE)</f>
        <v>Inventory Adjustment</v>
      </c>
      <c r="I225" s="2"/>
      <c r="J225" s="2"/>
    </row>
    <row r="226" spans="1:10">
      <c r="A226" s="13" t="s">
        <v>452</v>
      </c>
      <c r="B226" s="14">
        <v>0</v>
      </c>
      <c r="C226" s="14">
        <v>0</v>
      </c>
      <c r="D226" s="14">
        <v>0</v>
      </c>
      <c r="E226" s="14">
        <v>0</v>
      </c>
      <c r="F226" s="14">
        <v>0</v>
      </c>
      <c r="G226" s="17">
        <f t="shared" si="3"/>
        <v>0</v>
      </c>
      <c r="H226" s="2" t="str">
        <f>VLOOKUP(A226,Constants!$A:$C,2,FALSE)</f>
        <v>Maintenance Event</v>
      </c>
      <c r="I226" s="2"/>
      <c r="J226" s="2"/>
    </row>
    <row r="227" spans="1:10">
      <c r="A227" s="13" t="s">
        <v>454</v>
      </c>
      <c r="B227" s="14">
        <v>0</v>
      </c>
      <c r="C227" s="14">
        <v>0</v>
      </c>
      <c r="D227" s="14">
        <v>0</v>
      </c>
      <c r="E227" s="14">
        <v>0</v>
      </c>
      <c r="F227" s="14">
        <v>0</v>
      </c>
      <c r="G227" s="17">
        <f t="shared" si="3"/>
        <v>0</v>
      </c>
      <c r="H227" s="2" t="str">
        <f>VLOOKUP(A227,Constants!$A:$C,2,FALSE)</f>
        <v>Maintenance Schedule</v>
      </c>
      <c r="I227" s="2"/>
      <c r="J227" s="2"/>
    </row>
    <row r="228" spans="1:10">
      <c r="A228" s="13" t="s">
        <v>456</v>
      </c>
      <c r="B228" s="14">
        <v>0</v>
      </c>
      <c r="C228" s="14">
        <v>0</v>
      </c>
      <c r="D228" s="14">
        <v>0</v>
      </c>
      <c r="E228" s="14">
        <v>0</v>
      </c>
      <c r="F228" s="14">
        <v>0</v>
      </c>
      <c r="G228" s="17">
        <f t="shared" si="3"/>
        <v>0</v>
      </c>
      <c r="H228" s="2" t="str">
        <f>VLOOKUP(A228,Constants!$A:$C,2,FALSE)</f>
        <v>Maintenance Trigger</v>
      </c>
      <c r="I228" s="2"/>
      <c r="J228" s="2"/>
    </row>
    <row r="229" spans="1:10">
      <c r="A229" s="13" t="s">
        <v>458</v>
      </c>
      <c r="B229" s="14">
        <v>0</v>
      </c>
      <c r="C229" s="14">
        <v>0</v>
      </c>
      <c r="D229" s="14">
        <v>0</v>
      </c>
      <c r="E229" s="14">
        <v>0</v>
      </c>
      <c r="F229" s="14">
        <v>0</v>
      </c>
      <c r="G229" s="17">
        <f t="shared" si="3"/>
        <v>0</v>
      </c>
      <c r="H229" s="2" t="str">
        <f>VLOOKUP(A229,Constants!$A:$C,2,FALSE)</f>
        <v>Material Disposition</v>
      </c>
      <c r="I229" s="2"/>
      <c r="J229" s="2"/>
    </row>
    <row r="230" spans="1:10">
      <c r="A230" s="13" t="s">
        <v>460</v>
      </c>
      <c r="B230" s="14">
        <v>0</v>
      </c>
      <c r="C230" s="14">
        <v>0</v>
      </c>
      <c r="D230" s="14">
        <v>0</v>
      </c>
      <c r="E230" s="14">
        <v>0</v>
      </c>
      <c r="F230" s="14">
        <v>0</v>
      </c>
      <c r="G230" s="17">
        <f t="shared" si="3"/>
        <v>0</v>
      </c>
      <c r="H230" s="2" t="str">
        <f>VLOOKUP(A230,Constants!$A:$C,2,FALSE)</f>
        <v>Material Issue Line</v>
      </c>
      <c r="I230" s="2"/>
      <c r="J230" s="2"/>
    </row>
    <row r="231" spans="1:10">
      <c r="A231" s="13" t="s">
        <v>462</v>
      </c>
      <c r="B231" s="14">
        <v>0</v>
      </c>
      <c r="C231" s="14">
        <v>0</v>
      </c>
      <c r="D231" s="14">
        <v>0</v>
      </c>
      <c r="E231" s="14">
        <v>0</v>
      </c>
      <c r="F231" s="14">
        <v>0</v>
      </c>
      <c r="G231" s="17">
        <f t="shared" si="3"/>
        <v>0</v>
      </c>
      <c r="H231" s="2" t="str">
        <f>VLOOKUP(A231,Constants!$A:$C,2,FALSE)</f>
        <v>Material Request Header</v>
      </c>
      <c r="I231" s="2"/>
      <c r="J231" s="2"/>
    </row>
    <row r="232" spans="1:10">
      <c r="A232" s="13" t="s">
        <v>464</v>
      </c>
      <c r="B232" s="14">
        <v>0</v>
      </c>
      <c r="C232" s="14">
        <v>0</v>
      </c>
      <c r="D232" s="14">
        <v>0</v>
      </c>
      <c r="E232" s="14">
        <v>0</v>
      </c>
      <c r="F232" s="14">
        <v>0</v>
      </c>
      <c r="G232" s="17">
        <f t="shared" si="3"/>
        <v>0</v>
      </c>
      <c r="H232" s="2" t="str">
        <f>VLOOKUP(A232,Constants!$A:$C,2,FALSE)</f>
        <v>Material Request Line</v>
      </c>
      <c r="I232" s="2"/>
      <c r="J232" s="2"/>
    </row>
    <row r="233" spans="1:10">
      <c r="A233" s="13" t="s">
        <v>466</v>
      </c>
      <c r="B233" s="14">
        <v>0</v>
      </c>
      <c r="C233" s="14">
        <v>0</v>
      </c>
      <c r="D233" s="14">
        <v>0</v>
      </c>
      <c r="E233" s="14">
        <v>0</v>
      </c>
      <c r="F233" s="14">
        <v>0</v>
      </c>
      <c r="G233" s="17">
        <f t="shared" si="3"/>
        <v>0</v>
      </c>
      <c r="H233" s="2" t="str">
        <f>VLOOKUP(A233,Constants!$A:$C,2,FALSE)</f>
        <v>Material Request Template</v>
      </c>
      <c r="I233" s="2"/>
      <c r="J233" s="2"/>
    </row>
    <row r="234" spans="1:10">
      <c r="A234" s="13" t="s">
        <v>468</v>
      </c>
      <c r="B234" s="14">
        <v>0</v>
      </c>
      <c r="C234" s="14">
        <v>0</v>
      </c>
      <c r="D234" s="14">
        <v>0</v>
      </c>
      <c r="E234" s="14">
        <v>0</v>
      </c>
      <c r="F234" s="14">
        <v>0</v>
      </c>
      <c r="G234" s="17">
        <f t="shared" si="3"/>
        <v>0</v>
      </c>
      <c r="H234" s="2" t="str">
        <f>VLOOKUP(A234,Constants!$A:$C,2,FALSE)</f>
        <v>Material Return Header</v>
      </c>
      <c r="I234" s="2"/>
      <c r="J234" s="2"/>
    </row>
    <row r="235" spans="1:10">
      <c r="A235" s="13" t="s">
        <v>470</v>
      </c>
      <c r="B235" s="14">
        <v>0</v>
      </c>
      <c r="C235" s="14">
        <v>0</v>
      </c>
      <c r="D235" s="14">
        <v>0</v>
      </c>
      <c r="E235" s="14">
        <v>0</v>
      </c>
      <c r="F235" s="14">
        <v>0</v>
      </c>
      <c r="G235" s="17">
        <f t="shared" si="3"/>
        <v>0</v>
      </c>
      <c r="H235" s="2" t="str">
        <f>VLOOKUP(A235,Constants!$A:$C,2,FALSE)</f>
        <v>Material Return Line</v>
      </c>
      <c r="I235" s="2"/>
      <c r="J235" s="2"/>
    </row>
    <row r="236" spans="1:10">
      <c r="A236" s="13" t="s">
        <v>472</v>
      </c>
      <c r="B236" s="14">
        <v>0</v>
      </c>
      <c r="C236" s="14">
        <v>0</v>
      </c>
      <c r="D236" s="14">
        <v>0</v>
      </c>
      <c r="E236" s="14">
        <v>0</v>
      </c>
      <c r="F236" s="14">
        <v>0</v>
      </c>
      <c r="G236" s="17">
        <f t="shared" si="3"/>
        <v>0</v>
      </c>
      <c r="H236" s="2" t="str">
        <f>VLOOKUP(A236,Constants!$A:$C,2,FALSE)</f>
        <v>Measurement</v>
      </c>
      <c r="I236" s="2"/>
      <c r="J236" s="2"/>
    </row>
    <row r="237" spans="1:10">
      <c r="A237" s="13" t="s">
        <v>473</v>
      </c>
      <c r="B237" s="14">
        <v>0</v>
      </c>
      <c r="C237" s="14">
        <v>0</v>
      </c>
      <c r="D237" s="14">
        <v>0</v>
      </c>
      <c r="E237" s="14">
        <v>0</v>
      </c>
      <c r="F237" s="14">
        <v>0</v>
      </c>
      <c r="G237" s="17">
        <f t="shared" si="3"/>
        <v>0</v>
      </c>
      <c r="H237" s="2" t="str">
        <f>VLOOKUP(A237,Constants!$A:$C,2,FALSE)</f>
        <v>Mobile Subscription</v>
      </c>
      <c r="I237" s="2"/>
      <c r="J237" s="2"/>
    </row>
    <row r="238" spans="1:10">
      <c r="A238" s="13" t="s">
        <v>475</v>
      </c>
      <c r="B238" s="14">
        <v>44703</v>
      </c>
      <c r="C238" s="14">
        <v>17678</v>
      </c>
      <c r="D238" s="14">
        <v>32603</v>
      </c>
      <c r="E238" s="14">
        <v>226787</v>
      </c>
      <c r="F238" s="14">
        <v>29262</v>
      </c>
      <c r="G238" s="17">
        <f t="shared" si="3"/>
        <v>351033</v>
      </c>
      <c r="H238" s="2" t="str">
        <f>VLOOKUP(A238,Constants!$A:$C,2,FALSE)</f>
        <v>Location/Organization</v>
      </c>
      <c r="I238" s="2"/>
      <c r="J238" s="2"/>
    </row>
    <row r="239" spans="1:10">
      <c r="A239" s="13" t="s">
        <v>477</v>
      </c>
      <c r="B239" s="14">
        <v>0</v>
      </c>
      <c r="C239" s="14">
        <v>0</v>
      </c>
      <c r="D239" s="14">
        <v>0</v>
      </c>
      <c r="E239" s="14">
        <v>0</v>
      </c>
      <c r="F239" s="14">
        <v>0</v>
      </c>
      <c r="G239" s="17">
        <f t="shared" si="3"/>
        <v>0</v>
      </c>
      <c r="H239" s="2" t="str">
        <f>VLOOKUP(A239,Constants!$A:$C,2,FALSE)</f>
        <v>Other Direct Charges</v>
      </c>
      <c r="I239" s="2"/>
      <c r="J239" s="2"/>
    </row>
    <row r="240" spans="1:10">
      <c r="A240" s="13" t="s">
        <v>479</v>
      </c>
      <c r="B240" s="14">
        <v>0</v>
      </c>
      <c r="C240" s="14">
        <v>0</v>
      </c>
      <c r="D240" s="14">
        <v>0</v>
      </c>
      <c r="E240" s="14">
        <v>0</v>
      </c>
      <c r="F240" s="14">
        <v>0</v>
      </c>
      <c r="G240" s="17">
        <f t="shared" si="3"/>
        <v>0</v>
      </c>
      <c r="H240" s="2" t="str">
        <f>VLOOKUP(A240,Constants!$A:$C,2,FALSE)</f>
        <v>Other Direct Charges Detail</v>
      </c>
      <c r="I240" s="2"/>
      <c r="J240" s="2"/>
    </row>
    <row r="241" spans="1:10">
      <c r="A241" s="13" t="s">
        <v>481</v>
      </c>
      <c r="B241" s="14">
        <v>0</v>
      </c>
      <c r="C241" s="14">
        <v>0</v>
      </c>
      <c r="D241" s="14">
        <v>0</v>
      </c>
      <c r="E241" s="14">
        <v>0</v>
      </c>
      <c r="F241" s="14">
        <v>0</v>
      </c>
      <c r="G241" s="17">
        <f t="shared" si="3"/>
        <v>0</v>
      </c>
      <c r="H241" s="2" t="str">
        <f>VLOOKUP(A241,Constants!$A:$C,2,FALSE)</f>
        <v>Permit</v>
      </c>
      <c r="I241" s="2"/>
      <c r="J241" s="2"/>
    </row>
    <row r="242" spans="1:10">
      <c r="A242" s="13" t="s">
        <v>483</v>
      </c>
      <c r="B242" s="14">
        <v>0</v>
      </c>
      <c r="C242" s="14">
        <v>0</v>
      </c>
      <c r="D242" s="14">
        <v>0</v>
      </c>
      <c r="E242" s="14">
        <v>0</v>
      </c>
      <c r="F242" s="14">
        <v>0</v>
      </c>
      <c r="G242" s="17">
        <f t="shared" si="3"/>
        <v>0</v>
      </c>
      <c r="H242" s="2" t="str">
        <f>VLOOKUP(A242,Constants!$A:$C,2,FALSE)</f>
        <v>Physical Inventory Count Line</v>
      </c>
      <c r="I242" s="2"/>
      <c r="J242" s="2"/>
    </row>
    <row r="243" spans="1:10">
      <c r="A243" s="13" t="s">
        <v>485</v>
      </c>
      <c r="B243" s="14">
        <v>0</v>
      </c>
      <c r="C243" s="14">
        <v>0</v>
      </c>
      <c r="D243" s="14">
        <v>0</v>
      </c>
      <c r="E243" s="14">
        <v>0</v>
      </c>
      <c r="F243" s="14">
        <v>0</v>
      </c>
      <c r="G243" s="17">
        <f t="shared" si="3"/>
        <v>0</v>
      </c>
      <c r="H243" s="2" t="str">
        <f>VLOOKUP(A243,Constants!$A:$C,2,FALSE)</f>
        <v>Physical Inventory Count Master</v>
      </c>
      <c r="I243" s="2"/>
      <c r="J243" s="2"/>
    </row>
    <row r="244" spans="1:10">
      <c r="A244" s="13" t="s">
        <v>487</v>
      </c>
      <c r="B244" s="14">
        <v>0</v>
      </c>
      <c r="C244" s="14">
        <v>0</v>
      </c>
      <c r="D244" s="14">
        <v>0</v>
      </c>
      <c r="E244" s="14">
        <v>0</v>
      </c>
      <c r="F244" s="14">
        <v>0</v>
      </c>
      <c r="G244" s="17">
        <f t="shared" si="3"/>
        <v>0</v>
      </c>
      <c r="H244" s="2" t="str">
        <f>VLOOKUP(A244,Constants!$A:$C,2,FALSE)</f>
        <v>Physical Inventory Header</v>
      </c>
      <c r="I244" s="2"/>
      <c r="J244" s="2"/>
    </row>
    <row r="245" spans="1:10">
      <c r="A245" s="13" t="s">
        <v>489</v>
      </c>
      <c r="B245" s="14">
        <v>0</v>
      </c>
      <c r="C245" s="14">
        <v>0</v>
      </c>
      <c r="D245" s="14">
        <v>0</v>
      </c>
      <c r="E245" s="14">
        <v>0</v>
      </c>
      <c r="F245" s="14">
        <v>0</v>
      </c>
      <c r="G245" s="17">
        <f t="shared" si="3"/>
        <v>0</v>
      </c>
      <c r="H245" s="2" t="str">
        <f>VLOOKUP(A245,Constants!$A:$C,2,FALSE)</f>
        <v>Purchase Order Header</v>
      </c>
      <c r="I245" s="2"/>
      <c r="J245" s="2"/>
    </row>
    <row r="246" spans="1:10">
      <c r="A246" s="13" t="s">
        <v>491</v>
      </c>
      <c r="B246" s="14">
        <v>0</v>
      </c>
      <c r="C246" s="14">
        <v>0</v>
      </c>
      <c r="D246" s="14">
        <v>0</v>
      </c>
      <c r="E246" s="14">
        <v>0</v>
      </c>
      <c r="F246" s="14">
        <v>0</v>
      </c>
      <c r="G246" s="17">
        <f t="shared" si="3"/>
        <v>0</v>
      </c>
      <c r="H246" s="2" t="str">
        <f>VLOOKUP(A246,Constants!$A:$C,2,FALSE)</f>
        <v>Purchase Order Line</v>
      </c>
      <c r="I246" s="2"/>
      <c r="J246" s="2"/>
    </row>
    <row r="247" spans="1:10">
      <c r="A247" s="13" t="s">
        <v>493</v>
      </c>
      <c r="B247" s="14">
        <v>0</v>
      </c>
      <c r="C247" s="14">
        <v>0</v>
      </c>
      <c r="D247" s="14">
        <v>0</v>
      </c>
      <c r="E247" s="14">
        <v>0</v>
      </c>
      <c r="F247" s="14">
        <v>0</v>
      </c>
      <c r="G247" s="17">
        <f t="shared" si="3"/>
        <v>0</v>
      </c>
      <c r="H247" s="2" t="str">
        <f>VLOOKUP(A247,Constants!$A:$C,2,FALSE)</f>
        <v>Functional Process</v>
      </c>
      <c r="I247" s="2"/>
      <c r="J247" s="2"/>
    </row>
    <row r="248" spans="1:10">
      <c r="A248" s="13" t="s">
        <v>495</v>
      </c>
      <c r="B248" s="14">
        <v>0</v>
      </c>
      <c r="C248" s="14">
        <v>0</v>
      </c>
      <c r="D248" s="14">
        <v>0</v>
      </c>
      <c r="E248" s="14">
        <v>0</v>
      </c>
      <c r="F248" s="14">
        <v>0</v>
      </c>
      <c r="G248" s="17">
        <f t="shared" si="3"/>
        <v>0</v>
      </c>
      <c r="H248" s="2" t="str">
        <f>VLOOKUP(A248,Constants!$A:$C,2,FALSE)</f>
        <v>Project</v>
      </c>
      <c r="I248" s="2"/>
      <c r="J248" s="2"/>
    </row>
    <row r="249" spans="1:10">
      <c r="A249" s="13" t="s">
        <v>497</v>
      </c>
      <c r="B249" s="14">
        <v>0</v>
      </c>
      <c r="C249" s="14">
        <v>0</v>
      </c>
      <c r="D249" s="14">
        <v>0</v>
      </c>
      <c r="E249" s="14">
        <v>0</v>
      </c>
      <c r="F249" s="14">
        <v>0</v>
      </c>
      <c r="G249" s="17">
        <f t="shared" si="3"/>
        <v>0</v>
      </c>
      <c r="H249" s="2" t="str">
        <f>VLOOKUP(A249,Constants!$A:$C,2,FALSE)</f>
        <v>Purchase Requisition Header</v>
      </c>
      <c r="I249" s="2"/>
      <c r="J249" s="2"/>
    </row>
    <row r="250" spans="1:10">
      <c r="A250" s="13" t="s">
        <v>499</v>
      </c>
      <c r="B250" s="14">
        <v>0</v>
      </c>
      <c r="C250" s="14">
        <v>0</v>
      </c>
      <c r="D250" s="14">
        <v>0</v>
      </c>
      <c r="E250" s="14">
        <v>0</v>
      </c>
      <c r="F250" s="14">
        <v>0</v>
      </c>
      <c r="G250" s="17">
        <f t="shared" si="3"/>
        <v>0</v>
      </c>
      <c r="H250" s="2" t="str">
        <f>VLOOKUP(A250,Constants!$A:$C,2,FALSE)</f>
        <v>Purchase Requisition Line</v>
      </c>
      <c r="I250" s="2"/>
      <c r="J250" s="2"/>
    </row>
    <row r="251" spans="1:10">
      <c r="A251" s="13" t="s">
        <v>501</v>
      </c>
      <c r="B251" s="14">
        <v>0</v>
      </c>
      <c r="C251" s="14">
        <v>0</v>
      </c>
      <c r="D251" s="14">
        <v>0</v>
      </c>
      <c r="E251" s="14">
        <v>0</v>
      </c>
      <c r="F251" s="14">
        <v>0</v>
      </c>
      <c r="G251" s="17">
        <f t="shared" si="3"/>
        <v>0</v>
      </c>
      <c r="H251" s="2" t="str">
        <f>VLOOKUP(A251,Constants!$A:$C,2,FALSE)</f>
        <v>Receipt Header</v>
      </c>
      <c r="I251" s="2"/>
      <c r="J251" s="2"/>
    </row>
    <row r="252" spans="1:10">
      <c r="A252" s="13" t="s">
        <v>503</v>
      </c>
      <c r="B252" s="14">
        <v>0</v>
      </c>
      <c r="C252" s="14">
        <v>0</v>
      </c>
      <c r="D252" s="14">
        <v>0</v>
      </c>
      <c r="E252" s="14">
        <v>0</v>
      </c>
      <c r="F252" s="14">
        <v>0</v>
      </c>
      <c r="G252" s="17">
        <f t="shared" si="3"/>
        <v>0</v>
      </c>
      <c r="H252" s="2" t="str">
        <f>VLOOKUP(A252,Constants!$A:$C,2,FALSE)</f>
        <v>Receipt Line</v>
      </c>
      <c r="I252" s="2"/>
      <c r="J252" s="2"/>
    </row>
    <row r="253" spans="1:10">
      <c r="A253" s="13" t="s">
        <v>505</v>
      </c>
      <c r="B253" s="14">
        <v>0</v>
      </c>
      <c r="C253" s="14">
        <v>0</v>
      </c>
      <c r="D253" s="14">
        <v>0</v>
      </c>
      <c r="E253" s="14">
        <v>0</v>
      </c>
      <c r="F253" s="14">
        <v>0</v>
      </c>
      <c r="G253" s="17">
        <f t="shared" si="3"/>
        <v>0</v>
      </c>
      <c r="H253" s="2" t="str">
        <f>VLOOKUP(A253,Constants!$A:$C,2,FALSE)</f>
        <v>Report Queue</v>
      </c>
      <c r="I253" s="2"/>
      <c r="J253" s="2"/>
    </row>
    <row r="254" spans="1:10">
      <c r="A254" s="13" t="s">
        <v>507</v>
      </c>
      <c r="B254" s="14">
        <v>0</v>
      </c>
      <c r="C254" s="14">
        <v>0</v>
      </c>
      <c r="D254" s="14">
        <v>0</v>
      </c>
      <c r="E254" s="14">
        <v>0</v>
      </c>
      <c r="F254" s="14">
        <v>0</v>
      </c>
      <c r="G254" s="17">
        <f t="shared" si="3"/>
        <v>0</v>
      </c>
      <c r="H254" s="2" t="str">
        <f>VLOOKUP(A254,Constants!$A:$C,2,FALSE)</f>
        <v>Resource Type</v>
      </c>
      <c r="I254" s="2"/>
      <c r="J254" s="2"/>
    </row>
    <row r="255" spans="1:10">
      <c r="A255" s="13" t="s">
        <v>509</v>
      </c>
      <c r="B255" s="14">
        <v>0</v>
      </c>
      <c r="C255" s="14">
        <v>0</v>
      </c>
      <c r="D255" s="14">
        <v>0</v>
      </c>
      <c r="E255" s="14">
        <v>0</v>
      </c>
      <c r="F255" s="14">
        <v>0</v>
      </c>
      <c r="G255" s="17">
        <f t="shared" si="3"/>
        <v>0</v>
      </c>
      <c r="H255" s="2" t="str">
        <f>VLOOKUP(A255,Constants!$A:$C,2,FALSE)</f>
        <v>Reorder Review</v>
      </c>
      <c r="I255" s="2"/>
      <c r="J255" s="2"/>
    </row>
    <row r="256" spans="1:10">
      <c r="A256" s="13" t="s">
        <v>511</v>
      </c>
      <c r="B256" s="14">
        <v>0</v>
      </c>
      <c r="C256" s="14">
        <v>0</v>
      </c>
      <c r="D256" s="14">
        <v>0</v>
      </c>
      <c r="E256" s="14">
        <v>0</v>
      </c>
      <c r="F256" s="14">
        <v>0</v>
      </c>
      <c r="G256" s="17">
        <f t="shared" si="3"/>
        <v>0</v>
      </c>
      <c r="H256" s="2" t="str">
        <f>VLOOKUP(A256,Constants!$A:$C,2,FALSE)</f>
        <v>Return Line</v>
      </c>
      <c r="I256" s="2"/>
      <c r="J256" s="2"/>
    </row>
    <row r="257" spans="1:10">
      <c r="A257" s="13" t="s">
        <v>513</v>
      </c>
      <c r="B257" s="14">
        <v>0</v>
      </c>
      <c r="C257" s="14">
        <v>0</v>
      </c>
      <c r="D257" s="14">
        <v>0</v>
      </c>
      <c r="E257" s="14">
        <v>0</v>
      </c>
      <c r="F257" s="14">
        <v>0</v>
      </c>
      <c r="G257" s="17">
        <f t="shared" si="3"/>
        <v>0</v>
      </c>
      <c r="H257" s="2" t="str">
        <f>VLOOKUP(A257,Constants!$A:$C,2,FALSE)</f>
        <v>Shift Weekly Template</v>
      </c>
      <c r="I257" s="2"/>
      <c r="J257" s="2"/>
    </row>
    <row r="258" spans="1:10">
      <c r="A258" s="13" t="s">
        <v>515</v>
      </c>
      <c r="B258" s="14">
        <v>0</v>
      </c>
      <c r="C258" s="14">
        <v>0</v>
      </c>
      <c r="D258" s="14">
        <v>0</v>
      </c>
      <c r="E258" s="14">
        <v>0</v>
      </c>
      <c r="F258" s="14">
        <v>0</v>
      </c>
      <c r="G258" s="17">
        <f t="shared" si="3"/>
        <v>0</v>
      </c>
      <c r="H258" s="2" t="str">
        <f>VLOOKUP(A258,Constants!$A:$C,2,FALSE)</f>
        <v>Shipping Line</v>
      </c>
      <c r="I258" s="2"/>
      <c r="J258" s="2"/>
    </row>
    <row r="259" spans="1:10">
      <c r="A259" s="13" t="s">
        <v>517</v>
      </c>
      <c r="B259" s="14">
        <v>0</v>
      </c>
      <c r="C259" s="14">
        <v>0</v>
      </c>
      <c r="D259" s="14">
        <v>0</v>
      </c>
      <c r="E259" s="14">
        <v>0</v>
      </c>
      <c r="F259" s="14">
        <v>0</v>
      </c>
      <c r="G259" s="17">
        <f t="shared" si="3"/>
        <v>0</v>
      </c>
      <c r="H259" s="2" t="str">
        <f>VLOOKUP(A259,Constants!$A:$C,2,FALSE)</f>
        <v>Shipping Memo</v>
      </c>
      <c r="I259" s="2"/>
      <c r="J259" s="2"/>
    </row>
    <row r="260" spans="1:10">
      <c r="A260" s="13" t="s">
        <v>519</v>
      </c>
      <c r="B260" s="14">
        <v>0</v>
      </c>
      <c r="C260" s="14">
        <v>0</v>
      </c>
      <c r="D260" s="14">
        <v>0</v>
      </c>
      <c r="E260" s="14">
        <v>0</v>
      </c>
      <c r="F260" s="14">
        <v>0</v>
      </c>
      <c r="G260" s="17">
        <f t="shared" ref="G260:G279" si="4">SUM(B260,C260,D260,E260,F260)</f>
        <v>0</v>
      </c>
      <c r="H260" s="2" t="str">
        <f>VLOOKUP(A260,Constants!$A:$C,2,FALSE)</f>
        <v>Stock Item Detail</v>
      </c>
      <c r="I260" s="2"/>
      <c r="J260" s="2"/>
    </row>
    <row r="261" spans="1:10">
      <c r="A261" s="13" t="s">
        <v>521</v>
      </c>
      <c r="B261" s="14">
        <v>0</v>
      </c>
      <c r="C261" s="14">
        <v>0</v>
      </c>
      <c r="D261" s="14">
        <v>0</v>
      </c>
      <c r="E261" s="14">
        <v>0</v>
      </c>
      <c r="F261" s="14">
        <v>0</v>
      </c>
      <c r="G261" s="17">
        <f t="shared" si="4"/>
        <v>0</v>
      </c>
      <c r="H261" s="2" t="str">
        <f>VLOOKUP(A261,Constants!$A:$C,2,FALSE)</f>
        <v>Stock Transaction</v>
      </c>
      <c r="I261" s="2"/>
      <c r="J261" s="2"/>
    </row>
    <row r="262" spans="1:10">
      <c r="A262" s="13" t="s">
        <v>523</v>
      </c>
      <c r="B262" s="14">
        <v>0</v>
      </c>
      <c r="C262" s="14">
        <v>0</v>
      </c>
      <c r="D262" s="14">
        <v>0</v>
      </c>
      <c r="E262" s="14">
        <v>0</v>
      </c>
      <c r="F262" s="14">
        <v>0</v>
      </c>
      <c r="G262" s="17">
        <f t="shared" si="4"/>
        <v>0</v>
      </c>
      <c r="H262" s="2" t="str">
        <f>VLOOKUP(A262,Constants!$A:$C,2,FALSE)</f>
        <v>Service History</v>
      </c>
      <c r="I262" s="2"/>
      <c r="J262" s="2"/>
    </row>
    <row r="263" spans="1:10">
      <c r="A263" s="13" t="s">
        <v>525</v>
      </c>
      <c r="B263" s="14">
        <v>0</v>
      </c>
      <c r="C263" s="14">
        <v>0</v>
      </c>
      <c r="D263" s="14">
        <v>0</v>
      </c>
      <c r="E263" s="14">
        <v>0</v>
      </c>
      <c r="F263" s="14">
        <v>0</v>
      </c>
      <c r="G263" s="17">
        <f t="shared" si="4"/>
        <v>0</v>
      </c>
      <c r="H263" s="2" t="str">
        <f>VLOOKUP(A263,Constants!$A:$C,2,FALSE)</f>
        <v>Timesheet</v>
      </c>
      <c r="I263" s="2"/>
      <c r="J263" s="2"/>
    </row>
    <row r="264" spans="1:10">
      <c r="A264" s="13" t="s">
        <v>527</v>
      </c>
      <c r="B264" s="14">
        <v>0</v>
      </c>
      <c r="C264" s="14">
        <v>0</v>
      </c>
      <c r="D264" s="14">
        <v>0</v>
      </c>
      <c r="E264" s="14">
        <v>0</v>
      </c>
      <c r="F264" s="14">
        <v>0</v>
      </c>
      <c r="G264" s="17">
        <f t="shared" si="4"/>
        <v>0</v>
      </c>
      <c r="H264" s="2" t="str">
        <f>VLOOKUP(A264,Constants!$A:$C,2,FALSE)</f>
        <v>Timesheet Detail</v>
      </c>
      <c r="I264" s="2"/>
      <c r="J264" s="2"/>
    </row>
    <row r="265" spans="1:10">
      <c r="A265" s="13" t="s">
        <v>529</v>
      </c>
      <c r="B265" s="14">
        <v>0</v>
      </c>
      <c r="C265" s="14">
        <v>0</v>
      </c>
      <c r="D265" s="14">
        <v>0</v>
      </c>
      <c r="E265" s="14">
        <v>0</v>
      </c>
      <c r="F265" s="14">
        <v>0</v>
      </c>
      <c r="G265" s="17">
        <f t="shared" si="4"/>
        <v>0</v>
      </c>
      <c r="H265" s="2" t="str">
        <f>VLOOKUP(A265,Constants!$A:$C,2,FALSE)</f>
        <v>Template Activity</v>
      </c>
      <c r="I265" s="2"/>
      <c r="J265" s="2"/>
    </row>
    <row r="266" spans="1:10">
      <c r="A266" s="13" t="s">
        <v>531</v>
      </c>
      <c r="B266" s="14">
        <v>0</v>
      </c>
      <c r="C266" s="14">
        <v>0</v>
      </c>
      <c r="D266" s="14">
        <v>0</v>
      </c>
      <c r="E266" s="14">
        <v>0</v>
      </c>
      <c r="F266" s="14">
        <v>0</v>
      </c>
      <c r="G266" s="17">
        <f t="shared" si="4"/>
        <v>0</v>
      </c>
      <c r="H266" s="2" t="str">
        <f>VLOOKUP(A266,Constants!$A:$C,2,FALSE)</f>
        <v>Template Activity Resource</v>
      </c>
      <c r="I266" s="2"/>
      <c r="J266" s="2"/>
    </row>
    <row r="267" spans="1:10">
      <c r="A267" s="13" t="s">
        <v>533</v>
      </c>
      <c r="B267" s="14">
        <v>0</v>
      </c>
      <c r="C267" s="14">
        <v>0</v>
      </c>
      <c r="D267" s="14">
        <v>0</v>
      </c>
      <c r="E267" s="14">
        <v>0</v>
      </c>
      <c r="F267" s="14">
        <v>0</v>
      </c>
      <c r="G267" s="17">
        <f t="shared" si="4"/>
        <v>0</v>
      </c>
      <c r="H267" s="2" t="str">
        <f>VLOOKUP(A267,Constants!$A:$C,2,FALSE)</f>
        <v>Template Work Order</v>
      </c>
      <c r="I267" s="2"/>
      <c r="J267" s="2"/>
    </row>
    <row r="268" spans="1:10">
      <c r="A268" s="13" t="s">
        <v>535</v>
      </c>
      <c r="B268" s="14">
        <v>0</v>
      </c>
      <c r="C268" s="14">
        <v>0</v>
      </c>
      <c r="D268" s="14">
        <v>0</v>
      </c>
      <c r="E268" s="14">
        <v>0</v>
      </c>
      <c r="F268" s="14">
        <v>0</v>
      </c>
      <c r="G268" s="17">
        <f t="shared" si="4"/>
        <v>0</v>
      </c>
      <c r="H268" s="2" t="str">
        <f>VLOOKUP(A268,Constants!$A:$C,2,FALSE)</f>
        <v>Vendor</v>
      </c>
      <c r="I268" s="2"/>
      <c r="J268" s="2"/>
    </row>
    <row r="269" spans="1:10">
      <c r="A269" s="13" t="s">
        <v>537</v>
      </c>
      <c r="B269" s="14">
        <v>0</v>
      </c>
      <c r="C269" s="14">
        <v>0</v>
      </c>
      <c r="D269" s="14">
        <v>0</v>
      </c>
      <c r="E269" s="14">
        <v>0</v>
      </c>
      <c r="F269" s="14">
        <v>0</v>
      </c>
      <c r="G269" s="17">
        <f t="shared" si="4"/>
        <v>0</v>
      </c>
      <c r="H269" s="2" t="str">
        <f>VLOOKUP(A269,Constants!$A:$C,2,FALSE)</f>
        <v>Vendor Location</v>
      </c>
      <c r="I269" s="2"/>
      <c r="J269" s="2"/>
    </row>
    <row r="270" spans="1:10">
      <c r="A270" s="13" t="s">
        <v>539</v>
      </c>
      <c r="B270" s="14">
        <v>0</v>
      </c>
      <c r="C270" s="14">
        <v>0</v>
      </c>
      <c r="D270" s="14">
        <v>0</v>
      </c>
      <c r="E270" s="14">
        <v>0</v>
      </c>
      <c r="F270" s="14">
        <v>0</v>
      </c>
      <c r="G270" s="17">
        <f t="shared" si="4"/>
        <v>0</v>
      </c>
      <c r="H270" s="2" t="str">
        <f>VLOOKUP(A270,Constants!$A:$C,2,FALSE)</f>
        <v>Warranty</v>
      </c>
      <c r="I270" s="2"/>
      <c r="J270" s="2"/>
    </row>
    <row r="271" spans="1:10">
      <c r="A271" s="13" t="s">
        <v>541</v>
      </c>
      <c r="B271" s="14">
        <v>3</v>
      </c>
      <c r="C271" s="14">
        <v>0</v>
      </c>
      <c r="D271" s="14">
        <v>0</v>
      </c>
      <c r="E271" s="14">
        <v>0</v>
      </c>
      <c r="F271" s="14">
        <v>0</v>
      </c>
      <c r="G271" s="17">
        <f t="shared" si="4"/>
        <v>3</v>
      </c>
      <c r="H271" s="2" t="str">
        <f>VLOOKUP(A271,Constants!$A:$C,2,FALSE)</f>
        <v>Work Order</v>
      </c>
      <c r="I271" s="2"/>
      <c r="J271" s="2"/>
    </row>
    <row r="272" spans="1:10">
      <c r="A272" s="13" t="s">
        <v>543</v>
      </c>
      <c r="B272" s="14">
        <v>0</v>
      </c>
      <c r="C272" s="14">
        <v>0</v>
      </c>
      <c r="D272" s="14">
        <v>0</v>
      </c>
      <c r="E272" s="14">
        <v>0</v>
      </c>
      <c r="F272" s="14">
        <v>0</v>
      </c>
      <c r="G272" s="17">
        <f t="shared" si="4"/>
        <v>0</v>
      </c>
      <c r="H272" s="2" t="str">
        <f>VLOOKUP(A272,Constants!$A:$C,2,FALSE)</f>
        <v>Work Design</v>
      </c>
      <c r="I272" s="2"/>
      <c r="J272" s="2"/>
    </row>
    <row r="273" spans="1:10">
      <c r="A273" s="13" t="s">
        <v>545</v>
      </c>
      <c r="B273" s="14">
        <v>0</v>
      </c>
      <c r="C273" s="14">
        <v>0</v>
      </c>
      <c r="D273" s="14">
        <v>0</v>
      </c>
      <c r="E273" s="14">
        <v>0</v>
      </c>
      <c r="F273" s="14">
        <v>0</v>
      </c>
      <c r="G273" s="17">
        <f t="shared" si="4"/>
        <v>0</v>
      </c>
      <c r="H273" s="2" t="str">
        <f>VLOOKUP(A273,Constants!$A:$C,2,FALSE)</f>
        <v>Work Location</v>
      </c>
      <c r="I273" s="2"/>
      <c r="J273" s="2"/>
    </row>
    <row r="274" spans="1:10">
      <c r="A274" s="13" t="s">
        <v>547</v>
      </c>
      <c r="B274" s="14">
        <v>0</v>
      </c>
      <c r="C274" s="14">
        <v>0</v>
      </c>
      <c r="D274" s="14">
        <v>0</v>
      </c>
      <c r="E274" s="14">
        <v>0</v>
      </c>
      <c r="F274" s="14">
        <v>0</v>
      </c>
      <c r="G274" s="17">
        <f t="shared" si="4"/>
        <v>0</v>
      </c>
      <c r="H274" s="2" t="str">
        <f>VLOOKUP(A274,Constants!$A:$C,2,FALSE)</f>
        <v>Work Request</v>
      </c>
      <c r="I274" s="2"/>
      <c r="J274" s="2"/>
    </row>
    <row r="275" spans="1:10">
      <c r="A275" s="13" t="s">
        <v>196</v>
      </c>
      <c r="B275" s="14"/>
      <c r="C275" s="14"/>
      <c r="D275" s="14"/>
      <c r="E275" s="14">
        <v>0</v>
      </c>
      <c r="F275" s="14"/>
      <c r="G275" s="17">
        <f t="shared" si="4"/>
        <v>0</v>
      </c>
      <c r="H275" s="2" t="str">
        <f>VLOOKUP(A275,Constants!$A:$C,2,FALSE)</f>
        <v>Service Provider - CCB</v>
      </c>
      <c r="I275" s="2"/>
      <c r="J275" s="2"/>
    </row>
    <row r="276" spans="1:10">
      <c r="A276" s="13" t="s">
        <v>267</v>
      </c>
      <c r="B276" s="14"/>
      <c r="C276" s="14"/>
      <c r="D276" s="14"/>
      <c r="E276" s="14">
        <v>0</v>
      </c>
      <c r="F276" s="14"/>
      <c r="G276" s="17">
        <f t="shared" si="4"/>
        <v>0</v>
      </c>
      <c r="H276" s="2" t="str">
        <f>VLOOKUP(A276,Constants!$A:$C,2,FALSE)</f>
        <v>Event Participation</v>
      </c>
      <c r="I276" s="2"/>
      <c r="J276" s="2"/>
    </row>
    <row r="277" spans="1:10">
      <c r="A277" s="13" t="s">
        <v>329</v>
      </c>
      <c r="B277" s="14"/>
      <c r="C277" s="14"/>
      <c r="D277" s="14"/>
      <c r="E277" s="14">
        <v>0</v>
      </c>
      <c r="F277" s="14"/>
      <c r="G277" s="17">
        <f t="shared" si="4"/>
        <v>0</v>
      </c>
      <c r="H277" s="2" t="str">
        <f>VLOOKUP(A277,Constants!$A:$C,2,FALSE)</f>
        <v>Batch Run Analytics Snapshot</v>
      </c>
      <c r="I277" s="2"/>
      <c r="J277" s="2"/>
    </row>
    <row r="278" spans="1:10">
      <c r="A278" s="13" t="s">
        <v>332</v>
      </c>
      <c r="B278" s="14"/>
      <c r="C278" s="14"/>
      <c r="D278" s="14"/>
      <c r="E278" s="14">
        <v>0</v>
      </c>
      <c r="F278" s="14"/>
      <c r="G278" s="17">
        <f t="shared" si="4"/>
        <v>0</v>
      </c>
      <c r="H278" s="2" t="str">
        <f>VLOOKUP(A278,Constants!$A:$C,2,FALSE)</f>
        <v>Batch Thread Analytics Snapshot</v>
      </c>
      <c r="I278" s="2"/>
      <c r="J278" s="2"/>
    </row>
    <row r="279" spans="1:10">
      <c r="A279" s="13" t="s">
        <v>565</v>
      </c>
      <c r="B279" s="14">
        <v>124534458</v>
      </c>
      <c r="C279" s="14">
        <v>14903796</v>
      </c>
      <c r="D279" s="14">
        <v>17545023</v>
      </c>
      <c r="E279" s="14">
        <v>76034132</v>
      </c>
      <c r="F279" s="14">
        <v>13783055</v>
      </c>
      <c r="G279" s="17">
        <f t="shared" si="4"/>
        <v>246800464</v>
      </c>
      <c r="H279" s="2" t="e">
        <f>VLOOKUP(A279,Constants!$A:$C,2,FALSE)</f>
        <v>#N/A</v>
      </c>
      <c r="I279" s="2"/>
      <c r="J27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E65A-1F62-4C06-A32B-0C9DF06ED571}">
  <sheetPr filterMode="1"/>
  <dimension ref="A1:O315"/>
  <sheetViews>
    <sheetView zoomScaleNormal="100" workbookViewId="0">
      <pane xSplit="2" ySplit="1" topLeftCell="J148" activePane="bottomRight" state="frozen"/>
      <selection pane="bottomRight" activeCell="J302" sqref="J302"/>
      <selection pane="bottomLeft" activeCell="B4" sqref="B4"/>
      <selection pane="topRight" activeCell="B4" sqref="B4"/>
    </sheetView>
  </sheetViews>
  <sheetFormatPr defaultColWidth="9.140625" defaultRowHeight="12.75" outlineLevelCol="1"/>
  <cols>
    <col min="1" max="1" width="32" style="82" bestFit="1" customWidth="1"/>
    <col min="2" max="2" width="25.140625" style="82" customWidth="1"/>
    <col min="3" max="3" width="13.85546875" style="207" hidden="1" customWidth="1" outlineLevel="1"/>
    <col min="4" max="4" width="15" style="207" hidden="1" customWidth="1" outlineLevel="1"/>
    <col min="5" max="5" width="14" style="207" hidden="1" customWidth="1" outlineLevel="1"/>
    <col min="6" max="6" width="18.28515625" style="207" hidden="1" customWidth="1" outlineLevel="1"/>
    <col min="7" max="7" width="12.28515625" style="207" hidden="1" customWidth="1" outlineLevel="1"/>
    <col min="8" max="8" width="13.85546875" style="207" bestFit="1" customWidth="1" collapsed="1"/>
    <col min="9" max="9" width="16" style="82" customWidth="1"/>
    <col min="10" max="10" width="28.85546875" style="82" customWidth="1"/>
    <col min="11" max="11" width="18.85546875" style="82" hidden="1" customWidth="1"/>
    <col min="12" max="12" width="36.5703125" style="82" bestFit="1" customWidth="1"/>
    <col min="13" max="13" width="33.5703125" style="82" customWidth="1"/>
    <col min="14" max="14" width="11.85546875" style="82" customWidth="1"/>
    <col min="15" max="15" width="47.28515625" style="82" customWidth="1"/>
    <col min="16" max="16384" width="9.140625" style="82"/>
  </cols>
  <sheetData>
    <row r="1" spans="1:15">
      <c r="A1" s="83" t="s">
        <v>550</v>
      </c>
      <c r="B1" s="83" t="s">
        <v>552</v>
      </c>
      <c r="C1" s="205" t="s">
        <v>558</v>
      </c>
      <c r="D1" s="205" t="s">
        <v>557</v>
      </c>
      <c r="E1" s="205" t="s">
        <v>556</v>
      </c>
      <c r="F1" s="205" t="s">
        <v>555</v>
      </c>
      <c r="G1" s="205" t="s">
        <v>554</v>
      </c>
      <c r="H1" s="205" t="s">
        <v>562</v>
      </c>
      <c r="I1" s="83" t="s">
        <v>566</v>
      </c>
      <c r="J1" s="83" t="s">
        <v>564</v>
      </c>
      <c r="K1" s="84" t="s">
        <v>567</v>
      </c>
      <c r="L1" s="84" t="s">
        <v>568</v>
      </c>
      <c r="M1" s="84" t="s">
        <v>569</v>
      </c>
      <c r="N1" s="84" t="s">
        <v>570</v>
      </c>
      <c r="O1" s="94" t="s">
        <v>571</v>
      </c>
    </row>
    <row r="2" spans="1:15" s="23" customFormat="1" hidden="1">
      <c r="A2" s="96" t="s">
        <v>6</v>
      </c>
      <c r="B2" s="96" t="s">
        <v>7</v>
      </c>
      <c r="C2" s="97">
        <v>0</v>
      </c>
      <c r="D2" s="97">
        <v>0</v>
      </c>
      <c r="E2" s="97">
        <v>0</v>
      </c>
      <c r="F2" s="97">
        <v>0</v>
      </c>
      <c r="G2" s="97">
        <v>0</v>
      </c>
      <c r="H2" s="97">
        <v>0</v>
      </c>
      <c r="I2" s="96"/>
      <c r="J2" s="96"/>
      <c r="K2" s="96"/>
      <c r="L2" s="96"/>
      <c r="M2" s="96"/>
      <c r="N2" s="98"/>
      <c r="O2" s="49"/>
    </row>
    <row r="3" spans="1:15" s="23" customFormat="1" hidden="1">
      <c r="A3" s="96" t="s">
        <v>3</v>
      </c>
      <c r="B3" s="96" t="s">
        <v>4</v>
      </c>
      <c r="C3" s="97">
        <v>0</v>
      </c>
      <c r="D3" s="97">
        <v>0</v>
      </c>
      <c r="E3" s="97">
        <v>0</v>
      </c>
      <c r="F3" s="97">
        <v>0</v>
      </c>
      <c r="G3" s="97">
        <v>0</v>
      </c>
      <c r="H3" s="97">
        <v>0</v>
      </c>
      <c r="I3" s="96"/>
      <c r="J3" s="96"/>
      <c r="K3" s="96"/>
      <c r="L3" s="96"/>
      <c r="M3" s="96"/>
      <c r="N3" s="98"/>
      <c r="O3" s="49"/>
    </row>
    <row r="4" spans="1:15" hidden="1">
      <c r="A4" s="85" t="s">
        <v>8</v>
      </c>
      <c r="B4" s="85" t="s">
        <v>9</v>
      </c>
      <c r="C4" s="206">
        <v>0</v>
      </c>
      <c r="D4" s="206">
        <v>0</v>
      </c>
      <c r="E4" s="206">
        <v>500256</v>
      </c>
      <c r="F4" s="206">
        <v>0</v>
      </c>
      <c r="G4" s="206">
        <v>0</v>
      </c>
      <c r="H4" s="206">
        <v>500256</v>
      </c>
      <c r="I4" s="85" t="s">
        <v>572</v>
      </c>
      <c r="J4" s="85" t="s">
        <v>573</v>
      </c>
      <c r="K4" s="96"/>
      <c r="L4" s="85"/>
      <c r="M4" s="85" t="s">
        <v>574</v>
      </c>
      <c r="N4" s="93"/>
      <c r="O4" s="87"/>
    </row>
    <row r="5" spans="1:15" s="23" customFormat="1" hidden="1">
      <c r="A5" s="96" t="s">
        <v>10</v>
      </c>
      <c r="B5" s="96" t="s">
        <v>11</v>
      </c>
      <c r="C5" s="97">
        <v>0</v>
      </c>
      <c r="D5" s="97">
        <v>0</v>
      </c>
      <c r="E5" s="97">
        <v>0</v>
      </c>
      <c r="F5" s="97">
        <v>0</v>
      </c>
      <c r="G5" s="97">
        <v>0</v>
      </c>
      <c r="H5" s="97">
        <v>0</v>
      </c>
      <c r="I5" s="96"/>
      <c r="J5" s="96"/>
      <c r="K5" s="96"/>
      <c r="L5" s="96"/>
      <c r="M5" s="96"/>
      <c r="N5" s="98"/>
      <c r="O5" s="49"/>
    </row>
    <row r="6" spans="1:15" hidden="1">
      <c r="A6" s="85" t="s">
        <v>12</v>
      </c>
      <c r="B6" s="85" t="s">
        <v>13</v>
      </c>
      <c r="C6" s="206">
        <v>1618</v>
      </c>
      <c r="D6" s="206">
        <v>5286</v>
      </c>
      <c r="E6" s="206">
        <v>7504</v>
      </c>
      <c r="F6" s="206">
        <v>31</v>
      </c>
      <c r="G6" s="206">
        <v>2031</v>
      </c>
      <c r="H6" s="206">
        <v>16470</v>
      </c>
      <c r="I6" s="85" t="s">
        <v>575</v>
      </c>
      <c r="J6" s="85" t="s">
        <v>576</v>
      </c>
      <c r="K6" s="85"/>
      <c r="L6" s="85" t="s">
        <v>577</v>
      </c>
      <c r="M6" s="85"/>
      <c r="N6" s="93"/>
      <c r="O6" s="87"/>
    </row>
    <row r="7" spans="1:15" hidden="1">
      <c r="A7" s="85" t="s">
        <v>14</v>
      </c>
      <c r="B7" s="85" t="s">
        <v>15</v>
      </c>
      <c r="C7" s="206">
        <v>713</v>
      </c>
      <c r="D7" s="206">
        <v>4856</v>
      </c>
      <c r="E7" s="206">
        <v>6151</v>
      </c>
      <c r="F7" s="206">
        <v>0</v>
      </c>
      <c r="G7" s="206">
        <v>1569</v>
      </c>
      <c r="H7" s="206">
        <v>13289</v>
      </c>
      <c r="I7" s="85" t="s">
        <v>575</v>
      </c>
      <c r="J7" s="85" t="s">
        <v>576</v>
      </c>
      <c r="K7" s="85"/>
      <c r="L7" s="85" t="s">
        <v>577</v>
      </c>
      <c r="M7" s="85"/>
      <c r="N7" s="93"/>
      <c r="O7" s="87"/>
    </row>
    <row r="8" spans="1:15" s="23" customFormat="1" hidden="1">
      <c r="A8" s="96" t="s">
        <v>16</v>
      </c>
      <c r="B8" s="96" t="s">
        <v>17</v>
      </c>
      <c r="C8" s="97">
        <v>0</v>
      </c>
      <c r="D8" s="97">
        <v>0</v>
      </c>
      <c r="E8" s="97">
        <v>0</v>
      </c>
      <c r="F8" s="97">
        <v>0</v>
      </c>
      <c r="G8" s="97">
        <v>0</v>
      </c>
      <c r="H8" s="97">
        <v>0</v>
      </c>
      <c r="I8" s="96"/>
      <c r="J8" s="96"/>
      <c r="K8" s="96"/>
      <c r="L8" s="96"/>
      <c r="M8" s="96"/>
      <c r="N8" s="98"/>
      <c r="O8" s="49"/>
    </row>
    <row r="9" spans="1:15" s="23" customFormat="1" hidden="1">
      <c r="A9" s="96" t="s">
        <v>18</v>
      </c>
      <c r="B9" s="96" t="s">
        <v>19</v>
      </c>
      <c r="C9" s="97">
        <v>0</v>
      </c>
      <c r="D9" s="97">
        <v>0</v>
      </c>
      <c r="E9" s="97">
        <v>0</v>
      </c>
      <c r="F9" s="97">
        <v>0</v>
      </c>
      <c r="G9" s="97">
        <v>0</v>
      </c>
      <c r="H9" s="97">
        <v>0</v>
      </c>
      <c r="I9" s="96"/>
      <c r="J9" s="96"/>
      <c r="K9" s="96"/>
      <c r="L9" s="96"/>
      <c r="M9" s="96"/>
      <c r="N9" s="98"/>
      <c r="O9" s="49"/>
    </row>
    <row r="10" spans="1:15" hidden="1">
      <c r="A10" s="85" t="s">
        <v>20</v>
      </c>
      <c r="B10" s="85" t="s">
        <v>21</v>
      </c>
      <c r="C10" s="206">
        <v>722</v>
      </c>
      <c r="D10" s="206">
        <v>5079</v>
      </c>
      <c r="E10" s="206">
        <v>5557</v>
      </c>
      <c r="F10" s="206">
        <v>0</v>
      </c>
      <c r="G10" s="206">
        <v>1558</v>
      </c>
      <c r="H10" s="206">
        <v>12916</v>
      </c>
      <c r="I10" s="85" t="s">
        <v>575</v>
      </c>
      <c r="J10" s="85" t="s">
        <v>576</v>
      </c>
      <c r="K10" s="85"/>
      <c r="L10" s="85" t="s">
        <v>577</v>
      </c>
      <c r="M10" s="85"/>
      <c r="N10" s="93"/>
      <c r="O10" s="87"/>
    </row>
    <row r="11" spans="1:15" hidden="1">
      <c r="A11" s="85" t="s">
        <v>22</v>
      </c>
      <c r="B11" s="85" t="s">
        <v>23</v>
      </c>
      <c r="C11" s="206">
        <v>684</v>
      </c>
      <c r="D11" s="206">
        <v>4766</v>
      </c>
      <c r="E11" s="206">
        <v>5421</v>
      </c>
      <c r="F11" s="206">
        <v>0</v>
      </c>
      <c r="G11" s="206">
        <v>1784</v>
      </c>
      <c r="H11" s="206">
        <v>12655</v>
      </c>
      <c r="I11" s="85" t="s">
        <v>575</v>
      </c>
      <c r="J11" s="85" t="s">
        <v>576</v>
      </c>
      <c r="K11" s="85"/>
      <c r="L11" s="85" t="s">
        <v>577</v>
      </c>
      <c r="M11" s="85"/>
      <c r="N11" s="93"/>
      <c r="O11" s="87"/>
    </row>
    <row r="12" spans="1:15" hidden="1">
      <c r="A12" s="85" t="s">
        <v>24</v>
      </c>
      <c r="B12" s="85" t="s">
        <v>25</v>
      </c>
      <c r="C12" s="206">
        <v>2091</v>
      </c>
      <c r="D12" s="206">
        <v>14404</v>
      </c>
      <c r="E12" s="206">
        <v>18037</v>
      </c>
      <c r="F12" s="206">
        <v>0</v>
      </c>
      <c r="G12" s="206">
        <v>4857</v>
      </c>
      <c r="H12" s="206">
        <v>39389</v>
      </c>
      <c r="I12" s="85" t="s">
        <v>575</v>
      </c>
      <c r="J12" s="85" t="s">
        <v>576</v>
      </c>
      <c r="K12" s="85"/>
      <c r="L12" s="85" t="s">
        <v>577</v>
      </c>
      <c r="M12" s="85"/>
      <c r="N12" s="93"/>
      <c r="O12" s="87"/>
    </row>
    <row r="13" spans="1:15" s="23" customFormat="1" hidden="1">
      <c r="A13" s="96" t="s">
        <v>26</v>
      </c>
      <c r="B13" s="96" t="s">
        <v>27</v>
      </c>
      <c r="C13" s="97">
        <v>0</v>
      </c>
      <c r="D13" s="97">
        <v>0</v>
      </c>
      <c r="E13" s="97">
        <v>0</v>
      </c>
      <c r="F13" s="97">
        <v>0</v>
      </c>
      <c r="G13" s="97">
        <v>0</v>
      </c>
      <c r="H13" s="97">
        <v>0</v>
      </c>
      <c r="I13" s="96"/>
      <c r="J13" s="96"/>
      <c r="K13" s="96"/>
      <c r="L13" s="96"/>
      <c r="M13" s="96"/>
      <c r="N13" s="98"/>
      <c r="O13" s="49"/>
    </row>
    <row r="14" spans="1:15" s="23" customFormat="1" hidden="1">
      <c r="A14" s="96" t="s">
        <v>28</v>
      </c>
      <c r="B14" s="96" t="s">
        <v>29</v>
      </c>
      <c r="C14" s="97">
        <v>0</v>
      </c>
      <c r="D14" s="97">
        <v>0</v>
      </c>
      <c r="E14" s="97">
        <v>0</v>
      </c>
      <c r="F14" s="97">
        <v>0</v>
      </c>
      <c r="G14" s="97">
        <v>0</v>
      </c>
      <c r="H14" s="97">
        <v>0</v>
      </c>
      <c r="I14" s="96"/>
      <c r="J14" s="96"/>
      <c r="K14" s="96"/>
      <c r="L14" s="96"/>
      <c r="M14" s="96"/>
      <c r="N14" s="98"/>
      <c r="O14" s="49"/>
    </row>
    <row r="15" spans="1:15" s="23" customFormat="1" hidden="1">
      <c r="A15" s="96" t="s">
        <v>30</v>
      </c>
      <c r="B15" s="96" t="s">
        <v>31</v>
      </c>
      <c r="C15" s="97">
        <v>0</v>
      </c>
      <c r="D15" s="97">
        <v>0</v>
      </c>
      <c r="E15" s="97">
        <v>0</v>
      </c>
      <c r="F15" s="97">
        <v>0</v>
      </c>
      <c r="G15" s="97">
        <v>0</v>
      </c>
      <c r="H15" s="97">
        <v>0</v>
      </c>
      <c r="I15" s="96"/>
      <c r="J15" s="96"/>
      <c r="K15" s="96"/>
      <c r="L15" s="96"/>
      <c r="M15" s="96"/>
      <c r="N15" s="98"/>
      <c r="O15" s="49"/>
    </row>
    <row r="16" spans="1:15" s="23" customFormat="1" hidden="1">
      <c r="A16" s="96" t="s">
        <v>32</v>
      </c>
      <c r="B16" s="96" t="s">
        <v>33</v>
      </c>
      <c r="C16" s="97">
        <v>0</v>
      </c>
      <c r="D16" s="97">
        <v>0</v>
      </c>
      <c r="E16" s="97">
        <v>0</v>
      </c>
      <c r="F16" s="97">
        <v>0</v>
      </c>
      <c r="G16" s="97">
        <v>0</v>
      </c>
      <c r="H16" s="97">
        <v>0</v>
      </c>
      <c r="I16" s="96"/>
      <c r="J16" s="96"/>
      <c r="K16" s="96"/>
      <c r="L16" s="96"/>
      <c r="M16" s="96"/>
      <c r="N16" s="98"/>
      <c r="O16" s="49"/>
    </row>
    <row r="17" spans="1:15" s="23" customFormat="1" hidden="1">
      <c r="A17" s="96" t="s">
        <v>40</v>
      </c>
      <c r="B17" s="96" t="s">
        <v>41</v>
      </c>
      <c r="C17" s="97">
        <v>0</v>
      </c>
      <c r="D17" s="97">
        <v>0</v>
      </c>
      <c r="E17" s="97">
        <v>0</v>
      </c>
      <c r="F17" s="97">
        <v>0</v>
      </c>
      <c r="G17" s="97">
        <v>0</v>
      </c>
      <c r="H17" s="97">
        <v>0</v>
      </c>
      <c r="I17" s="96"/>
      <c r="J17" s="96"/>
      <c r="K17" s="96"/>
      <c r="L17" s="96"/>
      <c r="M17" s="96"/>
      <c r="N17" s="98"/>
      <c r="O17" s="49"/>
    </row>
    <row r="18" spans="1:15" s="23" customFormat="1" hidden="1">
      <c r="A18" s="96" t="s">
        <v>34</v>
      </c>
      <c r="B18" s="96" t="s">
        <v>35</v>
      </c>
      <c r="C18" s="97">
        <v>0</v>
      </c>
      <c r="D18" s="97">
        <v>0</v>
      </c>
      <c r="E18" s="97">
        <v>0</v>
      </c>
      <c r="F18" s="97">
        <v>0</v>
      </c>
      <c r="G18" s="97">
        <v>0</v>
      </c>
      <c r="H18" s="97">
        <v>0</v>
      </c>
      <c r="I18" s="96"/>
      <c r="J18" s="96"/>
      <c r="K18" s="96"/>
      <c r="L18" s="96"/>
      <c r="M18" s="96"/>
      <c r="N18" s="98"/>
      <c r="O18" s="49"/>
    </row>
    <row r="19" spans="1:15" s="23" customFormat="1" hidden="1">
      <c r="A19" s="96" t="s">
        <v>36</v>
      </c>
      <c r="B19" s="96" t="s">
        <v>37</v>
      </c>
      <c r="C19" s="97">
        <v>0</v>
      </c>
      <c r="D19" s="97">
        <v>0</v>
      </c>
      <c r="E19" s="97">
        <v>0</v>
      </c>
      <c r="F19" s="97">
        <v>0</v>
      </c>
      <c r="G19" s="97">
        <v>0</v>
      </c>
      <c r="H19" s="97">
        <v>0</v>
      </c>
      <c r="I19" s="96"/>
      <c r="J19" s="96"/>
      <c r="K19" s="96"/>
      <c r="L19" s="96"/>
      <c r="M19" s="96"/>
      <c r="N19" s="98"/>
      <c r="O19" s="49"/>
    </row>
    <row r="20" spans="1:15" s="23" customFormat="1" hidden="1">
      <c r="A20" s="96" t="s">
        <v>38</v>
      </c>
      <c r="B20" s="96" t="s">
        <v>39</v>
      </c>
      <c r="C20" s="97">
        <v>0</v>
      </c>
      <c r="D20" s="97">
        <v>0</v>
      </c>
      <c r="E20" s="97">
        <v>0</v>
      </c>
      <c r="F20" s="97">
        <v>0</v>
      </c>
      <c r="G20" s="97">
        <v>0</v>
      </c>
      <c r="H20" s="97">
        <v>0</v>
      </c>
      <c r="I20" s="96"/>
      <c r="J20" s="96"/>
      <c r="K20" s="96"/>
      <c r="L20" s="96"/>
      <c r="M20" s="96"/>
      <c r="N20" s="98"/>
      <c r="O20" s="49"/>
    </row>
    <row r="21" spans="1:15" s="23" customFormat="1" hidden="1">
      <c r="A21" s="96" t="s">
        <v>42</v>
      </c>
      <c r="B21" s="96" t="s">
        <v>43</v>
      </c>
      <c r="C21" s="97">
        <v>0</v>
      </c>
      <c r="D21" s="97">
        <v>0</v>
      </c>
      <c r="E21" s="97">
        <v>0</v>
      </c>
      <c r="F21" s="97">
        <v>0</v>
      </c>
      <c r="G21" s="97">
        <v>0</v>
      </c>
      <c r="H21" s="97">
        <v>0</v>
      </c>
      <c r="I21" s="96"/>
      <c r="J21" s="96"/>
      <c r="K21" s="96"/>
      <c r="L21" s="96"/>
      <c r="M21" s="96"/>
      <c r="N21" s="98"/>
      <c r="O21" s="49"/>
    </row>
    <row r="22" spans="1:15" ht="51" hidden="1">
      <c r="A22" s="85" t="s">
        <v>44</v>
      </c>
      <c r="B22" s="85" t="s">
        <v>45</v>
      </c>
      <c r="C22" s="206">
        <v>52675</v>
      </c>
      <c r="D22" s="206">
        <v>169</v>
      </c>
      <c r="E22" s="206">
        <v>36816</v>
      </c>
      <c r="F22" s="206">
        <v>6073</v>
      </c>
      <c r="G22" s="206">
        <v>9</v>
      </c>
      <c r="H22" s="206">
        <v>95742</v>
      </c>
      <c r="I22" s="85" t="s">
        <v>575</v>
      </c>
      <c r="J22" s="85" t="s">
        <v>576</v>
      </c>
      <c r="K22" s="96"/>
      <c r="L22" s="141" t="s">
        <v>578</v>
      </c>
      <c r="M22" s="85" t="s">
        <v>579</v>
      </c>
      <c r="N22" s="93"/>
      <c r="O22" s="87"/>
    </row>
    <row r="23" spans="1:15" ht="63.75" hidden="1">
      <c r="A23" s="95" t="s">
        <v>580</v>
      </c>
      <c r="B23" s="85" t="s">
        <v>47</v>
      </c>
      <c r="C23" s="206">
        <v>358</v>
      </c>
      <c r="D23" s="206">
        <v>0</v>
      </c>
      <c r="E23" s="206">
        <v>0</v>
      </c>
      <c r="F23" s="206">
        <v>1</v>
      </c>
      <c r="G23" s="206">
        <v>0</v>
      </c>
      <c r="H23" s="206">
        <v>359</v>
      </c>
      <c r="I23" s="85" t="s">
        <v>575</v>
      </c>
      <c r="J23" s="85" t="s">
        <v>573</v>
      </c>
      <c r="K23" s="96"/>
      <c r="L23" s="141" t="s">
        <v>581</v>
      </c>
      <c r="M23" s="85" t="s">
        <v>582</v>
      </c>
      <c r="N23" s="93"/>
      <c r="O23" s="87" t="s">
        <v>583</v>
      </c>
    </row>
    <row r="24" spans="1:15" s="23" customFormat="1" hidden="1">
      <c r="A24" s="96" t="s">
        <v>48</v>
      </c>
      <c r="B24" s="96" t="s">
        <v>49</v>
      </c>
      <c r="C24" s="97"/>
      <c r="D24" s="97"/>
      <c r="E24" s="97"/>
      <c r="F24" s="97">
        <v>0</v>
      </c>
      <c r="G24" s="97"/>
      <c r="H24" s="97">
        <v>0</v>
      </c>
      <c r="I24" s="96"/>
      <c r="J24" s="96"/>
      <c r="K24" s="96"/>
      <c r="L24" s="96"/>
      <c r="M24" s="96"/>
      <c r="N24" s="98"/>
      <c r="O24" s="49"/>
    </row>
    <row r="25" spans="1:15" hidden="1">
      <c r="A25" s="95" t="s">
        <v>584</v>
      </c>
      <c r="B25" s="85" t="s">
        <v>585</v>
      </c>
      <c r="C25" s="206">
        <v>15360951</v>
      </c>
      <c r="D25" s="206">
        <v>2173379</v>
      </c>
      <c r="E25" s="206">
        <v>445035</v>
      </c>
      <c r="F25" s="206">
        <v>1500648</v>
      </c>
      <c r="G25" s="206">
        <v>251992</v>
      </c>
      <c r="H25" s="206">
        <v>19732005</v>
      </c>
      <c r="I25" s="85" t="s">
        <v>586</v>
      </c>
      <c r="J25" s="85" t="s">
        <v>573</v>
      </c>
      <c r="K25" s="96"/>
      <c r="L25" s="85"/>
      <c r="M25" s="85"/>
      <c r="O25" s="87"/>
    </row>
    <row r="26" spans="1:15" s="23" customFormat="1" hidden="1">
      <c r="A26" s="96" t="s">
        <v>52</v>
      </c>
      <c r="B26" s="96" t="s">
        <v>53</v>
      </c>
      <c r="C26" s="97">
        <v>0</v>
      </c>
      <c r="D26" s="97">
        <v>0</v>
      </c>
      <c r="E26" s="97">
        <v>0</v>
      </c>
      <c r="F26" s="97">
        <v>0</v>
      </c>
      <c r="G26" s="97">
        <v>0</v>
      </c>
      <c r="H26" s="97">
        <v>0</v>
      </c>
      <c r="I26" s="96"/>
      <c r="J26" s="96"/>
      <c r="K26" s="96"/>
      <c r="L26" s="96"/>
      <c r="M26" s="96"/>
      <c r="N26" s="98"/>
      <c r="O26" s="49"/>
    </row>
    <row r="27" spans="1:15" s="23" customFormat="1" hidden="1">
      <c r="A27" s="96" t="s">
        <v>54</v>
      </c>
      <c r="B27" s="96" t="s">
        <v>55</v>
      </c>
      <c r="C27" s="97">
        <v>0</v>
      </c>
      <c r="D27" s="97">
        <v>0</v>
      </c>
      <c r="E27" s="97">
        <v>0</v>
      </c>
      <c r="F27" s="97">
        <v>0</v>
      </c>
      <c r="G27" s="97">
        <v>0</v>
      </c>
      <c r="H27" s="97">
        <v>0</v>
      </c>
      <c r="I27" s="96"/>
      <c r="J27" s="96"/>
      <c r="K27" s="96"/>
      <c r="L27" s="96"/>
      <c r="M27" s="96"/>
      <c r="N27" s="99"/>
      <c r="O27" s="49"/>
    </row>
    <row r="28" spans="1:15" hidden="1">
      <c r="A28" s="85" t="s">
        <v>56</v>
      </c>
      <c r="B28" s="85" t="s">
        <v>57</v>
      </c>
      <c r="C28" s="206">
        <v>59950</v>
      </c>
      <c r="D28" s="206">
        <v>29496</v>
      </c>
      <c r="E28" s="206">
        <v>90087</v>
      </c>
      <c r="F28" s="206">
        <v>155128</v>
      </c>
      <c r="G28" s="206">
        <v>22560</v>
      </c>
      <c r="H28" s="206">
        <v>357221</v>
      </c>
      <c r="I28" s="85" t="s">
        <v>572</v>
      </c>
      <c r="J28" s="85" t="s">
        <v>573</v>
      </c>
      <c r="K28" s="96"/>
      <c r="L28" s="85"/>
      <c r="M28" s="93"/>
      <c r="N28" s="86"/>
      <c r="O28" s="87"/>
    </row>
    <row r="29" spans="1:15" hidden="1">
      <c r="A29" s="85" t="s">
        <v>58</v>
      </c>
      <c r="B29" s="85" t="s">
        <v>59</v>
      </c>
      <c r="C29" s="206">
        <v>8715478</v>
      </c>
      <c r="D29" s="206">
        <v>557276</v>
      </c>
      <c r="E29" s="206">
        <v>328670</v>
      </c>
      <c r="F29" s="206">
        <v>2312799</v>
      </c>
      <c r="G29" s="206">
        <v>197579</v>
      </c>
      <c r="H29" s="206">
        <v>12111802</v>
      </c>
      <c r="I29" s="85" t="s">
        <v>572</v>
      </c>
      <c r="J29" s="85" t="s">
        <v>573</v>
      </c>
      <c r="K29" s="96"/>
      <c r="L29" s="85"/>
      <c r="M29" s="93"/>
      <c r="N29" s="86"/>
      <c r="O29" s="87"/>
    </row>
    <row r="30" spans="1:15" hidden="1">
      <c r="A30" s="85" t="s">
        <v>60</v>
      </c>
      <c r="B30" s="85" t="s">
        <v>61</v>
      </c>
      <c r="C30" s="206">
        <v>0</v>
      </c>
      <c r="D30" s="206">
        <v>5</v>
      </c>
      <c r="E30" s="206">
        <v>1</v>
      </c>
      <c r="F30" s="206">
        <v>0</v>
      </c>
      <c r="G30" s="206">
        <v>1</v>
      </c>
      <c r="H30" s="206">
        <v>7</v>
      </c>
      <c r="I30" s="85" t="s">
        <v>575</v>
      </c>
      <c r="J30" s="85" t="s">
        <v>576</v>
      </c>
      <c r="K30" s="96"/>
      <c r="L30" s="85" t="s">
        <v>587</v>
      </c>
      <c r="M30" s="93" t="s">
        <v>588</v>
      </c>
      <c r="N30" s="86"/>
      <c r="O30" s="87"/>
    </row>
    <row r="31" spans="1:15" hidden="1">
      <c r="A31" s="85" t="s">
        <v>62</v>
      </c>
      <c r="B31" s="85" t="s">
        <v>63</v>
      </c>
      <c r="C31" s="206">
        <v>0</v>
      </c>
      <c r="D31" s="206">
        <v>22839</v>
      </c>
      <c r="E31" s="206">
        <v>1452</v>
      </c>
      <c r="F31" s="206">
        <v>0</v>
      </c>
      <c r="G31" s="206">
        <v>1468</v>
      </c>
      <c r="H31" s="206">
        <v>25759</v>
      </c>
      <c r="I31" s="85" t="s">
        <v>575</v>
      </c>
      <c r="J31" s="85" t="s">
        <v>576</v>
      </c>
      <c r="K31" s="96"/>
      <c r="L31" s="85" t="s">
        <v>587</v>
      </c>
      <c r="M31" s="93" t="s">
        <v>588</v>
      </c>
      <c r="N31" s="86"/>
      <c r="O31" s="87"/>
    </row>
    <row r="32" spans="1:15" s="23" customFormat="1" hidden="1">
      <c r="A32" s="96" t="s">
        <v>64</v>
      </c>
      <c r="B32" s="96" t="s">
        <v>65</v>
      </c>
      <c r="C32" s="97">
        <v>0</v>
      </c>
      <c r="D32" s="97">
        <v>0</v>
      </c>
      <c r="E32" s="97">
        <v>0</v>
      </c>
      <c r="F32" s="97">
        <v>0</v>
      </c>
      <c r="G32" s="97">
        <v>0</v>
      </c>
      <c r="H32" s="97">
        <v>0</v>
      </c>
      <c r="I32" s="96"/>
      <c r="J32" s="96"/>
      <c r="K32" s="96"/>
      <c r="L32" s="96"/>
      <c r="M32" s="98"/>
      <c r="N32" s="100"/>
      <c r="O32" s="49"/>
    </row>
    <row r="33" spans="1:15" ht="38.25" hidden="1">
      <c r="A33" s="95" t="s">
        <v>589</v>
      </c>
      <c r="B33" s="85" t="s">
        <v>67</v>
      </c>
      <c r="C33" s="206">
        <v>2468</v>
      </c>
      <c r="D33" s="206">
        <v>4252</v>
      </c>
      <c r="E33" s="206">
        <v>8818</v>
      </c>
      <c r="F33" s="206">
        <v>3127</v>
      </c>
      <c r="G33" s="206">
        <v>741</v>
      </c>
      <c r="H33" s="206">
        <v>19406</v>
      </c>
      <c r="I33" s="85" t="s">
        <v>575</v>
      </c>
      <c r="J33" s="85" t="s">
        <v>573</v>
      </c>
      <c r="K33" s="96"/>
      <c r="L33" s="141" t="s">
        <v>590</v>
      </c>
      <c r="M33" s="93" t="s">
        <v>591</v>
      </c>
      <c r="N33" s="86"/>
      <c r="O33" s="87" t="s">
        <v>592</v>
      </c>
    </row>
    <row r="34" spans="1:15" ht="76.5" hidden="1">
      <c r="A34" s="85" t="s">
        <v>68</v>
      </c>
      <c r="B34" s="85" t="s">
        <v>69</v>
      </c>
      <c r="C34" s="206">
        <v>0</v>
      </c>
      <c r="D34" s="206">
        <v>0</v>
      </c>
      <c r="E34" s="206">
        <v>0</v>
      </c>
      <c r="F34" s="206">
        <v>0</v>
      </c>
      <c r="G34" s="206">
        <v>1348</v>
      </c>
      <c r="H34" s="206">
        <v>1348</v>
      </c>
      <c r="I34" s="85" t="s">
        <v>575</v>
      </c>
      <c r="J34" s="85" t="s">
        <v>576</v>
      </c>
      <c r="K34" s="96"/>
      <c r="L34" s="141" t="s">
        <v>593</v>
      </c>
      <c r="M34" s="93" t="s">
        <v>594</v>
      </c>
      <c r="N34" s="86"/>
      <c r="O34" s="87"/>
    </row>
    <row r="35" spans="1:15" ht="63.75" hidden="1">
      <c r="A35" s="85" t="s">
        <v>70</v>
      </c>
      <c r="B35" s="85" t="s">
        <v>71</v>
      </c>
      <c r="C35" s="206">
        <v>21</v>
      </c>
      <c r="D35" s="206">
        <v>21</v>
      </c>
      <c r="E35" s="206">
        <v>15</v>
      </c>
      <c r="F35" s="206">
        <v>14</v>
      </c>
      <c r="G35" s="206">
        <v>10</v>
      </c>
      <c r="H35" s="206">
        <v>81</v>
      </c>
      <c r="I35" s="85" t="s">
        <v>575</v>
      </c>
      <c r="J35" s="85" t="s">
        <v>576</v>
      </c>
      <c r="K35" s="96"/>
      <c r="L35" s="141" t="s">
        <v>595</v>
      </c>
      <c r="M35" s="93" t="s">
        <v>596</v>
      </c>
      <c r="N35" s="86"/>
      <c r="O35" s="87"/>
    </row>
    <row r="36" spans="1:15" hidden="1">
      <c r="A36" s="85" t="s">
        <v>72</v>
      </c>
      <c r="B36" s="85" t="s">
        <v>73</v>
      </c>
      <c r="C36" s="206">
        <v>2928</v>
      </c>
      <c r="D36" s="206">
        <v>1319</v>
      </c>
      <c r="E36" s="206">
        <v>1329</v>
      </c>
      <c r="F36" s="206">
        <v>4256</v>
      </c>
      <c r="G36" s="206">
        <v>829</v>
      </c>
      <c r="H36" s="206">
        <v>10661</v>
      </c>
      <c r="I36" s="85" t="s">
        <v>575</v>
      </c>
      <c r="J36" s="85" t="s">
        <v>576</v>
      </c>
      <c r="K36" s="96"/>
      <c r="L36" s="85"/>
      <c r="M36" s="93" t="s">
        <v>597</v>
      </c>
      <c r="N36" s="86"/>
      <c r="O36" s="87"/>
    </row>
    <row r="37" spans="1:15" hidden="1">
      <c r="A37" s="85" t="s">
        <v>74</v>
      </c>
      <c r="B37" s="85" t="s">
        <v>75</v>
      </c>
      <c r="C37" s="206">
        <v>312507</v>
      </c>
      <c r="D37" s="206">
        <v>446935</v>
      </c>
      <c r="E37" s="206">
        <v>394785</v>
      </c>
      <c r="F37" s="206">
        <v>443985</v>
      </c>
      <c r="G37" s="206">
        <v>305236</v>
      </c>
      <c r="H37" s="206">
        <v>1903448</v>
      </c>
      <c r="I37" s="85" t="s">
        <v>572</v>
      </c>
      <c r="J37" s="85" t="s">
        <v>573</v>
      </c>
      <c r="K37" s="96"/>
      <c r="L37" s="85"/>
      <c r="M37" s="93"/>
      <c r="N37" s="86"/>
      <c r="O37" s="87"/>
    </row>
    <row r="38" spans="1:15" s="23" customFormat="1" hidden="1">
      <c r="A38" s="96" t="s">
        <v>76</v>
      </c>
      <c r="B38" s="96" t="s">
        <v>77</v>
      </c>
      <c r="C38" s="97">
        <v>0</v>
      </c>
      <c r="D38" s="97">
        <v>0</v>
      </c>
      <c r="E38" s="97">
        <v>0</v>
      </c>
      <c r="F38" s="97">
        <v>0</v>
      </c>
      <c r="G38" s="97">
        <v>0</v>
      </c>
      <c r="H38" s="97">
        <v>0</v>
      </c>
      <c r="I38" s="96"/>
      <c r="J38" s="96"/>
      <c r="K38" s="96"/>
      <c r="L38" s="96"/>
      <c r="M38" s="98"/>
      <c r="N38" s="100"/>
      <c r="O38" s="49"/>
    </row>
    <row r="39" spans="1:15" hidden="1">
      <c r="A39" s="235" t="s">
        <v>598</v>
      </c>
      <c r="B39" s="85" t="s">
        <v>79</v>
      </c>
      <c r="C39" s="206">
        <v>4175472</v>
      </c>
      <c r="D39" s="206">
        <v>467909</v>
      </c>
      <c r="E39" s="206">
        <v>538151</v>
      </c>
      <c r="F39" s="206">
        <v>2582940</v>
      </c>
      <c r="G39" s="206">
        <v>740293</v>
      </c>
      <c r="H39" s="206">
        <v>8504765</v>
      </c>
      <c r="I39" s="85" t="s">
        <v>575</v>
      </c>
      <c r="J39" s="85" t="s">
        <v>573</v>
      </c>
      <c r="K39" s="96"/>
      <c r="L39" s="85"/>
      <c r="M39" s="93"/>
      <c r="N39" s="86"/>
      <c r="O39" s="87" t="s">
        <v>599</v>
      </c>
    </row>
    <row r="40" spans="1:15" ht="89.25" hidden="1">
      <c r="A40" s="85" t="s">
        <v>80</v>
      </c>
      <c r="B40" s="85" t="s">
        <v>81</v>
      </c>
      <c r="C40" s="206">
        <v>1893</v>
      </c>
      <c r="D40" s="206">
        <v>9626</v>
      </c>
      <c r="E40" s="206">
        <v>18110</v>
      </c>
      <c r="F40" s="206">
        <v>5394</v>
      </c>
      <c r="G40" s="206">
        <v>0</v>
      </c>
      <c r="H40" s="206">
        <v>35023</v>
      </c>
      <c r="I40" s="85" t="s">
        <v>575</v>
      </c>
      <c r="J40" s="85" t="s">
        <v>576</v>
      </c>
      <c r="K40" s="96"/>
      <c r="L40" s="141" t="s">
        <v>600</v>
      </c>
      <c r="M40" s="93"/>
      <c r="N40" s="86"/>
      <c r="O40" s="87"/>
    </row>
    <row r="41" spans="1:15" s="23" customFormat="1" hidden="1">
      <c r="A41" s="96" t="s">
        <v>82</v>
      </c>
      <c r="B41" s="96" t="s">
        <v>83</v>
      </c>
      <c r="C41" s="97">
        <v>0</v>
      </c>
      <c r="D41" s="97">
        <v>0</v>
      </c>
      <c r="E41" s="97">
        <v>0</v>
      </c>
      <c r="F41" s="97">
        <v>0</v>
      </c>
      <c r="G41" s="97">
        <v>0</v>
      </c>
      <c r="H41" s="97">
        <v>0</v>
      </c>
      <c r="I41" s="96"/>
      <c r="J41" s="96"/>
      <c r="K41" s="96"/>
      <c r="L41" s="96"/>
      <c r="M41" s="98"/>
      <c r="N41" s="100"/>
      <c r="O41" s="49"/>
    </row>
    <row r="42" spans="1:15" s="23" customFormat="1" hidden="1">
      <c r="A42" s="96" t="s">
        <v>84</v>
      </c>
      <c r="B42" s="96" t="s">
        <v>85</v>
      </c>
      <c r="C42" s="97">
        <v>0</v>
      </c>
      <c r="D42" s="97">
        <v>0</v>
      </c>
      <c r="E42" s="97">
        <v>0</v>
      </c>
      <c r="F42" s="97">
        <v>0</v>
      </c>
      <c r="G42" s="97">
        <v>0</v>
      </c>
      <c r="H42" s="97">
        <v>0</v>
      </c>
      <c r="I42" s="96"/>
      <c r="J42" s="96"/>
      <c r="K42" s="96"/>
      <c r="L42" s="96"/>
      <c r="M42" s="98"/>
      <c r="N42" s="100"/>
      <c r="O42" s="49"/>
    </row>
    <row r="43" spans="1:15" hidden="1">
      <c r="A43" s="85" t="s">
        <v>601</v>
      </c>
      <c r="B43" s="85" t="s">
        <v>87</v>
      </c>
      <c r="C43" s="206">
        <v>12920736</v>
      </c>
      <c r="D43" s="206">
        <v>1428974</v>
      </c>
      <c r="E43" s="206">
        <v>1836637</v>
      </c>
      <c r="F43" s="206">
        <v>12115681</v>
      </c>
      <c r="G43" s="206">
        <v>2318982</v>
      </c>
      <c r="H43" s="206">
        <v>30621010</v>
      </c>
      <c r="I43" s="85" t="s">
        <v>575</v>
      </c>
      <c r="J43" s="85" t="s">
        <v>573</v>
      </c>
      <c r="K43" s="96"/>
      <c r="L43" s="85"/>
      <c r="M43" s="93"/>
      <c r="N43" s="86"/>
      <c r="O43" s="87"/>
    </row>
    <row r="44" spans="1:15" ht="51" hidden="1">
      <c r="A44" s="85" t="s">
        <v>88</v>
      </c>
      <c r="B44" s="85" t="s">
        <v>89</v>
      </c>
      <c r="C44" s="206">
        <v>0</v>
      </c>
      <c r="D44" s="206">
        <v>0</v>
      </c>
      <c r="E44" s="206">
        <v>978</v>
      </c>
      <c r="F44" s="206">
        <v>1415</v>
      </c>
      <c r="G44" s="206">
        <v>1</v>
      </c>
      <c r="H44" s="206">
        <v>2394</v>
      </c>
      <c r="I44" s="85" t="s">
        <v>575</v>
      </c>
      <c r="J44" s="85" t="s">
        <v>576</v>
      </c>
      <c r="K44" s="96"/>
      <c r="L44" s="141" t="s">
        <v>602</v>
      </c>
      <c r="M44" s="93" t="s">
        <v>603</v>
      </c>
      <c r="N44" s="86"/>
      <c r="O44" s="87"/>
    </row>
    <row r="45" spans="1:15" hidden="1">
      <c r="A45" s="85" t="s">
        <v>90</v>
      </c>
      <c r="B45" s="85" t="s">
        <v>91</v>
      </c>
      <c r="C45" s="206">
        <v>49</v>
      </c>
      <c r="D45" s="206">
        <v>8</v>
      </c>
      <c r="E45" s="206">
        <v>0</v>
      </c>
      <c r="F45" s="206">
        <v>0</v>
      </c>
      <c r="G45" s="206">
        <v>4</v>
      </c>
      <c r="H45" s="206">
        <v>61</v>
      </c>
      <c r="I45" s="85" t="s">
        <v>572</v>
      </c>
      <c r="J45" s="85" t="s">
        <v>573</v>
      </c>
      <c r="K45" s="96"/>
      <c r="L45" s="85"/>
      <c r="M45" s="93"/>
      <c r="N45" s="86"/>
      <c r="O45" s="87"/>
    </row>
    <row r="46" spans="1:15" hidden="1">
      <c r="A46" s="85" t="s">
        <v>92</v>
      </c>
      <c r="B46" s="85" t="s">
        <v>93</v>
      </c>
      <c r="C46" s="206">
        <v>933459</v>
      </c>
      <c r="D46" s="206">
        <v>22886</v>
      </c>
      <c r="E46" s="206">
        <v>96066</v>
      </c>
      <c r="F46" s="206">
        <v>407356</v>
      </c>
      <c r="G46" s="206">
        <v>176609</v>
      </c>
      <c r="H46" s="206">
        <v>1636376</v>
      </c>
      <c r="I46" s="85" t="s">
        <v>572</v>
      </c>
      <c r="J46" s="85" t="s">
        <v>573</v>
      </c>
      <c r="K46" s="96"/>
      <c r="L46" s="85"/>
      <c r="M46" s="93"/>
      <c r="N46" s="86"/>
      <c r="O46" s="87"/>
    </row>
    <row r="47" spans="1:15" hidden="1">
      <c r="A47" s="85" t="s">
        <v>94</v>
      </c>
      <c r="B47" s="85" t="s">
        <v>95</v>
      </c>
      <c r="C47" s="206">
        <v>0</v>
      </c>
      <c r="D47" s="206">
        <v>0</v>
      </c>
      <c r="E47" s="206">
        <v>2213</v>
      </c>
      <c r="F47" s="206">
        <v>7619</v>
      </c>
      <c r="G47" s="206">
        <v>0</v>
      </c>
      <c r="H47" s="206">
        <v>9832</v>
      </c>
      <c r="I47" s="85" t="s">
        <v>572</v>
      </c>
      <c r="J47" s="85" t="s">
        <v>573</v>
      </c>
      <c r="K47" s="96"/>
      <c r="L47" s="85"/>
      <c r="M47" s="93"/>
      <c r="N47" s="86"/>
      <c r="O47" s="87"/>
    </row>
    <row r="48" spans="1:15" hidden="1">
      <c r="A48" s="85" t="s">
        <v>96</v>
      </c>
      <c r="B48" s="85" t="s">
        <v>97</v>
      </c>
      <c r="C48" s="206">
        <v>19502</v>
      </c>
      <c r="D48" s="206">
        <v>6114</v>
      </c>
      <c r="E48" s="206">
        <v>32502</v>
      </c>
      <c r="F48" s="206">
        <v>27904</v>
      </c>
      <c r="G48" s="206">
        <v>299</v>
      </c>
      <c r="H48" s="206">
        <v>86321</v>
      </c>
      <c r="I48" s="85" t="s">
        <v>572</v>
      </c>
      <c r="J48" s="85" t="s">
        <v>573</v>
      </c>
      <c r="K48" s="96"/>
      <c r="L48" s="85"/>
      <c r="M48" s="93"/>
      <c r="N48" s="86"/>
      <c r="O48" s="87"/>
    </row>
    <row r="49" spans="1:15" s="23" customFormat="1" hidden="1">
      <c r="A49" s="96" t="s">
        <v>98</v>
      </c>
      <c r="B49" s="96" t="s">
        <v>99</v>
      </c>
      <c r="C49" s="97">
        <v>0</v>
      </c>
      <c r="D49" s="97">
        <v>0</v>
      </c>
      <c r="E49" s="97">
        <v>0</v>
      </c>
      <c r="F49" s="97">
        <v>0</v>
      </c>
      <c r="G49" s="97">
        <v>0</v>
      </c>
      <c r="H49" s="97">
        <v>0</v>
      </c>
      <c r="I49" s="96"/>
      <c r="J49" s="96"/>
      <c r="K49" s="96"/>
      <c r="L49" s="96"/>
      <c r="M49" s="98"/>
      <c r="N49" s="100"/>
      <c r="O49" s="49"/>
    </row>
    <row r="50" spans="1:15" s="23" customFormat="1" hidden="1">
      <c r="A50" s="96" t="s">
        <v>100</v>
      </c>
      <c r="B50" s="96" t="s">
        <v>101</v>
      </c>
      <c r="C50" s="97">
        <v>0</v>
      </c>
      <c r="D50" s="97">
        <v>0</v>
      </c>
      <c r="E50" s="97">
        <v>0</v>
      </c>
      <c r="F50" s="97">
        <v>0</v>
      </c>
      <c r="G50" s="97">
        <v>0</v>
      </c>
      <c r="H50" s="97">
        <v>0</v>
      </c>
      <c r="I50" s="96"/>
      <c r="J50" s="96"/>
      <c r="K50" s="96"/>
      <c r="L50" s="96"/>
      <c r="M50" s="98"/>
      <c r="N50" s="100"/>
      <c r="O50" s="49"/>
    </row>
    <row r="51" spans="1:15" s="23" customFormat="1" hidden="1">
      <c r="A51" s="96" t="s">
        <v>102</v>
      </c>
      <c r="B51" s="96" t="s">
        <v>103</v>
      </c>
      <c r="C51" s="97">
        <v>0</v>
      </c>
      <c r="D51" s="97">
        <v>0</v>
      </c>
      <c r="E51" s="97">
        <v>0</v>
      </c>
      <c r="F51" s="97">
        <v>0</v>
      </c>
      <c r="G51" s="97">
        <v>0</v>
      </c>
      <c r="H51" s="97">
        <v>0</v>
      </c>
      <c r="I51" s="96"/>
      <c r="J51" s="96"/>
      <c r="K51" s="96"/>
      <c r="L51" s="96"/>
      <c r="M51" s="98"/>
      <c r="N51" s="100"/>
      <c r="O51" s="49"/>
    </row>
    <row r="52" spans="1:15" s="23" customFormat="1" hidden="1">
      <c r="A52" s="96" t="s">
        <v>104</v>
      </c>
      <c r="B52" s="96" t="s">
        <v>105</v>
      </c>
      <c r="C52" s="97">
        <v>0</v>
      </c>
      <c r="D52" s="97">
        <v>0</v>
      </c>
      <c r="E52" s="97">
        <v>0</v>
      </c>
      <c r="F52" s="97">
        <v>0</v>
      </c>
      <c r="G52" s="97">
        <v>0</v>
      </c>
      <c r="H52" s="97">
        <v>0</v>
      </c>
      <c r="I52" s="96"/>
      <c r="J52" s="96"/>
      <c r="K52" s="96"/>
      <c r="L52" s="96"/>
      <c r="M52" s="98"/>
      <c r="N52" s="100"/>
      <c r="O52" s="49"/>
    </row>
    <row r="53" spans="1:15" hidden="1">
      <c r="A53" s="85" t="s">
        <v>106</v>
      </c>
      <c r="B53" s="85" t="s">
        <v>107</v>
      </c>
      <c r="C53" s="206">
        <v>2022</v>
      </c>
      <c r="D53" s="206">
        <v>1495</v>
      </c>
      <c r="E53" s="206">
        <v>1421</v>
      </c>
      <c r="F53" s="206">
        <v>1969</v>
      </c>
      <c r="G53" s="206">
        <v>754</v>
      </c>
      <c r="H53" s="206">
        <v>7661</v>
      </c>
      <c r="I53" s="85" t="s">
        <v>572</v>
      </c>
      <c r="J53" s="85" t="s">
        <v>573</v>
      </c>
      <c r="K53" s="96"/>
      <c r="L53" s="85"/>
      <c r="M53" s="93"/>
      <c r="N53" s="86"/>
      <c r="O53" s="87"/>
    </row>
    <row r="54" spans="1:15" hidden="1">
      <c r="A54" s="85" t="s">
        <v>108</v>
      </c>
      <c r="B54" s="85" t="s">
        <v>109</v>
      </c>
      <c r="C54" s="206">
        <v>167</v>
      </c>
      <c r="D54" s="206">
        <v>47</v>
      </c>
      <c r="E54" s="206">
        <v>53</v>
      </c>
      <c r="F54" s="206">
        <v>38</v>
      </c>
      <c r="G54" s="206">
        <v>139</v>
      </c>
      <c r="H54" s="206">
        <v>444</v>
      </c>
      <c r="I54" s="85" t="s">
        <v>575</v>
      </c>
      <c r="J54" s="85" t="s">
        <v>576</v>
      </c>
      <c r="K54" s="96"/>
      <c r="L54" s="85" t="s">
        <v>604</v>
      </c>
      <c r="M54" s="93" t="s">
        <v>605</v>
      </c>
      <c r="N54" s="86"/>
      <c r="O54" s="87"/>
    </row>
    <row r="55" spans="1:15" ht="51" hidden="1">
      <c r="A55" s="85" t="s">
        <v>110</v>
      </c>
      <c r="B55" s="85" t="s">
        <v>111</v>
      </c>
      <c r="C55" s="206">
        <v>0</v>
      </c>
      <c r="D55" s="206">
        <v>0</v>
      </c>
      <c r="E55" s="206">
        <v>0</v>
      </c>
      <c r="F55" s="206">
        <v>0</v>
      </c>
      <c r="G55" s="206">
        <v>674</v>
      </c>
      <c r="H55" s="206">
        <v>674</v>
      </c>
      <c r="I55" s="85" t="s">
        <v>575</v>
      </c>
      <c r="J55" s="85" t="s">
        <v>576</v>
      </c>
      <c r="K55" s="96"/>
      <c r="L55" s="141" t="s">
        <v>606</v>
      </c>
      <c r="M55" s="93" t="s">
        <v>603</v>
      </c>
      <c r="N55" s="86"/>
      <c r="O55" s="87"/>
    </row>
    <row r="56" spans="1:15" s="23" customFormat="1" hidden="1">
      <c r="A56" s="96" t="s">
        <v>112</v>
      </c>
      <c r="B56" s="96" t="s">
        <v>113</v>
      </c>
      <c r="C56" s="97">
        <v>0</v>
      </c>
      <c r="D56" s="97">
        <v>0</v>
      </c>
      <c r="E56" s="97">
        <v>0</v>
      </c>
      <c r="F56" s="97">
        <v>0</v>
      </c>
      <c r="G56" s="97">
        <v>0</v>
      </c>
      <c r="H56" s="97">
        <v>0</v>
      </c>
      <c r="I56" s="96"/>
      <c r="J56" s="96"/>
      <c r="K56" s="96"/>
      <c r="L56" s="96"/>
      <c r="M56" s="98"/>
      <c r="N56" s="100"/>
      <c r="O56" s="49"/>
    </row>
    <row r="57" spans="1:15" s="23" customFormat="1" hidden="1">
      <c r="A57" s="96" t="s">
        <v>114</v>
      </c>
      <c r="B57" s="96" t="s">
        <v>115</v>
      </c>
      <c r="C57" s="97">
        <v>0</v>
      </c>
      <c r="D57" s="97">
        <v>0</v>
      </c>
      <c r="E57" s="97">
        <v>0</v>
      </c>
      <c r="F57" s="97">
        <v>0</v>
      </c>
      <c r="G57" s="97">
        <v>0</v>
      </c>
      <c r="H57" s="97">
        <v>0</v>
      </c>
      <c r="I57" s="96"/>
      <c r="J57" s="96"/>
      <c r="K57" s="96"/>
      <c r="L57" s="96"/>
      <c r="M57" s="98"/>
      <c r="N57" s="100"/>
      <c r="O57" s="49"/>
    </row>
    <row r="58" spans="1:15" ht="76.5" hidden="1">
      <c r="A58" s="85" t="s">
        <v>116</v>
      </c>
      <c r="B58" s="85" t="s">
        <v>117</v>
      </c>
      <c r="C58" s="206">
        <v>0</v>
      </c>
      <c r="D58" s="206">
        <v>0</v>
      </c>
      <c r="E58" s="206">
        <v>0</v>
      </c>
      <c r="F58" s="206">
        <v>10372</v>
      </c>
      <c r="G58" s="206">
        <v>0</v>
      </c>
      <c r="H58" s="206">
        <v>10372</v>
      </c>
      <c r="I58" s="85" t="s">
        <v>575</v>
      </c>
      <c r="J58" s="85" t="s">
        <v>576</v>
      </c>
      <c r="K58" s="96"/>
      <c r="L58" s="141" t="s">
        <v>607</v>
      </c>
      <c r="M58" s="93" t="s">
        <v>608</v>
      </c>
      <c r="N58" s="86"/>
      <c r="O58" s="87"/>
    </row>
    <row r="59" spans="1:15" hidden="1">
      <c r="A59" s="85" t="s">
        <v>118</v>
      </c>
      <c r="B59" s="85" t="s">
        <v>119</v>
      </c>
      <c r="C59" s="206">
        <v>26866</v>
      </c>
      <c r="D59" s="206">
        <v>20033</v>
      </c>
      <c r="E59" s="206">
        <v>38063</v>
      </c>
      <c r="F59" s="206">
        <v>73934</v>
      </c>
      <c r="G59" s="206">
        <v>10973</v>
      </c>
      <c r="H59" s="206">
        <v>169869</v>
      </c>
      <c r="I59" s="85" t="s">
        <v>575</v>
      </c>
      <c r="J59" s="85" t="s">
        <v>576</v>
      </c>
      <c r="K59" s="85" t="s">
        <v>609</v>
      </c>
      <c r="L59" s="85"/>
      <c r="M59" s="85" t="s">
        <v>610</v>
      </c>
      <c r="N59" s="86"/>
      <c r="O59" s="87"/>
    </row>
    <row r="60" spans="1:15" s="23" customFormat="1" hidden="1">
      <c r="A60" s="96" t="s">
        <v>120</v>
      </c>
      <c r="B60" s="96" t="s">
        <v>121</v>
      </c>
      <c r="C60" s="97">
        <v>0</v>
      </c>
      <c r="D60" s="97">
        <v>0</v>
      </c>
      <c r="E60" s="97">
        <v>0</v>
      </c>
      <c r="F60" s="97">
        <v>0</v>
      </c>
      <c r="G60" s="97">
        <v>0</v>
      </c>
      <c r="H60" s="97">
        <v>0</v>
      </c>
      <c r="I60" s="96"/>
      <c r="J60" s="96"/>
      <c r="K60" s="96"/>
      <c r="L60" s="96"/>
      <c r="M60" s="98"/>
      <c r="N60" s="100"/>
      <c r="O60" s="49"/>
    </row>
    <row r="61" spans="1:15" s="23" customFormat="1" hidden="1">
      <c r="A61" s="96" t="s">
        <v>122</v>
      </c>
      <c r="B61" s="96" t="s">
        <v>123</v>
      </c>
      <c r="C61" s="97">
        <v>0</v>
      </c>
      <c r="D61" s="97">
        <v>0</v>
      </c>
      <c r="E61" s="97">
        <v>0</v>
      </c>
      <c r="F61" s="97">
        <v>0</v>
      </c>
      <c r="G61" s="97">
        <v>0</v>
      </c>
      <c r="H61" s="97">
        <v>0</v>
      </c>
      <c r="I61" s="96"/>
      <c r="J61" s="96"/>
      <c r="K61" s="96"/>
      <c r="L61" s="96"/>
      <c r="M61" s="98"/>
      <c r="N61" s="100"/>
      <c r="O61" s="49"/>
    </row>
    <row r="62" spans="1:15" s="23" customFormat="1" hidden="1">
      <c r="A62" s="96" t="s">
        <v>124</v>
      </c>
      <c r="B62" s="96" t="s">
        <v>125</v>
      </c>
      <c r="C62" s="97">
        <v>0</v>
      </c>
      <c r="D62" s="97">
        <v>0</v>
      </c>
      <c r="E62" s="97">
        <v>0</v>
      </c>
      <c r="F62" s="97">
        <v>0</v>
      </c>
      <c r="G62" s="97">
        <v>0</v>
      </c>
      <c r="H62" s="97">
        <v>0</v>
      </c>
      <c r="I62" s="96"/>
      <c r="J62" s="96"/>
      <c r="K62" s="96"/>
      <c r="L62" s="96"/>
      <c r="M62" s="98"/>
      <c r="N62" s="100"/>
      <c r="O62" s="49"/>
    </row>
    <row r="63" spans="1:15" hidden="1">
      <c r="A63" s="235" t="s">
        <v>611</v>
      </c>
      <c r="B63" s="85" t="s">
        <v>127</v>
      </c>
      <c r="C63" s="206">
        <v>29847799</v>
      </c>
      <c r="D63" s="206">
        <v>3665021</v>
      </c>
      <c r="E63" s="206">
        <v>3985463</v>
      </c>
      <c r="F63" s="206">
        <v>25792770</v>
      </c>
      <c r="G63" s="206">
        <v>4732297</v>
      </c>
      <c r="H63" s="206">
        <v>68023350</v>
      </c>
      <c r="I63" s="85" t="s">
        <v>575</v>
      </c>
      <c r="J63" s="85" t="s">
        <v>573</v>
      </c>
      <c r="K63" s="96"/>
      <c r="L63" s="85"/>
      <c r="M63" s="93"/>
      <c r="N63" s="86"/>
      <c r="O63" s="87" t="s">
        <v>612</v>
      </c>
    </row>
    <row r="64" spans="1:15" s="23" customFormat="1" hidden="1">
      <c r="A64" s="96" t="s">
        <v>128</v>
      </c>
      <c r="B64" s="96" t="s">
        <v>129</v>
      </c>
      <c r="C64" s="97">
        <v>0</v>
      </c>
      <c r="D64" s="97">
        <v>0</v>
      </c>
      <c r="E64" s="97">
        <v>0</v>
      </c>
      <c r="F64" s="97">
        <v>0</v>
      </c>
      <c r="G64" s="97">
        <v>0</v>
      </c>
      <c r="H64" s="97">
        <v>0</v>
      </c>
      <c r="I64" s="96"/>
      <c r="J64" s="96"/>
      <c r="K64" s="96"/>
      <c r="L64" s="96"/>
      <c r="M64" s="98"/>
      <c r="N64" s="100"/>
      <c r="O64" s="49"/>
    </row>
    <row r="65" spans="1:15" s="23" customFormat="1" hidden="1">
      <c r="A65" s="96" t="s">
        <v>130</v>
      </c>
      <c r="B65" s="96" t="s">
        <v>131</v>
      </c>
      <c r="C65" s="97">
        <v>0</v>
      </c>
      <c r="D65" s="97">
        <v>0</v>
      </c>
      <c r="E65" s="97">
        <v>0</v>
      </c>
      <c r="F65" s="97">
        <v>0</v>
      </c>
      <c r="G65" s="97">
        <v>0</v>
      </c>
      <c r="H65" s="97">
        <v>0</v>
      </c>
      <c r="I65" s="96"/>
      <c r="J65" s="96"/>
      <c r="K65" s="96"/>
      <c r="L65" s="96"/>
      <c r="M65" s="98"/>
      <c r="N65" s="100"/>
      <c r="O65" s="49"/>
    </row>
    <row r="66" spans="1:15" s="23" customFormat="1" hidden="1">
      <c r="A66" s="96" t="s">
        <v>132</v>
      </c>
      <c r="B66" s="96" t="s">
        <v>133</v>
      </c>
      <c r="C66" s="97">
        <v>0</v>
      </c>
      <c r="D66" s="97">
        <v>0</v>
      </c>
      <c r="E66" s="97">
        <v>0</v>
      </c>
      <c r="F66" s="97">
        <v>0</v>
      </c>
      <c r="G66" s="97">
        <v>0</v>
      </c>
      <c r="H66" s="97">
        <v>0</v>
      </c>
      <c r="I66" s="96"/>
      <c r="J66" s="96"/>
      <c r="K66" s="96"/>
      <c r="L66" s="96"/>
      <c r="M66" s="98"/>
      <c r="N66" s="100"/>
      <c r="O66" s="49"/>
    </row>
    <row r="67" spans="1:15" s="23" customFormat="1" hidden="1">
      <c r="A67" s="96" t="s">
        <v>134</v>
      </c>
      <c r="B67" s="96" t="s">
        <v>135</v>
      </c>
      <c r="C67" s="97">
        <v>0</v>
      </c>
      <c r="D67" s="97">
        <v>0</v>
      </c>
      <c r="E67" s="97">
        <v>0</v>
      </c>
      <c r="F67" s="97">
        <v>0</v>
      </c>
      <c r="G67" s="97">
        <v>0</v>
      </c>
      <c r="H67" s="97">
        <v>0</v>
      </c>
      <c r="I67" s="96"/>
      <c r="J67" s="96"/>
      <c r="K67" s="96"/>
      <c r="L67" s="96"/>
      <c r="M67" s="98"/>
      <c r="N67" s="100"/>
      <c r="O67" s="49"/>
    </row>
    <row r="68" spans="1:15" s="23" customFormat="1" hidden="1">
      <c r="A68" s="96" t="s">
        <v>136</v>
      </c>
      <c r="B68" s="96" t="s">
        <v>137</v>
      </c>
      <c r="C68" s="97">
        <v>0</v>
      </c>
      <c r="D68" s="97">
        <v>0</v>
      </c>
      <c r="E68" s="97">
        <v>0</v>
      </c>
      <c r="F68" s="97">
        <v>0</v>
      </c>
      <c r="G68" s="97">
        <v>0</v>
      </c>
      <c r="H68" s="97">
        <v>0</v>
      </c>
      <c r="I68" s="96"/>
      <c r="J68" s="96"/>
      <c r="K68" s="96"/>
      <c r="L68" s="96"/>
      <c r="M68" s="98"/>
      <c r="N68" s="100"/>
      <c r="O68" s="49"/>
    </row>
    <row r="69" spans="1:15" hidden="1">
      <c r="A69" s="85" t="s">
        <v>138</v>
      </c>
      <c r="B69" s="85" t="s">
        <v>139</v>
      </c>
      <c r="C69" s="206">
        <v>0</v>
      </c>
      <c r="D69" s="206">
        <v>0</v>
      </c>
      <c r="E69" s="206">
        <v>2423</v>
      </c>
      <c r="F69" s="206">
        <v>15020</v>
      </c>
      <c r="G69" s="206">
        <v>1707</v>
      </c>
      <c r="H69" s="206">
        <v>19150</v>
      </c>
      <c r="I69" s="85" t="s">
        <v>572</v>
      </c>
      <c r="J69" s="85" t="s">
        <v>573</v>
      </c>
      <c r="K69" s="96"/>
      <c r="L69" s="85"/>
      <c r="M69" s="93"/>
      <c r="N69" s="86"/>
      <c r="O69" s="87"/>
    </row>
    <row r="70" spans="1:15" s="23" customFormat="1" hidden="1">
      <c r="A70" s="96" t="s">
        <v>140</v>
      </c>
      <c r="B70" s="96" t="s">
        <v>141</v>
      </c>
      <c r="C70" s="97">
        <v>0</v>
      </c>
      <c r="D70" s="97">
        <v>0</v>
      </c>
      <c r="E70" s="97">
        <v>0</v>
      </c>
      <c r="F70" s="97">
        <v>0</v>
      </c>
      <c r="G70" s="97">
        <v>0</v>
      </c>
      <c r="H70" s="97">
        <v>0</v>
      </c>
      <c r="I70" s="96"/>
      <c r="J70" s="96"/>
      <c r="K70" s="96"/>
      <c r="L70" s="96"/>
      <c r="M70" s="98"/>
      <c r="N70" s="100"/>
      <c r="O70" s="49"/>
    </row>
    <row r="71" spans="1:15" s="23" customFormat="1" hidden="1">
      <c r="A71" s="96" t="s">
        <v>142</v>
      </c>
      <c r="B71" s="96" t="s">
        <v>143</v>
      </c>
      <c r="C71" s="97">
        <v>0</v>
      </c>
      <c r="D71" s="97">
        <v>0</v>
      </c>
      <c r="E71" s="97">
        <v>0</v>
      </c>
      <c r="F71" s="97">
        <v>0</v>
      </c>
      <c r="G71" s="97">
        <v>0</v>
      </c>
      <c r="H71" s="97">
        <v>0</v>
      </c>
      <c r="I71" s="96"/>
      <c r="J71" s="96"/>
      <c r="K71" s="96"/>
      <c r="L71" s="96"/>
      <c r="M71" s="98"/>
      <c r="N71" s="100"/>
      <c r="O71" s="49"/>
    </row>
    <row r="72" spans="1:15" s="23" customFormat="1" hidden="1">
      <c r="A72" s="96" t="s">
        <v>144</v>
      </c>
      <c r="B72" s="96" t="s">
        <v>145</v>
      </c>
      <c r="C72" s="97">
        <v>0</v>
      </c>
      <c r="D72" s="97">
        <v>0</v>
      </c>
      <c r="E72" s="97">
        <v>0</v>
      </c>
      <c r="F72" s="97">
        <v>0</v>
      </c>
      <c r="G72" s="97">
        <v>0</v>
      </c>
      <c r="H72" s="97">
        <v>0</v>
      </c>
      <c r="I72" s="96"/>
      <c r="J72" s="96"/>
      <c r="K72" s="96"/>
      <c r="L72" s="96"/>
      <c r="M72" s="98"/>
      <c r="N72" s="100"/>
      <c r="O72" s="49"/>
    </row>
    <row r="73" spans="1:15" s="23" customFormat="1" hidden="1">
      <c r="A73" s="96" t="s">
        <v>146</v>
      </c>
      <c r="B73" s="96" t="s">
        <v>147</v>
      </c>
      <c r="C73" s="97">
        <v>0</v>
      </c>
      <c r="D73" s="97">
        <v>0</v>
      </c>
      <c r="E73" s="97">
        <v>0</v>
      </c>
      <c r="F73" s="97">
        <v>0</v>
      </c>
      <c r="G73" s="97">
        <v>0</v>
      </c>
      <c r="H73" s="97">
        <v>0</v>
      </c>
      <c r="I73" s="96"/>
      <c r="J73" s="96"/>
      <c r="K73" s="96"/>
      <c r="L73" s="96"/>
      <c r="M73" s="98"/>
      <c r="N73" s="100"/>
      <c r="O73" s="49"/>
    </row>
    <row r="74" spans="1:15" hidden="1">
      <c r="A74" s="85" t="s">
        <v>148</v>
      </c>
      <c r="B74" s="85" t="s">
        <v>149</v>
      </c>
      <c r="C74" s="206">
        <v>916103</v>
      </c>
      <c r="D74" s="206">
        <v>987729</v>
      </c>
      <c r="E74" s="206">
        <v>815772</v>
      </c>
      <c r="F74" s="206">
        <v>1035955</v>
      </c>
      <c r="G74" s="206">
        <v>631739</v>
      </c>
      <c r="H74" s="206">
        <v>4387298</v>
      </c>
      <c r="I74" s="85" t="s">
        <v>575</v>
      </c>
      <c r="J74" s="85" t="s">
        <v>576</v>
      </c>
      <c r="K74" s="96"/>
      <c r="L74" s="85"/>
      <c r="M74" s="93" t="s">
        <v>613</v>
      </c>
      <c r="N74" s="86"/>
      <c r="O74" s="87"/>
    </row>
    <row r="75" spans="1:15" s="23" customFormat="1" hidden="1">
      <c r="A75" s="96" t="s">
        <v>150</v>
      </c>
      <c r="B75" s="96" t="s">
        <v>151</v>
      </c>
      <c r="C75" s="97">
        <v>0</v>
      </c>
      <c r="D75" s="97">
        <v>0</v>
      </c>
      <c r="E75" s="97">
        <v>0</v>
      </c>
      <c r="F75" s="97">
        <v>0</v>
      </c>
      <c r="G75" s="97">
        <v>0</v>
      </c>
      <c r="H75" s="97">
        <v>0</v>
      </c>
      <c r="I75" s="96"/>
      <c r="J75" s="96"/>
      <c r="K75" s="96"/>
      <c r="L75" s="96"/>
      <c r="M75" s="98"/>
      <c r="N75" s="100"/>
      <c r="O75" s="49"/>
    </row>
    <row r="76" spans="1:15" s="23" customFormat="1" hidden="1">
      <c r="A76" s="96" t="s">
        <v>152</v>
      </c>
      <c r="B76" s="96" t="s">
        <v>153</v>
      </c>
      <c r="C76" s="97">
        <v>0</v>
      </c>
      <c r="D76" s="97">
        <v>0</v>
      </c>
      <c r="E76" s="97">
        <v>0</v>
      </c>
      <c r="F76" s="97">
        <v>0</v>
      </c>
      <c r="G76" s="97">
        <v>0</v>
      </c>
      <c r="H76" s="97">
        <v>0</v>
      </c>
      <c r="I76" s="96"/>
      <c r="J76" s="96"/>
      <c r="K76" s="96"/>
      <c r="L76" s="96"/>
      <c r="M76" s="98"/>
      <c r="N76" s="100"/>
      <c r="O76" s="49"/>
    </row>
    <row r="77" spans="1:15" s="23" customFormat="1" hidden="1">
      <c r="A77" s="96" t="s">
        <v>154</v>
      </c>
      <c r="B77" s="96" t="s">
        <v>155</v>
      </c>
      <c r="C77" s="97">
        <v>0</v>
      </c>
      <c r="D77" s="97">
        <v>0</v>
      </c>
      <c r="E77" s="97">
        <v>0</v>
      </c>
      <c r="F77" s="97">
        <v>0</v>
      </c>
      <c r="G77" s="97">
        <v>0</v>
      </c>
      <c r="H77" s="97">
        <v>0</v>
      </c>
      <c r="I77" s="96"/>
      <c r="J77" s="96"/>
      <c r="K77" s="96"/>
      <c r="L77" s="96"/>
      <c r="M77" s="98"/>
      <c r="N77" s="100"/>
      <c r="O77" s="49"/>
    </row>
    <row r="78" spans="1:15" s="23" customFormat="1" hidden="1">
      <c r="A78" s="96" t="s">
        <v>156</v>
      </c>
      <c r="B78" s="96" t="s">
        <v>157</v>
      </c>
      <c r="C78" s="97">
        <v>0</v>
      </c>
      <c r="D78" s="97">
        <v>0</v>
      </c>
      <c r="E78" s="97">
        <v>0</v>
      </c>
      <c r="F78" s="97">
        <v>0</v>
      </c>
      <c r="G78" s="97">
        <v>0</v>
      </c>
      <c r="H78" s="97">
        <v>0</v>
      </c>
      <c r="I78" s="96"/>
      <c r="J78" s="96"/>
      <c r="K78" s="96"/>
      <c r="L78" s="96"/>
      <c r="M78" s="98"/>
      <c r="N78" s="100"/>
      <c r="O78" s="49"/>
    </row>
    <row r="79" spans="1:15" s="23" customFormat="1" hidden="1">
      <c r="A79" s="96" t="s">
        <v>158</v>
      </c>
      <c r="B79" s="96" t="s">
        <v>159</v>
      </c>
      <c r="C79" s="97">
        <v>0</v>
      </c>
      <c r="D79" s="97">
        <v>0</v>
      </c>
      <c r="E79" s="97">
        <v>0</v>
      </c>
      <c r="F79" s="97">
        <v>0</v>
      </c>
      <c r="G79" s="97">
        <v>0</v>
      </c>
      <c r="H79" s="97">
        <v>0</v>
      </c>
      <c r="I79" s="96"/>
      <c r="J79" s="96"/>
      <c r="K79" s="96"/>
      <c r="L79" s="96"/>
      <c r="M79" s="98"/>
      <c r="N79" s="100"/>
      <c r="O79" s="49"/>
    </row>
    <row r="80" spans="1:15" s="23" customFormat="1" hidden="1">
      <c r="A80" s="96" t="s">
        <v>160</v>
      </c>
      <c r="B80" s="96" t="s">
        <v>161</v>
      </c>
      <c r="C80" s="97">
        <v>0</v>
      </c>
      <c r="D80" s="97">
        <v>0</v>
      </c>
      <c r="E80" s="97">
        <v>0</v>
      </c>
      <c r="F80" s="97">
        <v>0</v>
      </c>
      <c r="G80" s="97">
        <v>0</v>
      </c>
      <c r="H80" s="97">
        <v>0</v>
      </c>
      <c r="I80" s="96"/>
      <c r="J80" s="96"/>
      <c r="K80" s="96"/>
      <c r="L80" s="96"/>
      <c r="M80" s="98"/>
      <c r="N80" s="100"/>
      <c r="O80" s="49"/>
    </row>
    <row r="81" spans="1:15" hidden="1">
      <c r="A81" s="85" t="s">
        <v>162</v>
      </c>
      <c r="B81" s="85" t="s">
        <v>163</v>
      </c>
      <c r="C81" s="206">
        <v>2731089</v>
      </c>
      <c r="D81" s="206">
        <v>455524</v>
      </c>
      <c r="E81" s="206">
        <v>537659</v>
      </c>
      <c r="F81" s="206">
        <v>2449489</v>
      </c>
      <c r="G81" s="206">
        <v>708986</v>
      </c>
      <c r="H81" s="206">
        <v>6882747</v>
      </c>
      <c r="I81" s="85" t="s">
        <v>572</v>
      </c>
      <c r="J81" s="85" t="s">
        <v>573</v>
      </c>
      <c r="K81" s="96"/>
      <c r="L81" s="85"/>
      <c r="M81" s="93"/>
      <c r="N81" s="86"/>
      <c r="O81" s="87"/>
    </row>
    <row r="82" spans="1:15" hidden="1">
      <c r="A82" s="85" t="s">
        <v>164</v>
      </c>
      <c r="B82" s="85" t="s">
        <v>165</v>
      </c>
      <c r="C82" s="206">
        <v>2729439</v>
      </c>
      <c r="D82" s="206">
        <v>450702</v>
      </c>
      <c r="E82" s="206">
        <v>537390</v>
      </c>
      <c r="F82" s="206">
        <v>2448621</v>
      </c>
      <c r="G82" s="206">
        <v>708700</v>
      </c>
      <c r="H82" s="206">
        <v>6874852</v>
      </c>
      <c r="I82" s="85" t="s">
        <v>572</v>
      </c>
      <c r="J82" s="85" t="s">
        <v>573</v>
      </c>
      <c r="K82" s="96"/>
      <c r="L82" s="85"/>
      <c r="M82" s="93"/>
      <c r="N82" s="86"/>
      <c r="O82" s="87"/>
    </row>
    <row r="83" spans="1:15" hidden="1">
      <c r="A83" s="85" t="s">
        <v>166</v>
      </c>
      <c r="B83" s="85" t="s">
        <v>167</v>
      </c>
      <c r="C83" s="206">
        <v>32519</v>
      </c>
      <c r="D83" s="206">
        <v>388</v>
      </c>
      <c r="E83" s="206">
        <v>1754</v>
      </c>
      <c r="F83" s="206">
        <v>5098</v>
      </c>
      <c r="G83" s="206">
        <v>4790</v>
      </c>
      <c r="H83" s="206">
        <v>44549</v>
      </c>
      <c r="I83" s="85" t="s">
        <v>575</v>
      </c>
      <c r="J83" s="85" t="s">
        <v>576</v>
      </c>
      <c r="K83" s="96"/>
      <c r="L83" s="85" t="s">
        <v>604</v>
      </c>
      <c r="M83" s="93" t="s">
        <v>605</v>
      </c>
      <c r="N83" s="86"/>
      <c r="O83" s="87"/>
    </row>
    <row r="84" spans="1:15" hidden="1">
      <c r="A84" s="85" t="s">
        <v>168</v>
      </c>
      <c r="B84" s="85" t="s">
        <v>169</v>
      </c>
      <c r="C84" s="206">
        <v>58435</v>
      </c>
      <c r="D84" s="206">
        <v>25395</v>
      </c>
      <c r="E84" s="206">
        <v>49261</v>
      </c>
      <c r="F84" s="206">
        <v>107202</v>
      </c>
      <c r="G84" s="206">
        <v>27939</v>
      </c>
      <c r="H84" s="206">
        <v>268232</v>
      </c>
      <c r="I84" s="85" t="s">
        <v>572</v>
      </c>
      <c r="J84" s="85" t="s">
        <v>573</v>
      </c>
      <c r="K84" s="96"/>
      <c r="L84" s="85"/>
      <c r="M84" s="93"/>
      <c r="N84" s="86"/>
      <c r="O84" s="87"/>
    </row>
    <row r="85" spans="1:15" s="23" customFormat="1" hidden="1">
      <c r="A85" s="96" t="s">
        <v>170</v>
      </c>
      <c r="B85" s="96" t="s">
        <v>171</v>
      </c>
      <c r="C85" s="97">
        <v>0</v>
      </c>
      <c r="D85" s="97">
        <v>0</v>
      </c>
      <c r="E85" s="97">
        <v>0</v>
      </c>
      <c r="F85" s="97">
        <v>0</v>
      </c>
      <c r="G85" s="97">
        <v>0</v>
      </c>
      <c r="H85" s="97">
        <v>0</v>
      </c>
      <c r="I85" s="96"/>
      <c r="J85" s="96"/>
      <c r="K85" s="96"/>
      <c r="L85" s="96"/>
      <c r="M85" s="98"/>
      <c r="N85" s="100"/>
      <c r="O85" s="49"/>
    </row>
    <row r="86" spans="1:15" hidden="1">
      <c r="A86" s="85" t="s">
        <v>172</v>
      </c>
      <c r="B86" s="85" t="s">
        <v>173</v>
      </c>
      <c r="C86" s="206">
        <v>7</v>
      </c>
      <c r="D86" s="206">
        <v>16</v>
      </c>
      <c r="E86" s="206">
        <v>4442</v>
      </c>
      <c r="F86" s="206">
        <v>2648</v>
      </c>
      <c r="G86" s="206">
        <v>38</v>
      </c>
      <c r="H86" s="206">
        <v>7151</v>
      </c>
      <c r="I86" s="85" t="s">
        <v>572</v>
      </c>
      <c r="J86" s="85" t="s">
        <v>573</v>
      </c>
      <c r="K86" s="96"/>
      <c r="L86" s="85"/>
      <c r="M86" s="93"/>
      <c r="N86" s="86"/>
      <c r="O86" s="87"/>
    </row>
    <row r="87" spans="1:15" hidden="1">
      <c r="A87" s="95" t="s">
        <v>614</v>
      </c>
      <c r="B87" s="85" t="s">
        <v>175</v>
      </c>
      <c r="C87" s="206">
        <v>49890</v>
      </c>
      <c r="D87" s="206">
        <v>16282</v>
      </c>
      <c r="E87" s="206">
        <v>12006</v>
      </c>
      <c r="F87" s="206">
        <v>69240</v>
      </c>
      <c r="G87" s="206">
        <v>15184</v>
      </c>
      <c r="H87" s="206">
        <v>162602</v>
      </c>
      <c r="I87" s="85" t="s">
        <v>586</v>
      </c>
      <c r="J87" s="85" t="s">
        <v>573</v>
      </c>
      <c r="K87" s="96"/>
      <c r="L87" s="85"/>
      <c r="M87" s="93"/>
      <c r="N87" s="86"/>
      <c r="O87" s="87"/>
    </row>
    <row r="88" spans="1:15" s="23" customFormat="1" hidden="1">
      <c r="A88" s="96" t="s">
        <v>176</v>
      </c>
      <c r="B88" s="96" t="s">
        <v>177</v>
      </c>
      <c r="C88" s="97">
        <v>0</v>
      </c>
      <c r="D88" s="97">
        <v>0</v>
      </c>
      <c r="E88" s="97">
        <v>0</v>
      </c>
      <c r="F88" s="97">
        <v>0</v>
      </c>
      <c r="G88" s="97">
        <v>0</v>
      </c>
      <c r="H88" s="97">
        <v>0</v>
      </c>
      <c r="I88" s="96"/>
      <c r="J88" s="96"/>
      <c r="K88" s="96"/>
      <c r="L88" s="96"/>
      <c r="M88" s="98"/>
      <c r="N88" s="100"/>
      <c r="O88" s="49"/>
    </row>
    <row r="89" spans="1:15" s="23" customFormat="1" hidden="1">
      <c r="A89" s="96" t="s">
        <v>178</v>
      </c>
      <c r="B89" s="96" t="s">
        <v>179</v>
      </c>
      <c r="C89" s="97">
        <v>0</v>
      </c>
      <c r="D89" s="97">
        <v>0</v>
      </c>
      <c r="E89" s="97">
        <v>0</v>
      </c>
      <c r="F89" s="97">
        <v>0</v>
      </c>
      <c r="G89" s="97">
        <v>0</v>
      </c>
      <c r="H89" s="97">
        <v>0</v>
      </c>
      <c r="I89" s="96"/>
      <c r="J89" s="96"/>
      <c r="K89" s="96"/>
      <c r="L89" s="96"/>
      <c r="M89" s="98"/>
      <c r="N89" s="100"/>
      <c r="O89" s="49"/>
    </row>
    <row r="90" spans="1:15" s="23" customFormat="1" hidden="1">
      <c r="A90" s="96" t="s">
        <v>180</v>
      </c>
      <c r="B90" s="96" t="s">
        <v>181</v>
      </c>
      <c r="C90" s="97">
        <v>0</v>
      </c>
      <c r="D90" s="97">
        <v>0</v>
      </c>
      <c r="E90" s="97">
        <v>0</v>
      </c>
      <c r="F90" s="97">
        <v>0</v>
      </c>
      <c r="G90" s="97">
        <v>0</v>
      </c>
      <c r="H90" s="97">
        <v>0</v>
      </c>
      <c r="I90" s="96"/>
      <c r="J90" s="96"/>
      <c r="K90" s="96"/>
      <c r="L90" s="96"/>
      <c r="M90" s="98"/>
      <c r="N90" s="100"/>
      <c r="O90" s="49"/>
    </row>
    <row r="91" spans="1:15" s="23" customFormat="1" hidden="1">
      <c r="A91" s="96" t="s">
        <v>182</v>
      </c>
      <c r="B91" s="96" t="s">
        <v>183</v>
      </c>
      <c r="C91" s="97">
        <v>0</v>
      </c>
      <c r="D91" s="97">
        <v>0</v>
      </c>
      <c r="E91" s="97">
        <v>0</v>
      </c>
      <c r="F91" s="97">
        <v>0</v>
      </c>
      <c r="G91" s="97">
        <v>0</v>
      </c>
      <c r="H91" s="97">
        <v>0</v>
      </c>
      <c r="I91" s="96"/>
      <c r="J91" s="96"/>
      <c r="K91" s="96"/>
      <c r="L91" s="96"/>
      <c r="M91" s="98"/>
      <c r="N91" s="100"/>
      <c r="O91" s="49"/>
    </row>
    <row r="92" spans="1:15" hidden="1">
      <c r="A92" s="85" t="s">
        <v>184</v>
      </c>
      <c r="B92" s="85" t="s">
        <v>185</v>
      </c>
      <c r="C92" s="206">
        <v>194102</v>
      </c>
      <c r="D92" s="206">
        <v>144153</v>
      </c>
      <c r="E92" s="206">
        <v>119294</v>
      </c>
      <c r="F92" s="206">
        <v>943834</v>
      </c>
      <c r="G92" s="206">
        <v>75469</v>
      </c>
      <c r="H92" s="206">
        <v>1476852</v>
      </c>
      <c r="I92" s="85" t="s">
        <v>572</v>
      </c>
      <c r="J92" s="85" t="s">
        <v>573</v>
      </c>
      <c r="K92" s="96"/>
      <c r="L92" s="85"/>
      <c r="M92" s="93"/>
      <c r="N92" s="86"/>
      <c r="O92" s="87"/>
    </row>
    <row r="93" spans="1:15" ht="127.5" hidden="1">
      <c r="A93" s="85" t="s">
        <v>186</v>
      </c>
      <c r="B93" s="85" t="s">
        <v>187</v>
      </c>
      <c r="C93" s="206">
        <v>0</v>
      </c>
      <c r="D93" s="206">
        <v>0</v>
      </c>
      <c r="E93" s="206">
        <v>0</v>
      </c>
      <c r="F93" s="206">
        <v>0</v>
      </c>
      <c r="G93" s="206">
        <v>7948</v>
      </c>
      <c r="H93" s="206">
        <v>7948</v>
      </c>
      <c r="I93" s="85" t="s">
        <v>575</v>
      </c>
      <c r="J93" s="85" t="s">
        <v>576</v>
      </c>
      <c r="K93" s="96"/>
      <c r="L93" s="141" t="s">
        <v>615</v>
      </c>
      <c r="M93" s="93" t="s">
        <v>616</v>
      </c>
      <c r="N93" s="86"/>
      <c r="O93" s="87"/>
    </row>
    <row r="94" spans="1:15" s="23" customFormat="1" hidden="1">
      <c r="A94" s="96" t="s">
        <v>188</v>
      </c>
      <c r="B94" s="96" t="s">
        <v>189</v>
      </c>
      <c r="C94" s="97">
        <v>0</v>
      </c>
      <c r="D94" s="97">
        <v>0</v>
      </c>
      <c r="E94" s="97">
        <v>0</v>
      </c>
      <c r="F94" s="97">
        <v>0</v>
      </c>
      <c r="G94" s="97">
        <v>0</v>
      </c>
      <c r="H94" s="97">
        <v>0</v>
      </c>
      <c r="I94" s="96"/>
      <c r="J94" s="96"/>
      <c r="K94" s="96"/>
      <c r="L94" s="96"/>
      <c r="M94" s="98"/>
      <c r="N94" s="100"/>
      <c r="O94" s="49"/>
    </row>
    <row r="95" spans="1:15" s="23" customFormat="1" hidden="1">
      <c r="A95" s="96" t="s">
        <v>190</v>
      </c>
      <c r="B95" s="96" t="s">
        <v>191</v>
      </c>
      <c r="C95" s="97">
        <v>0</v>
      </c>
      <c r="D95" s="97">
        <v>0</v>
      </c>
      <c r="E95" s="97">
        <v>0</v>
      </c>
      <c r="F95" s="97">
        <v>0</v>
      </c>
      <c r="G95" s="97">
        <v>0</v>
      </c>
      <c r="H95" s="97">
        <v>0</v>
      </c>
      <c r="I95" s="96"/>
      <c r="J95" s="96"/>
      <c r="K95" s="96"/>
      <c r="L95" s="96"/>
      <c r="M95" s="98"/>
      <c r="N95" s="100"/>
      <c r="O95" s="49"/>
    </row>
    <row r="96" spans="1:15" hidden="1">
      <c r="A96" s="85" t="s">
        <v>192</v>
      </c>
      <c r="B96" s="85" t="s">
        <v>193</v>
      </c>
      <c r="C96" s="206">
        <v>30490</v>
      </c>
      <c r="D96" s="206">
        <v>0</v>
      </c>
      <c r="E96" s="206">
        <v>17041</v>
      </c>
      <c r="F96" s="206">
        <v>47105</v>
      </c>
      <c r="G96" s="206">
        <v>0</v>
      </c>
      <c r="H96" s="206">
        <v>94636</v>
      </c>
      <c r="I96" s="85" t="s">
        <v>572</v>
      </c>
      <c r="J96" s="85" t="s">
        <v>573</v>
      </c>
      <c r="K96" s="96"/>
      <c r="L96" s="85"/>
      <c r="M96" s="93"/>
      <c r="N96" s="86"/>
      <c r="O96" s="87"/>
    </row>
    <row r="97" spans="1:15" hidden="1">
      <c r="A97" s="95" t="s">
        <v>617</v>
      </c>
      <c r="B97" s="85" t="s">
        <v>195</v>
      </c>
      <c r="C97" s="206">
        <v>44699</v>
      </c>
      <c r="D97" s="206">
        <v>17674</v>
      </c>
      <c r="E97" s="206">
        <v>32598</v>
      </c>
      <c r="F97" s="206">
        <v>226778</v>
      </c>
      <c r="G97" s="206">
        <v>29259</v>
      </c>
      <c r="H97" s="206">
        <v>351008</v>
      </c>
      <c r="I97" s="85" t="s">
        <v>586</v>
      </c>
      <c r="J97" s="85" t="s">
        <v>576</v>
      </c>
      <c r="K97" s="96"/>
      <c r="L97" s="85" t="s">
        <v>618</v>
      </c>
      <c r="M97" s="93"/>
      <c r="N97" s="86"/>
      <c r="O97" s="87"/>
    </row>
    <row r="98" spans="1:15" s="23" customFormat="1" hidden="1">
      <c r="A98" s="96" t="s">
        <v>199</v>
      </c>
      <c r="B98" s="96" t="s">
        <v>200</v>
      </c>
      <c r="C98" s="97">
        <v>0</v>
      </c>
      <c r="D98" s="97">
        <v>0</v>
      </c>
      <c r="E98" s="97">
        <v>0</v>
      </c>
      <c r="F98" s="97">
        <v>0</v>
      </c>
      <c r="G98" s="97">
        <v>0</v>
      </c>
      <c r="H98" s="97">
        <v>0</v>
      </c>
      <c r="I98" s="96"/>
      <c r="J98" s="96"/>
      <c r="K98" s="96"/>
      <c r="L98" s="96"/>
      <c r="M98" s="98"/>
      <c r="N98" s="100"/>
      <c r="O98" s="49"/>
    </row>
    <row r="99" spans="1:15" s="23" customFormat="1" hidden="1">
      <c r="A99" s="96" t="s">
        <v>201</v>
      </c>
      <c r="B99" s="96" t="s">
        <v>202</v>
      </c>
      <c r="C99" s="97">
        <v>0</v>
      </c>
      <c r="D99" s="97">
        <v>0</v>
      </c>
      <c r="E99" s="97">
        <v>0</v>
      </c>
      <c r="F99" s="97">
        <v>0</v>
      </c>
      <c r="G99" s="97">
        <v>0</v>
      </c>
      <c r="H99" s="97">
        <v>0</v>
      </c>
      <c r="I99" s="96"/>
      <c r="J99" s="96"/>
      <c r="K99" s="96"/>
      <c r="L99" s="96"/>
      <c r="M99" s="98"/>
      <c r="N99" s="100"/>
      <c r="O99" s="49"/>
    </row>
    <row r="100" spans="1:15" s="23" customFormat="1" hidden="1">
      <c r="A100" s="96" t="s">
        <v>203</v>
      </c>
      <c r="B100" s="96" t="s">
        <v>204</v>
      </c>
      <c r="C100" s="97">
        <v>0</v>
      </c>
      <c r="D100" s="97">
        <v>0</v>
      </c>
      <c r="E100" s="97">
        <v>0</v>
      </c>
      <c r="F100" s="97">
        <v>0</v>
      </c>
      <c r="G100" s="97">
        <v>0</v>
      </c>
      <c r="H100" s="97">
        <v>0</v>
      </c>
      <c r="I100" s="96"/>
      <c r="J100" s="96"/>
      <c r="K100" s="96"/>
      <c r="L100" s="96"/>
      <c r="M100" s="98"/>
      <c r="N100" s="100"/>
      <c r="O100" s="49"/>
    </row>
    <row r="101" spans="1:15" s="23" customFormat="1" hidden="1">
      <c r="A101" s="96" t="s">
        <v>205</v>
      </c>
      <c r="B101" s="96" t="s">
        <v>206</v>
      </c>
      <c r="C101" s="97">
        <v>0</v>
      </c>
      <c r="D101" s="97">
        <v>0</v>
      </c>
      <c r="E101" s="97">
        <v>0</v>
      </c>
      <c r="F101" s="97">
        <v>0</v>
      </c>
      <c r="G101" s="97">
        <v>0</v>
      </c>
      <c r="H101" s="97">
        <v>0</v>
      </c>
      <c r="I101" s="96"/>
      <c r="J101" s="96"/>
      <c r="K101" s="96"/>
      <c r="L101" s="96"/>
      <c r="M101" s="98"/>
      <c r="N101" s="100"/>
      <c r="O101" s="49"/>
    </row>
    <row r="102" spans="1:15" s="23" customFormat="1" hidden="1">
      <c r="A102" s="96" t="s">
        <v>207</v>
      </c>
      <c r="B102" s="96" t="s">
        <v>208</v>
      </c>
      <c r="C102" s="97">
        <v>0</v>
      </c>
      <c r="D102" s="97">
        <v>0</v>
      </c>
      <c r="E102" s="97">
        <v>0</v>
      </c>
      <c r="F102" s="97">
        <v>0</v>
      </c>
      <c r="G102" s="97">
        <v>0</v>
      </c>
      <c r="H102" s="97">
        <v>0</v>
      </c>
      <c r="I102" s="96"/>
      <c r="J102" s="96"/>
      <c r="K102" s="96"/>
      <c r="L102" s="96"/>
      <c r="M102" s="98"/>
      <c r="N102" s="100"/>
      <c r="O102" s="49"/>
    </row>
    <row r="103" spans="1:15" s="23" customFormat="1" hidden="1">
      <c r="A103" s="96" t="s">
        <v>209</v>
      </c>
      <c r="B103" s="96" t="s">
        <v>210</v>
      </c>
      <c r="C103" s="97">
        <v>0</v>
      </c>
      <c r="D103" s="97">
        <v>0</v>
      </c>
      <c r="E103" s="97">
        <v>0</v>
      </c>
      <c r="F103" s="97">
        <v>0</v>
      </c>
      <c r="G103" s="97">
        <v>0</v>
      </c>
      <c r="H103" s="97">
        <v>0</v>
      </c>
      <c r="I103" s="96"/>
      <c r="J103" s="96"/>
      <c r="K103" s="96"/>
      <c r="L103" s="96"/>
      <c r="M103" s="98"/>
      <c r="N103" s="100"/>
      <c r="O103" s="49"/>
    </row>
    <row r="104" spans="1:15" hidden="1">
      <c r="A104" s="85" t="s">
        <v>211</v>
      </c>
      <c r="B104" s="85" t="s">
        <v>212</v>
      </c>
      <c r="C104" s="206">
        <v>5095769</v>
      </c>
      <c r="D104" s="206">
        <v>41861</v>
      </c>
      <c r="E104" s="206">
        <v>612099</v>
      </c>
      <c r="F104" s="206">
        <v>183363</v>
      </c>
      <c r="G104" s="206">
        <v>13023</v>
      </c>
      <c r="H104" s="206">
        <v>5946115</v>
      </c>
      <c r="I104" s="85" t="s">
        <v>572</v>
      </c>
      <c r="J104" s="85" t="s">
        <v>573</v>
      </c>
      <c r="K104" s="96"/>
      <c r="L104" s="85"/>
      <c r="M104" s="93"/>
      <c r="N104" s="86"/>
      <c r="O104" s="87"/>
    </row>
    <row r="105" spans="1:15" hidden="1">
      <c r="A105" s="85" t="s">
        <v>213</v>
      </c>
      <c r="B105" s="85" t="s">
        <v>214</v>
      </c>
      <c r="C105" s="206">
        <v>4042</v>
      </c>
      <c r="D105" s="206">
        <v>1991</v>
      </c>
      <c r="E105" s="206">
        <v>3156</v>
      </c>
      <c r="F105" s="206">
        <v>2586</v>
      </c>
      <c r="G105" s="206">
        <v>1628</v>
      </c>
      <c r="H105" s="206">
        <v>13403</v>
      </c>
      <c r="I105" s="85" t="s">
        <v>572</v>
      </c>
      <c r="J105" s="85" t="s">
        <v>573</v>
      </c>
      <c r="K105" s="96"/>
      <c r="L105" s="85"/>
      <c r="M105" s="93"/>
      <c r="N105" s="86"/>
      <c r="O105" s="87"/>
    </row>
    <row r="106" spans="1:15" s="23" customFormat="1" hidden="1">
      <c r="A106" s="96" t="s">
        <v>215</v>
      </c>
      <c r="B106" s="96" t="s">
        <v>216</v>
      </c>
      <c r="C106" s="97">
        <v>0</v>
      </c>
      <c r="D106" s="97">
        <v>0</v>
      </c>
      <c r="E106" s="97">
        <v>0</v>
      </c>
      <c r="F106" s="97">
        <v>0</v>
      </c>
      <c r="G106" s="97">
        <v>0</v>
      </c>
      <c r="H106" s="97">
        <v>0</v>
      </c>
      <c r="I106" s="96"/>
      <c r="J106" s="96"/>
      <c r="K106" s="96"/>
      <c r="L106" s="96"/>
      <c r="M106" s="98"/>
      <c r="N106" s="100"/>
      <c r="O106" s="49"/>
    </row>
    <row r="107" spans="1:15" s="23" customFormat="1" hidden="1">
      <c r="A107" s="96" t="s">
        <v>217</v>
      </c>
      <c r="B107" s="96" t="s">
        <v>218</v>
      </c>
      <c r="C107" s="97">
        <v>0</v>
      </c>
      <c r="D107" s="97">
        <v>0</v>
      </c>
      <c r="E107" s="97">
        <v>0</v>
      </c>
      <c r="F107" s="97">
        <v>0</v>
      </c>
      <c r="G107" s="97">
        <v>0</v>
      </c>
      <c r="H107" s="97">
        <v>0</v>
      </c>
      <c r="I107" s="96"/>
      <c r="J107" s="96"/>
      <c r="K107" s="96"/>
      <c r="L107" s="96"/>
      <c r="M107" s="98"/>
      <c r="N107" s="100"/>
      <c r="O107" s="49"/>
    </row>
    <row r="108" spans="1:15" s="23" customFormat="1" hidden="1">
      <c r="A108" s="96" t="s">
        <v>219</v>
      </c>
      <c r="B108" s="96" t="s">
        <v>220</v>
      </c>
      <c r="C108" s="97">
        <v>0</v>
      </c>
      <c r="D108" s="97">
        <v>0</v>
      </c>
      <c r="E108" s="97">
        <v>0</v>
      </c>
      <c r="F108" s="97">
        <v>0</v>
      </c>
      <c r="G108" s="97">
        <v>0</v>
      </c>
      <c r="H108" s="97">
        <v>0</v>
      </c>
      <c r="I108" s="96"/>
      <c r="J108" s="96"/>
      <c r="K108" s="96"/>
      <c r="L108" s="96"/>
      <c r="M108" s="98"/>
      <c r="N108" s="100"/>
      <c r="O108" s="49"/>
    </row>
    <row r="109" spans="1:15" s="23" customFormat="1" hidden="1">
      <c r="A109" s="96" t="s">
        <v>221</v>
      </c>
      <c r="B109" s="96" t="s">
        <v>222</v>
      </c>
      <c r="C109" s="97">
        <v>0</v>
      </c>
      <c r="D109" s="97">
        <v>0</v>
      </c>
      <c r="E109" s="97">
        <v>0</v>
      </c>
      <c r="F109" s="97">
        <v>0</v>
      </c>
      <c r="G109" s="97">
        <v>0</v>
      </c>
      <c r="H109" s="97">
        <v>0</v>
      </c>
      <c r="I109" s="96"/>
      <c r="J109" s="96"/>
      <c r="K109" s="96"/>
      <c r="L109" s="96"/>
      <c r="M109" s="98"/>
      <c r="N109" s="100"/>
      <c r="O109" s="49"/>
    </row>
    <row r="110" spans="1:15" s="23" customFormat="1" hidden="1">
      <c r="A110" s="96" t="s">
        <v>223</v>
      </c>
      <c r="B110" s="96" t="s">
        <v>224</v>
      </c>
      <c r="C110" s="97">
        <v>0</v>
      </c>
      <c r="D110" s="97">
        <v>0</v>
      </c>
      <c r="E110" s="97">
        <v>0</v>
      </c>
      <c r="F110" s="97">
        <v>0</v>
      </c>
      <c r="G110" s="97">
        <v>0</v>
      </c>
      <c r="H110" s="97">
        <v>0</v>
      </c>
      <c r="I110" s="96"/>
      <c r="J110" s="96"/>
      <c r="K110" s="96"/>
      <c r="L110" s="96"/>
      <c r="M110" s="98"/>
      <c r="N110" s="100"/>
      <c r="O110" s="49"/>
    </row>
    <row r="111" spans="1:15" hidden="1">
      <c r="A111" s="85" t="s">
        <v>225</v>
      </c>
      <c r="B111" s="85" t="s">
        <v>226</v>
      </c>
      <c r="C111" s="206">
        <v>567</v>
      </c>
      <c r="D111" s="206">
        <v>0</v>
      </c>
      <c r="E111" s="206">
        <v>0</v>
      </c>
      <c r="F111" s="206">
        <v>0</v>
      </c>
      <c r="G111" s="206">
        <v>0</v>
      </c>
      <c r="H111" s="206">
        <v>567</v>
      </c>
      <c r="I111" s="85" t="s">
        <v>575</v>
      </c>
      <c r="J111" s="85" t="s">
        <v>576</v>
      </c>
      <c r="K111" s="96"/>
      <c r="L111" s="85" t="s">
        <v>619</v>
      </c>
      <c r="M111" s="93" t="s">
        <v>620</v>
      </c>
      <c r="N111" s="86"/>
      <c r="O111" s="87"/>
    </row>
    <row r="112" spans="1:15" s="23" customFormat="1" hidden="1">
      <c r="A112" s="96" t="s">
        <v>227</v>
      </c>
      <c r="B112" s="96" t="s">
        <v>228</v>
      </c>
      <c r="C112" s="97">
        <v>0</v>
      </c>
      <c r="D112" s="97">
        <v>0</v>
      </c>
      <c r="E112" s="97">
        <v>0</v>
      </c>
      <c r="F112" s="97">
        <v>0</v>
      </c>
      <c r="G112" s="97">
        <v>0</v>
      </c>
      <c r="H112" s="97">
        <v>0</v>
      </c>
      <c r="I112" s="96"/>
      <c r="J112" s="96"/>
      <c r="K112" s="96"/>
      <c r="L112" s="96"/>
      <c r="M112" s="98"/>
      <c r="N112" s="100"/>
      <c r="O112" s="49"/>
    </row>
    <row r="113" spans="1:15" s="23" customFormat="1" hidden="1">
      <c r="A113" s="96" t="s">
        <v>229</v>
      </c>
      <c r="B113" s="96" t="s">
        <v>230</v>
      </c>
      <c r="C113" s="97">
        <v>0</v>
      </c>
      <c r="D113" s="97">
        <v>0</v>
      </c>
      <c r="E113" s="97">
        <v>0</v>
      </c>
      <c r="F113" s="97">
        <v>0</v>
      </c>
      <c r="G113" s="97">
        <v>0</v>
      </c>
      <c r="H113" s="97">
        <v>0</v>
      </c>
      <c r="I113" s="96"/>
      <c r="J113" s="96"/>
      <c r="K113" s="96"/>
      <c r="L113" s="96"/>
      <c r="M113" s="98"/>
      <c r="N113" s="100"/>
      <c r="O113" s="49"/>
    </row>
    <row r="114" spans="1:15" hidden="1">
      <c r="A114" s="85" t="s">
        <v>231</v>
      </c>
      <c r="B114" s="85" t="s">
        <v>232</v>
      </c>
      <c r="C114" s="206">
        <v>0</v>
      </c>
      <c r="D114" s="206">
        <v>777</v>
      </c>
      <c r="E114" s="206">
        <v>3303</v>
      </c>
      <c r="F114" s="206">
        <v>8931</v>
      </c>
      <c r="G114" s="206">
        <v>0</v>
      </c>
      <c r="H114" s="206">
        <v>13011</v>
      </c>
      <c r="I114" s="85" t="s">
        <v>572</v>
      </c>
      <c r="J114" s="85" t="s">
        <v>573</v>
      </c>
      <c r="K114" s="96"/>
      <c r="L114" s="85"/>
      <c r="M114" s="93"/>
      <c r="N114" s="86"/>
      <c r="O114" s="87"/>
    </row>
    <row r="115" spans="1:15" s="23" customFormat="1" hidden="1">
      <c r="A115" s="96" t="s">
        <v>233</v>
      </c>
      <c r="B115" s="96" t="s">
        <v>234</v>
      </c>
      <c r="C115" s="97">
        <v>0</v>
      </c>
      <c r="D115" s="97">
        <v>0</v>
      </c>
      <c r="E115" s="97">
        <v>0</v>
      </c>
      <c r="F115" s="97">
        <v>0</v>
      </c>
      <c r="G115" s="97">
        <v>0</v>
      </c>
      <c r="H115" s="97">
        <v>0</v>
      </c>
      <c r="I115" s="96"/>
      <c r="J115" s="96"/>
      <c r="K115" s="96"/>
      <c r="L115" s="96"/>
      <c r="M115" s="98"/>
      <c r="N115" s="100"/>
      <c r="O115" s="49"/>
    </row>
    <row r="116" spans="1:15" s="23" customFormat="1" hidden="1">
      <c r="A116" s="96" t="s">
        <v>235</v>
      </c>
      <c r="B116" s="96" t="s">
        <v>236</v>
      </c>
      <c r="C116" s="97">
        <v>0</v>
      </c>
      <c r="D116" s="97">
        <v>0</v>
      </c>
      <c r="E116" s="97">
        <v>0</v>
      </c>
      <c r="F116" s="97">
        <v>0</v>
      </c>
      <c r="G116" s="97">
        <v>0</v>
      </c>
      <c r="H116" s="97">
        <v>0</v>
      </c>
      <c r="I116" s="96"/>
      <c r="J116" s="96"/>
      <c r="K116" s="96"/>
      <c r="L116" s="96"/>
      <c r="M116" s="98"/>
      <c r="N116" s="100"/>
      <c r="O116" s="49"/>
    </row>
    <row r="117" spans="1:15" s="23" customFormat="1" hidden="1">
      <c r="A117" s="96" t="s">
        <v>237</v>
      </c>
      <c r="B117" s="96" t="s">
        <v>238</v>
      </c>
      <c r="C117" s="97">
        <v>0</v>
      </c>
      <c r="D117" s="97">
        <v>0</v>
      </c>
      <c r="E117" s="97">
        <v>0</v>
      </c>
      <c r="F117" s="97">
        <v>0</v>
      </c>
      <c r="G117" s="97">
        <v>0</v>
      </c>
      <c r="H117" s="97">
        <v>0</v>
      </c>
      <c r="I117" s="96"/>
      <c r="J117" s="96"/>
      <c r="K117" s="96"/>
      <c r="L117" s="96"/>
      <c r="M117" s="98"/>
      <c r="N117" s="100"/>
      <c r="O117" s="49"/>
    </row>
    <row r="118" spans="1:15" hidden="1">
      <c r="A118" s="106" t="s">
        <v>621</v>
      </c>
      <c r="B118" s="85" t="s">
        <v>240</v>
      </c>
      <c r="C118" s="206">
        <v>1064631</v>
      </c>
      <c r="D118" s="206">
        <v>20723</v>
      </c>
      <c r="E118" s="206">
        <v>449631</v>
      </c>
      <c r="F118" s="206">
        <v>1223106</v>
      </c>
      <c r="G118" s="206">
        <v>10987</v>
      </c>
      <c r="H118" s="206">
        <v>2769078</v>
      </c>
      <c r="I118" s="85" t="s">
        <v>575</v>
      </c>
      <c r="J118" s="85" t="s">
        <v>573</v>
      </c>
      <c r="K118" s="85"/>
      <c r="L118" s="85"/>
      <c r="M118" s="93"/>
      <c r="N118" s="86"/>
      <c r="O118" s="87" t="s">
        <v>622</v>
      </c>
    </row>
    <row r="119" spans="1:15" s="23" customFormat="1" hidden="1">
      <c r="A119" s="96" t="s">
        <v>241</v>
      </c>
      <c r="B119" s="96" t="s">
        <v>242</v>
      </c>
      <c r="C119" s="97">
        <v>0</v>
      </c>
      <c r="D119" s="97">
        <v>0</v>
      </c>
      <c r="E119" s="97">
        <v>0</v>
      </c>
      <c r="F119" s="97">
        <v>0</v>
      </c>
      <c r="G119" s="97">
        <v>0</v>
      </c>
      <c r="H119" s="97">
        <v>0</v>
      </c>
      <c r="I119" s="96"/>
      <c r="J119" s="96"/>
      <c r="K119" s="96"/>
      <c r="L119" s="96"/>
      <c r="M119" s="98"/>
      <c r="N119" s="100"/>
      <c r="O119" s="49"/>
    </row>
    <row r="120" spans="1:15" s="23" customFormat="1" hidden="1">
      <c r="A120" s="96" t="s">
        <v>243</v>
      </c>
      <c r="B120" s="96" t="s">
        <v>244</v>
      </c>
      <c r="C120" s="97">
        <v>0</v>
      </c>
      <c r="D120" s="97">
        <v>0</v>
      </c>
      <c r="E120" s="97">
        <v>0</v>
      </c>
      <c r="F120" s="97">
        <v>0</v>
      </c>
      <c r="G120" s="97">
        <v>0</v>
      </c>
      <c r="H120" s="97">
        <v>0</v>
      </c>
      <c r="I120" s="96"/>
      <c r="J120" s="96"/>
      <c r="K120" s="96"/>
      <c r="L120" s="96"/>
      <c r="M120" s="98"/>
      <c r="N120" s="100"/>
      <c r="O120" s="49"/>
    </row>
    <row r="121" spans="1:15" s="23" customFormat="1" hidden="1">
      <c r="A121" s="96" t="s">
        <v>245</v>
      </c>
      <c r="B121" s="96" t="s">
        <v>246</v>
      </c>
      <c r="C121" s="97">
        <v>0</v>
      </c>
      <c r="D121" s="97">
        <v>0</v>
      </c>
      <c r="E121" s="97">
        <v>0</v>
      </c>
      <c r="F121" s="97">
        <v>0</v>
      </c>
      <c r="G121" s="97">
        <v>0</v>
      </c>
      <c r="H121" s="97">
        <v>0</v>
      </c>
      <c r="I121" s="96"/>
      <c r="J121" s="96"/>
      <c r="K121" s="96"/>
      <c r="L121" s="96"/>
      <c r="M121" s="98"/>
      <c r="N121" s="100"/>
      <c r="O121" s="49"/>
    </row>
    <row r="122" spans="1:15" s="23" customFormat="1" hidden="1">
      <c r="A122" s="96" t="s">
        <v>247</v>
      </c>
      <c r="B122" s="96" t="s">
        <v>248</v>
      </c>
      <c r="C122" s="97">
        <v>0</v>
      </c>
      <c r="D122" s="97">
        <v>0</v>
      </c>
      <c r="E122" s="97">
        <v>0</v>
      </c>
      <c r="F122" s="97">
        <v>0</v>
      </c>
      <c r="G122" s="97">
        <v>0</v>
      </c>
      <c r="H122" s="97">
        <v>0</v>
      </c>
      <c r="I122" s="96"/>
      <c r="J122" s="96"/>
      <c r="K122" s="96"/>
      <c r="L122" s="96"/>
      <c r="M122" s="98"/>
      <c r="N122" s="100"/>
      <c r="O122" s="49"/>
    </row>
    <row r="123" spans="1:15" hidden="1">
      <c r="A123" s="85" t="s">
        <v>249</v>
      </c>
      <c r="B123" s="85" t="s">
        <v>250</v>
      </c>
      <c r="C123" s="206">
        <v>144857</v>
      </c>
      <c r="D123" s="206">
        <v>943</v>
      </c>
      <c r="E123" s="206">
        <v>8493</v>
      </c>
      <c r="F123" s="206">
        <v>98507</v>
      </c>
      <c r="G123" s="206">
        <v>2756</v>
      </c>
      <c r="H123" s="206">
        <v>255556</v>
      </c>
      <c r="I123" s="85" t="s">
        <v>575</v>
      </c>
      <c r="J123" s="85" t="s">
        <v>576</v>
      </c>
      <c r="K123" s="85" t="s">
        <v>623</v>
      </c>
      <c r="L123" s="85" t="s">
        <v>624</v>
      </c>
      <c r="M123" s="93" t="s">
        <v>625</v>
      </c>
      <c r="N123" s="86"/>
      <c r="O123" s="87"/>
    </row>
    <row r="124" spans="1:15" hidden="1">
      <c r="A124" s="85" t="s">
        <v>251</v>
      </c>
      <c r="B124" s="85" t="s">
        <v>252</v>
      </c>
      <c r="C124" s="206">
        <v>24950</v>
      </c>
      <c r="D124" s="206">
        <v>5807</v>
      </c>
      <c r="E124" s="206">
        <v>17280</v>
      </c>
      <c r="F124" s="206">
        <v>102842</v>
      </c>
      <c r="G124" s="206">
        <v>6395</v>
      </c>
      <c r="H124" s="206">
        <v>157274</v>
      </c>
      <c r="I124" s="85" t="s">
        <v>575</v>
      </c>
      <c r="J124" s="85" t="s">
        <v>576</v>
      </c>
      <c r="K124" s="85" t="s">
        <v>623</v>
      </c>
      <c r="L124" s="85" t="s">
        <v>624</v>
      </c>
      <c r="M124" s="93" t="s">
        <v>625</v>
      </c>
      <c r="N124" s="86"/>
      <c r="O124" s="87"/>
    </row>
    <row r="125" spans="1:15" hidden="1">
      <c r="A125" s="85" t="s">
        <v>253</v>
      </c>
      <c r="B125" s="85" t="s">
        <v>254</v>
      </c>
      <c r="C125" s="206">
        <v>772</v>
      </c>
      <c r="D125" s="206">
        <v>7939</v>
      </c>
      <c r="E125" s="206">
        <v>9230</v>
      </c>
      <c r="F125" s="206">
        <v>166450</v>
      </c>
      <c r="G125" s="206">
        <v>6023</v>
      </c>
      <c r="H125" s="206">
        <v>190414</v>
      </c>
      <c r="I125" s="85" t="s">
        <v>575</v>
      </c>
      <c r="J125" s="85" t="s">
        <v>576</v>
      </c>
      <c r="K125" s="85" t="s">
        <v>623</v>
      </c>
      <c r="L125" s="85" t="s">
        <v>626</v>
      </c>
      <c r="M125" s="93" t="s">
        <v>625</v>
      </c>
      <c r="N125" s="86"/>
      <c r="O125" s="87"/>
    </row>
    <row r="126" spans="1:15" hidden="1">
      <c r="A126" s="85" t="s">
        <v>255</v>
      </c>
      <c r="B126" s="85" t="s">
        <v>256</v>
      </c>
      <c r="C126" s="206">
        <v>58438</v>
      </c>
      <c r="D126" s="206">
        <v>25399</v>
      </c>
      <c r="E126" s="206">
        <v>49264</v>
      </c>
      <c r="F126" s="206">
        <v>107211</v>
      </c>
      <c r="G126" s="206">
        <v>27938</v>
      </c>
      <c r="H126" s="206">
        <v>268250</v>
      </c>
      <c r="I126" s="85" t="s">
        <v>575</v>
      </c>
      <c r="J126" s="85" t="s">
        <v>576</v>
      </c>
      <c r="K126" s="85" t="s">
        <v>609</v>
      </c>
      <c r="L126" s="85" t="s">
        <v>627</v>
      </c>
      <c r="M126" s="93" t="s">
        <v>628</v>
      </c>
      <c r="N126" s="86"/>
      <c r="O126" s="88"/>
    </row>
    <row r="127" spans="1:15" hidden="1">
      <c r="A127" s="95" t="s">
        <v>629</v>
      </c>
      <c r="B127" s="85" t="s">
        <v>258</v>
      </c>
      <c r="C127" s="206">
        <v>108121</v>
      </c>
      <c r="D127" s="206">
        <v>42311</v>
      </c>
      <c r="E127" s="206">
        <v>50796</v>
      </c>
      <c r="F127" s="206">
        <v>153525</v>
      </c>
      <c r="G127" s="206">
        <v>45740</v>
      </c>
      <c r="H127" s="206">
        <v>400493</v>
      </c>
      <c r="I127" s="85" t="s">
        <v>586</v>
      </c>
      <c r="J127" s="85" t="s">
        <v>573</v>
      </c>
      <c r="K127" s="96"/>
      <c r="L127" s="85"/>
      <c r="M127" s="93"/>
      <c r="N127" s="86"/>
      <c r="O127" s="123" t="s">
        <v>630</v>
      </c>
    </row>
    <row r="128" spans="1:15" ht="102" hidden="1">
      <c r="A128" s="95" t="s">
        <v>631</v>
      </c>
      <c r="B128" s="85" t="s">
        <v>632</v>
      </c>
      <c r="C128" s="206">
        <v>63491</v>
      </c>
      <c r="D128" s="206">
        <v>25292</v>
      </c>
      <c r="E128" s="206">
        <v>24760</v>
      </c>
      <c r="F128" s="206">
        <v>121261</v>
      </c>
      <c r="G128" s="206">
        <v>13893</v>
      </c>
      <c r="H128" s="206">
        <v>248697</v>
      </c>
      <c r="I128" s="85" t="s">
        <v>586</v>
      </c>
      <c r="J128" s="85" t="s">
        <v>573</v>
      </c>
      <c r="K128" s="96"/>
      <c r="L128" s="85"/>
      <c r="M128" s="93"/>
      <c r="N128" s="86"/>
      <c r="O128" s="242" t="s">
        <v>633</v>
      </c>
    </row>
    <row r="129" spans="1:15" hidden="1">
      <c r="A129" s="95" t="s">
        <v>634</v>
      </c>
      <c r="B129" s="85" t="s">
        <v>262</v>
      </c>
      <c r="C129" s="206">
        <v>1</v>
      </c>
      <c r="D129" s="206">
        <v>0</v>
      </c>
      <c r="E129" s="206">
        <v>2921</v>
      </c>
      <c r="F129" s="206">
        <v>3250</v>
      </c>
      <c r="G129" s="206">
        <v>12620</v>
      </c>
      <c r="H129" s="206">
        <v>18792</v>
      </c>
      <c r="I129" s="85" t="s">
        <v>586</v>
      </c>
      <c r="J129" s="85" t="s">
        <v>573</v>
      </c>
      <c r="K129" s="96"/>
      <c r="L129" s="85"/>
      <c r="M129" s="93"/>
      <c r="N129" s="86"/>
      <c r="O129" s="87" t="s">
        <v>635</v>
      </c>
    </row>
    <row r="130" spans="1:15" s="23" customFormat="1" hidden="1">
      <c r="A130" s="96" t="s">
        <v>263</v>
      </c>
      <c r="B130" s="96" t="s">
        <v>264</v>
      </c>
      <c r="C130" s="97">
        <v>0</v>
      </c>
      <c r="D130" s="97">
        <v>0</v>
      </c>
      <c r="E130" s="97">
        <v>0</v>
      </c>
      <c r="F130" s="97">
        <v>0</v>
      </c>
      <c r="G130" s="97">
        <v>0</v>
      </c>
      <c r="H130" s="97">
        <v>0</v>
      </c>
      <c r="I130" s="96"/>
      <c r="J130" s="96"/>
      <c r="K130" s="96"/>
      <c r="L130" s="96"/>
      <c r="M130" s="98"/>
      <c r="N130" s="100"/>
      <c r="O130" s="49"/>
    </row>
    <row r="131" spans="1:15" s="23" customFormat="1" hidden="1">
      <c r="A131" s="96" t="s">
        <v>265</v>
      </c>
      <c r="B131" s="96" t="s">
        <v>266</v>
      </c>
      <c r="C131" s="97">
        <v>0</v>
      </c>
      <c r="D131" s="97">
        <v>0</v>
      </c>
      <c r="E131" s="97">
        <v>0</v>
      </c>
      <c r="F131" s="97">
        <v>0</v>
      </c>
      <c r="G131" s="97">
        <v>0</v>
      </c>
      <c r="H131" s="97">
        <v>0</v>
      </c>
      <c r="I131" s="96"/>
      <c r="J131" s="96"/>
      <c r="K131" s="96"/>
      <c r="L131" s="96"/>
      <c r="M131" s="98"/>
      <c r="N131" s="100"/>
      <c r="O131" s="49"/>
    </row>
    <row r="132" spans="1:15" s="23" customFormat="1" hidden="1">
      <c r="A132" s="96" t="s">
        <v>269</v>
      </c>
      <c r="B132" s="96" t="s">
        <v>270</v>
      </c>
      <c r="C132" s="97">
        <v>0</v>
      </c>
      <c r="D132" s="97">
        <v>0</v>
      </c>
      <c r="E132" s="97">
        <v>0</v>
      </c>
      <c r="F132" s="97">
        <v>0</v>
      </c>
      <c r="G132" s="97">
        <v>0</v>
      </c>
      <c r="H132" s="97">
        <v>0</v>
      </c>
      <c r="I132" s="96"/>
      <c r="J132" s="96"/>
      <c r="K132" s="96"/>
      <c r="L132" s="96"/>
      <c r="M132" s="98"/>
      <c r="N132" s="100"/>
      <c r="O132" s="49"/>
    </row>
    <row r="133" spans="1:15" hidden="1">
      <c r="A133" s="95" t="s">
        <v>636</v>
      </c>
      <c r="B133" s="85" t="s">
        <v>272</v>
      </c>
      <c r="C133" s="206">
        <v>1161339</v>
      </c>
      <c r="D133" s="206">
        <v>126336</v>
      </c>
      <c r="E133" s="206">
        <v>442532</v>
      </c>
      <c r="F133" s="206">
        <v>1878667</v>
      </c>
      <c r="G133" s="206">
        <v>139252</v>
      </c>
      <c r="H133" s="206">
        <v>3748126</v>
      </c>
      <c r="I133" s="85" t="s">
        <v>586</v>
      </c>
      <c r="J133" s="85" t="s">
        <v>637</v>
      </c>
      <c r="K133" s="96"/>
      <c r="L133" s="85" t="s">
        <v>638</v>
      </c>
      <c r="M133" s="93"/>
      <c r="N133" s="86"/>
      <c r="O133" s="87" t="s">
        <v>639</v>
      </c>
    </row>
    <row r="134" spans="1:15" s="23" customFormat="1" hidden="1">
      <c r="A134" s="96" t="s">
        <v>273</v>
      </c>
      <c r="B134" s="96" t="s">
        <v>274</v>
      </c>
      <c r="C134" s="97">
        <v>0</v>
      </c>
      <c r="D134" s="97">
        <v>0</v>
      </c>
      <c r="E134" s="97">
        <v>0</v>
      </c>
      <c r="F134" s="97">
        <v>0</v>
      </c>
      <c r="G134" s="97">
        <v>0</v>
      </c>
      <c r="H134" s="97">
        <v>0</v>
      </c>
      <c r="I134" s="96"/>
      <c r="J134" s="96"/>
      <c r="K134" s="96"/>
      <c r="L134" s="96"/>
      <c r="M134" s="98"/>
      <c r="N134" s="100"/>
      <c r="O134" s="49"/>
    </row>
    <row r="135" spans="1:15" hidden="1">
      <c r="A135" s="95" t="s">
        <v>640</v>
      </c>
      <c r="B135" s="85" t="s">
        <v>276</v>
      </c>
      <c r="C135" s="206">
        <v>60661</v>
      </c>
      <c r="D135" s="206">
        <v>18575</v>
      </c>
      <c r="E135" s="206">
        <v>23616</v>
      </c>
      <c r="F135" s="206">
        <v>115256</v>
      </c>
      <c r="G135" s="206">
        <v>13482</v>
      </c>
      <c r="H135" s="206">
        <v>231590</v>
      </c>
      <c r="I135" s="85" t="s">
        <v>586</v>
      </c>
      <c r="J135" s="85" t="s">
        <v>637</v>
      </c>
      <c r="K135" s="96"/>
      <c r="L135" s="85" t="s">
        <v>295</v>
      </c>
      <c r="M135" s="93"/>
      <c r="N135" s="86"/>
      <c r="O135" s="87" t="s">
        <v>641</v>
      </c>
    </row>
    <row r="136" spans="1:15" s="23" customFormat="1" hidden="1">
      <c r="A136" s="96" t="s">
        <v>277</v>
      </c>
      <c r="B136" s="96" t="s">
        <v>278</v>
      </c>
      <c r="C136" s="97">
        <v>0</v>
      </c>
      <c r="D136" s="97">
        <v>0</v>
      </c>
      <c r="E136" s="97">
        <v>0</v>
      </c>
      <c r="F136" s="97">
        <v>0</v>
      </c>
      <c r="G136" s="97">
        <v>0</v>
      </c>
      <c r="H136" s="97">
        <v>0</v>
      </c>
      <c r="I136" s="96"/>
      <c r="J136" s="96"/>
      <c r="K136" s="96"/>
      <c r="L136" s="96"/>
      <c r="M136" s="98"/>
      <c r="N136" s="100"/>
      <c r="O136" s="49"/>
    </row>
    <row r="137" spans="1:15" s="23" customFormat="1" hidden="1">
      <c r="A137" s="96" t="s">
        <v>279</v>
      </c>
      <c r="B137" s="96" t="s">
        <v>280</v>
      </c>
      <c r="C137" s="97">
        <v>0</v>
      </c>
      <c r="D137" s="97">
        <v>0</v>
      </c>
      <c r="E137" s="97">
        <v>0</v>
      </c>
      <c r="F137" s="97">
        <v>0</v>
      </c>
      <c r="G137" s="97">
        <v>0</v>
      </c>
      <c r="H137" s="97">
        <v>0</v>
      </c>
      <c r="I137" s="96"/>
      <c r="J137" s="96"/>
      <c r="K137" s="96"/>
      <c r="L137" s="96"/>
      <c r="M137" s="98"/>
      <c r="N137" s="100"/>
      <c r="O137" s="49"/>
    </row>
    <row r="138" spans="1:15" s="23" customFormat="1" hidden="1">
      <c r="A138" s="96" t="s">
        <v>281</v>
      </c>
      <c r="B138" s="96" t="s">
        <v>282</v>
      </c>
      <c r="C138" s="97">
        <v>0</v>
      </c>
      <c r="D138" s="97">
        <v>0</v>
      </c>
      <c r="E138" s="97">
        <v>0</v>
      </c>
      <c r="F138" s="97">
        <v>0</v>
      </c>
      <c r="G138" s="97">
        <v>0</v>
      </c>
      <c r="H138" s="97">
        <v>0</v>
      </c>
      <c r="I138" s="96"/>
      <c r="J138" s="96"/>
      <c r="K138" s="96"/>
      <c r="L138" s="96"/>
      <c r="M138" s="98"/>
      <c r="N138" s="100"/>
      <c r="O138" s="49"/>
    </row>
    <row r="139" spans="1:15" s="23" customFormat="1" hidden="1">
      <c r="A139" s="96" t="s">
        <v>283</v>
      </c>
      <c r="B139" s="96" t="s">
        <v>284</v>
      </c>
      <c r="C139" s="97">
        <v>0</v>
      </c>
      <c r="D139" s="97">
        <v>0</v>
      </c>
      <c r="E139" s="97">
        <v>0</v>
      </c>
      <c r="F139" s="97">
        <v>0</v>
      </c>
      <c r="G139" s="97">
        <v>0</v>
      </c>
      <c r="H139" s="97">
        <v>0</v>
      </c>
      <c r="I139" s="96"/>
      <c r="J139" s="96"/>
      <c r="K139" s="96"/>
      <c r="L139" s="96"/>
      <c r="M139" s="98"/>
      <c r="N139" s="100"/>
      <c r="O139" s="49"/>
    </row>
    <row r="140" spans="1:15" hidden="1">
      <c r="A140" s="95" t="s">
        <v>642</v>
      </c>
      <c r="B140" s="85" t="s">
        <v>286</v>
      </c>
      <c r="C140" s="206">
        <v>63503</v>
      </c>
      <c r="D140" s="206">
        <v>25309</v>
      </c>
      <c r="E140" s="206">
        <v>26177</v>
      </c>
      <c r="F140" s="206">
        <v>209914</v>
      </c>
      <c r="G140" s="206">
        <v>13893</v>
      </c>
      <c r="H140" s="206">
        <v>338796</v>
      </c>
      <c r="I140" s="85" t="s">
        <v>586</v>
      </c>
      <c r="J140" s="85" t="s">
        <v>637</v>
      </c>
      <c r="K140" s="96"/>
      <c r="L140" s="85" t="s">
        <v>295</v>
      </c>
      <c r="M140" s="93"/>
      <c r="N140" s="86"/>
      <c r="O140" s="87" t="s">
        <v>643</v>
      </c>
    </row>
    <row r="141" spans="1:15" s="23" customFormat="1" hidden="1">
      <c r="A141" s="96" t="s">
        <v>287</v>
      </c>
      <c r="B141" s="96" t="s">
        <v>288</v>
      </c>
      <c r="C141" s="97">
        <v>0</v>
      </c>
      <c r="D141" s="97">
        <v>0</v>
      </c>
      <c r="E141" s="97">
        <v>0</v>
      </c>
      <c r="F141" s="97">
        <v>0</v>
      </c>
      <c r="G141" s="97">
        <v>0</v>
      </c>
      <c r="H141" s="97">
        <v>0</v>
      </c>
      <c r="I141" s="96"/>
      <c r="J141" s="96"/>
      <c r="K141" s="96"/>
      <c r="L141" s="96"/>
      <c r="M141" s="98"/>
      <c r="N141" s="100"/>
      <c r="O141" s="49"/>
    </row>
    <row r="142" spans="1:15" s="23" customFormat="1" hidden="1">
      <c r="A142" s="96" t="s">
        <v>289</v>
      </c>
      <c r="B142" s="96" t="s">
        <v>290</v>
      </c>
      <c r="C142" s="97">
        <v>0</v>
      </c>
      <c r="D142" s="97">
        <v>0</v>
      </c>
      <c r="E142" s="97">
        <v>0</v>
      </c>
      <c r="F142" s="97">
        <v>0</v>
      </c>
      <c r="G142" s="97">
        <v>0</v>
      </c>
      <c r="H142" s="97">
        <v>0</v>
      </c>
      <c r="I142" s="96"/>
      <c r="J142" s="96"/>
      <c r="K142" s="96"/>
      <c r="L142" s="96"/>
      <c r="M142" s="98"/>
      <c r="N142" s="100"/>
      <c r="O142" s="49"/>
    </row>
    <row r="143" spans="1:15" s="23" customFormat="1" hidden="1">
      <c r="A143" s="96" t="s">
        <v>291</v>
      </c>
      <c r="B143" s="96" t="s">
        <v>292</v>
      </c>
      <c r="C143" s="97">
        <v>0</v>
      </c>
      <c r="D143" s="97">
        <v>0</v>
      </c>
      <c r="E143" s="97">
        <v>0</v>
      </c>
      <c r="F143" s="97">
        <v>0</v>
      </c>
      <c r="G143" s="97">
        <v>0</v>
      </c>
      <c r="H143" s="97">
        <v>0</v>
      </c>
      <c r="I143" s="96"/>
      <c r="J143" s="96"/>
      <c r="K143" s="96"/>
      <c r="L143" s="96"/>
      <c r="M143" s="98"/>
      <c r="N143" s="100"/>
      <c r="O143" s="49"/>
    </row>
    <row r="144" spans="1:15" s="23" customFormat="1" hidden="1">
      <c r="A144" s="96" t="s">
        <v>293</v>
      </c>
      <c r="B144" s="96" t="s">
        <v>41</v>
      </c>
      <c r="C144" s="97">
        <v>0</v>
      </c>
      <c r="D144" s="97">
        <v>0</v>
      </c>
      <c r="E144" s="97">
        <v>0</v>
      </c>
      <c r="F144" s="97">
        <v>0</v>
      </c>
      <c r="G144" s="97">
        <v>0</v>
      </c>
      <c r="H144" s="97">
        <v>0</v>
      </c>
      <c r="I144" s="96"/>
      <c r="J144" s="96"/>
      <c r="K144" s="96"/>
      <c r="L144" s="96"/>
      <c r="M144" s="98"/>
      <c r="N144" s="100"/>
      <c r="O144" s="49"/>
    </row>
    <row r="145" spans="1:15" hidden="1">
      <c r="A145" s="95" t="s">
        <v>631</v>
      </c>
      <c r="B145" s="85" t="s">
        <v>295</v>
      </c>
      <c r="C145" s="206">
        <v>4625948</v>
      </c>
      <c r="D145" s="206">
        <v>506057</v>
      </c>
      <c r="E145" s="206">
        <v>1437398</v>
      </c>
      <c r="F145" s="206">
        <v>6442665</v>
      </c>
      <c r="G145" s="206">
        <v>996149</v>
      </c>
      <c r="H145" s="206">
        <v>14008217</v>
      </c>
      <c r="I145" s="85" t="s">
        <v>586</v>
      </c>
      <c r="J145" s="85" t="s">
        <v>637</v>
      </c>
      <c r="K145" s="96"/>
      <c r="L145" s="85" t="s">
        <v>295</v>
      </c>
      <c r="M145" s="93"/>
      <c r="N145" s="86"/>
      <c r="O145" s="87" t="s">
        <v>644</v>
      </c>
    </row>
    <row r="146" spans="1:15" hidden="1">
      <c r="A146" s="95" t="s">
        <v>645</v>
      </c>
      <c r="B146" s="85" t="s">
        <v>297</v>
      </c>
      <c r="C146" s="206">
        <v>10202</v>
      </c>
      <c r="D146" s="206">
        <v>1829</v>
      </c>
      <c r="E146" s="206">
        <v>13938</v>
      </c>
      <c r="F146" s="206">
        <v>36529</v>
      </c>
      <c r="G146" s="206">
        <v>2535</v>
      </c>
      <c r="H146" s="206">
        <v>65033</v>
      </c>
      <c r="I146" s="85" t="s">
        <v>586</v>
      </c>
      <c r="J146" s="85" t="s">
        <v>637</v>
      </c>
      <c r="K146" s="96"/>
      <c r="L146" s="85" t="s">
        <v>295</v>
      </c>
      <c r="M146" s="93"/>
      <c r="N146" s="86"/>
      <c r="O146" s="87"/>
    </row>
    <row r="147" spans="1:15" s="23" customFormat="1" hidden="1">
      <c r="A147" s="96" t="s">
        <v>298</v>
      </c>
      <c r="B147" s="96" t="s">
        <v>299</v>
      </c>
      <c r="C147" s="97">
        <v>0</v>
      </c>
      <c r="D147" s="97">
        <v>0</v>
      </c>
      <c r="E147" s="97">
        <v>0</v>
      </c>
      <c r="F147" s="97">
        <v>0</v>
      </c>
      <c r="G147" s="97">
        <v>0</v>
      </c>
      <c r="H147" s="97">
        <v>0</v>
      </c>
      <c r="I147" s="96"/>
      <c r="J147" s="96"/>
      <c r="K147" s="96"/>
      <c r="L147" s="96"/>
      <c r="M147" s="98"/>
      <c r="N147" s="100"/>
      <c r="O147" s="49"/>
    </row>
    <row r="148" spans="1:15" ht="15">
      <c r="A148" s="301" t="s">
        <v>646</v>
      </c>
      <c r="B148" s="85" t="s">
        <v>301</v>
      </c>
      <c r="C148" s="206">
        <v>44699</v>
      </c>
      <c r="D148" s="206">
        <v>17674</v>
      </c>
      <c r="E148" s="206">
        <v>32598</v>
      </c>
      <c r="F148" s="206">
        <v>226778</v>
      </c>
      <c r="G148" s="206">
        <v>29259</v>
      </c>
      <c r="H148" s="206">
        <v>351008</v>
      </c>
      <c r="I148" s="85" t="s">
        <v>586</v>
      </c>
      <c r="J148" s="85" t="s">
        <v>647</v>
      </c>
      <c r="K148" s="96"/>
      <c r="L148" s="85"/>
      <c r="M148" s="93"/>
      <c r="N148" s="86"/>
      <c r="O148" s="87" t="s">
        <v>648</v>
      </c>
    </row>
    <row r="149" spans="1:15" hidden="1">
      <c r="A149" s="95" t="s">
        <v>649</v>
      </c>
      <c r="B149" s="85" t="s">
        <v>303</v>
      </c>
      <c r="C149" s="206">
        <v>1020257</v>
      </c>
      <c r="D149" s="206">
        <v>105410</v>
      </c>
      <c r="E149" s="206">
        <v>520916</v>
      </c>
      <c r="F149" s="206">
        <v>1100694</v>
      </c>
      <c r="G149" s="206">
        <v>131207</v>
      </c>
      <c r="H149" s="206">
        <v>2878484</v>
      </c>
      <c r="I149" s="85" t="s">
        <v>586</v>
      </c>
      <c r="J149" s="85" t="s">
        <v>637</v>
      </c>
      <c r="K149" s="96"/>
      <c r="L149" s="85"/>
      <c r="M149" s="93"/>
      <c r="N149" s="86"/>
      <c r="O149" s="87"/>
    </row>
    <row r="150" spans="1:15" s="23" customFormat="1" hidden="1">
      <c r="A150" s="96" t="s">
        <v>304</v>
      </c>
      <c r="B150" s="96" t="s">
        <v>305</v>
      </c>
      <c r="C150" s="97">
        <v>0</v>
      </c>
      <c r="D150" s="97">
        <v>0</v>
      </c>
      <c r="E150" s="97">
        <v>0</v>
      </c>
      <c r="F150" s="97">
        <v>0</v>
      </c>
      <c r="G150" s="97">
        <v>0</v>
      </c>
      <c r="H150" s="97">
        <v>0</v>
      </c>
      <c r="I150" s="96"/>
      <c r="J150" s="96"/>
      <c r="K150" s="96"/>
      <c r="L150" s="96"/>
      <c r="M150" s="98"/>
      <c r="N150" s="100"/>
      <c r="O150" s="49"/>
    </row>
    <row r="151" spans="1:15" s="23" customFormat="1" hidden="1">
      <c r="A151" s="96" t="s">
        <v>306</v>
      </c>
      <c r="B151" s="96" t="s">
        <v>307</v>
      </c>
      <c r="C151" s="97">
        <v>0</v>
      </c>
      <c r="D151" s="97">
        <v>0</v>
      </c>
      <c r="E151" s="97">
        <v>0</v>
      </c>
      <c r="F151" s="97">
        <v>0</v>
      </c>
      <c r="G151" s="97">
        <v>0</v>
      </c>
      <c r="H151" s="97">
        <v>0</v>
      </c>
      <c r="I151" s="96"/>
      <c r="J151" s="96"/>
      <c r="K151" s="96"/>
      <c r="L151" s="96"/>
      <c r="M151" s="98"/>
      <c r="N151" s="100"/>
      <c r="O151" s="49"/>
    </row>
    <row r="152" spans="1:15" s="23" customFormat="1" hidden="1">
      <c r="A152" s="96" t="s">
        <v>308</v>
      </c>
      <c r="B152" s="96" t="s">
        <v>309</v>
      </c>
      <c r="C152" s="97">
        <v>0</v>
      </c>
      <c r="D152" s="97">
        <v>0</v>
      </c>
      <c r="E152" s="97">
        <v>0</v>
      </c>
      <c r="F152" s="97">
        <v>0</v>
      </c>
      <c r="G152" s="97">
        <v>0</v>
      </c>
      <c r="H152" s="97">
        <v>0</v>
      </c>
      <c r="I152" s="96"/>
      <c r="J152" s="96"/>
      <c r="K152" s="96"/>
      <c r="L152" s="96"/>
      <c r="M152" s="98"/>
      <c r="N152" s="100"/>
      <c r="O152" s="49"/>
    </row>
    <row r="153" spans="1:15" s="23" customFormat="1" hidden="1">
      <c r="A153" s="96" t="s">
        <v>310</v>
      </c>
      <c r="B153" s="96" t="s">
        <v>311</v>
      </c>
      <c r="C153" s="97">
        <v>0</v>
      </c>
      <c r="D153" s="97">
        <v>0</v>
      </c>
      <c r="E153" s="97">
        <v>0</v>
      </c>
      <c r="F153" s="97">
        <v>0</v>
      </c>
      <c r="G153" s="97">
        <v>0</v>
      </c>
      <c r="H153" s="97">
        <v>0</v>
      </c>
      <c r="I153" s="96"/>
      <c r="J153" s="96"/>
      <c r="K153" s="96"/>
      <c r="L153" s="96"/>
      <c r="M153" s="98"/>
      <c r="N153" s="100"/>
      <c r="O153" s="49"/>
    </row>
    <row r="154" spans="1:15" s="23" customFormat="1" hidden="1">
      <c r="A154" s="96" t="s">
        <v>312</v>
      </c>
      <c r="B154" s="96" t="s">
        <v>313</v>
      </c>
      <c r="C154" s="97">
        <v>0</v>
      </c>
      <c r="D154" s="97">
        <v>0</v>
      </c>
      <c r="E154" s="97">
        <v>0</v>
      </c>
      <c r="F154" s="97">
        <v>0</v>
      </c>
      <c r="G154" s="97">
        <v>0</v>
      </c>
      <c r="H154" s="97">
        <v>0</v>
      </c>
      <c r="I154" s="96"/>
      <c r="J154" s="96"/>
      <c r="K154" s="96"/>
      <c r="L154" s="96"/>
      <c r="M154" s="98"/>
      <c r="N154" s="100"/>
      <c r="O154" s="49"/>
    </row>
    <row r="155" spans="1:15" hidden="1">
      <c r="A155" s="95" t="s">
        <v>650</v>
      </c>
      <c r="B155" s="85" t="s">
        <v>315</v>
      </c>
      <c r="C155" s="206">
        <v>151934</v>
      </c>
      <c r="D155" s="206">
        <v>59611</v>
      </c>
      <c r="E155" s="206">
        <v>54699</v>
      </c>
      <c r="F155" s="206">
        <v>644343</v>
      </c>
      <c r="G155" s="206">
        <v>53747</v>
      </c>
      <c r="H155" s="206">
        <v>964334</v>
      </c>
      <c r="I155" s="85" t="s">
        <v>586</v>
      </c>
      <c r="J155" s="85" t="s">
        <v>637</v>
      </c>
      <c r="K155" s="96"/>
      <c r="L155" s="85" t="s">
        <v>651</v>
      </c>
      <c r="M155" s="93"/>
      <c r="N155" s="86"/>
      <c r="O155" s="87"/>
    </row>
    <row r="156" spans="1:15" hidden="1">
      <c r="A156" s="95" t="s">
        <v>652</v>
      </c>
      <c r="B156" s="85" t="s">
        <v>51</v>
      </c>
      <c r="C156" s="206">
        <v>25258673</v>
      </c>
      <c r="D156" s="206">
        <v>2151298</v>
      </c>
      <c r="E156" s="206">
        <v>445119</v>
      </c>
      <c r="F156" s="206">
        <v>1501677</v>
      </c>
      <c r="G156" s="206">
        <v>251992</v>
      </c>
      <c r="H156" s="206">
        <v>29608759</v>
      </c>
      <c r="I156" s="85" t="s">
        <v>586</v>
      </c>
      <c r="J156" s="85" t="s">
        <v>573</v>
      </c>
      <c r="K156" s="96"/>
      <c r="L156" s="85"/>
      <c r="M156" s="93"/>
      <c r="N156" s="86"/>
      <c r="O156" s="87" t="s">
        <v>653</v>
      </c>
    </row>
    <row r="157" spans="1:15" ht="51" hidden="1">
      <c r="A157" s="95" t="s">
        <v>654</v>
      </c>
      <c r="B157" s="85" t="s">
        <v>318</v>
      </c>
      <c r="C157" s="206">
        <v>2162222</v>
      </c>
      <c r="D157" s="206">
        <v>0</v>
      </c>
      <c r="E157" s="206">
        <v>437722</v>
      </c>
      <c r="F157" s="206">
        <v>24056</v>
      </c>
      <c r="G157" s="206">
        <v>15616</v>
      </c>
      <c r="H157" s="206">
        <f>SUM(C157:G157)</f>
        <v>2639616</v>
      </c>
      <c r="I157" s="85" t="s">
        <v>586</v>
      </c>
      <c r="J157" s="85" t="s">
        <v>573</v>
      </c>
      <c r="K157" s="96"/>
      <c r="L157" s="141" t="s">
        <v>655</v>
      </c>
      <c r="M157" s="93"/>
      <c r="N157" s="86"/>
      <c r="O157" s="87"/>
    </row>
    <row r="158" spans="1:15" s="23" customFormat="1" hidden="1">
      <c r="A158" s="96" t="s">
        <v>319</v>
      </c>
      <c r="B158" s="96" t="s">
        <v>320</v>
      </c>
      <c r="C158" s="97">
        <v>0</v>
      </c>
      <c r="D158" s="97">
        <v>0</v>
      </c>
      <c r="E158" s="97">
        <v>0</v>
      </c>
      <c r="F158" s="97">
        <v>0</v>
      </c>
      <c r="G158" s="97">
        <v>0</v>
      </c>
      <c r="H158" s="97">
        <v>0</v>
      </c>
      <c r="I158" s="96"/>
      <c r="J158" s="96"/>
      <c r="K158" s="96"/>
      <c r="L158" s="96"/>
      <c r="M158" s="98"/>
      <c r="N158" s="100"/>
      <c r="O158" s="49"/>
    </row>
    <row r="159" spans="1:15" s="23" customFormat="1" hidden="1">
      <c r="A159" s="96" t="s">
        <v>321</v>
      </c>
      <c r="B159" s="96" t="s">
        <v>322</v>
      </c>
      <c r="C159" s="97">
        <v>0</v>
      </c>
      <c r="D159" s="97">
        <v>0</v>
      </c>
      <c r="E159" s="97">
        <v>0</v>
      </c>
      <c r="F159" s="97">
        <v>0</v>
      </c>
      <c r="G159" s="97">
        <v>0</v>
      </c>
      <c r="H159" s="97">
        <v>0</v>
      </c>
      <c r="I159" s="96"/>
      <c r="J159" s="96"/>
      <c r="K159" s="96"/>
      <c r="L159" s="96"/>
      <c r="M159" s="98"/>
      <c r="N159" s="100"/>
      <c r="O159" s="49"/>
    </row>
    <row r="160" spans="1:15" s="23" customFormat="1" hidden="1">
      <c r="A160" s="96" t="s">
        <v>323</v>
      </c>
      <c r="B160" s="96" t="s">
        <v>324</v>
      </c>
      <c r="C160" s="97">
        <v>0</v>
      </c>
      <c r="D160" s="97">
        <v>0</v>
      </c>
      <c r="E160" s="97">
        <v>0</v>
      </c>
      <c r="F160" s="97">
        <v>0</v>
      </c>
      <c r="G160" s="97">
        <v>0</v>
      </c>
      <c r="H160" s="97">
        <v>0</v>
      </c>
      <c r="I160" s="96"/>
      <c r="J160" s="96"/>
      <c r="K160" s="96"/>
      <c r="L160" s="96"/>
      <c r="M160" s="98"/>
      <c r="N160" s="100"/>
      <c r="O160" s="49"/>
    </row>
    <row r="161" spans="1:15" ht="63.75" hidden="1">
      <c r="A161" s="95" t="s">
        <v>656</v>
      </c>
      <c r="B161" s="85" t="s">
        <v>326</v>
      </c>
      <c r="C161" s="206">
        <v>2371007</v>
      </c>
      <c r="D161" s="206">
        <v>170464</v>
      </c>
      <c r="E161" s="206">
        <v>1366729</v>
      </c>
      <c r="F161" s="206">
        <v>3556896</v>
      </c>
      <c r="G161" s="206">
        <v>354062</v>
      </c>
      <c r="H161" s="206">
        <f>SUM(C161:G161)</f>
        <v>7819158</v>
      </c>
      <c r="I161" s="85" t="s">
        <v>586</v>
      </c>
      <c r="J161" s="85" t="s">
        <v>573</v>
      </c>
      <c r="K161" s="96"/>
      <c r="L161" s="141" t="s">
        <v>657</v>
      </c>
      <c r="M161" s="93"/>
      <c r="N161" s="86"/>
      <c r="O161" s="291" t="s">
        <v>658</v>
      </c>
    </row>
    <row r="162" spans="1:15" hidden="1">
      <c r="A162" s="85" t="s">
        <v>327</v>
      </c>
      <c r="B162" s="221" t="s">
        <v>328</v>
      </c>
      <c r="C162" s="222">
        <v>3</v>
      </c>
      <c r="D162" s="222">
        <v>5345</v>
      </c>
      <c r="E162" s="222">
        <v>0</v>
      </c>
      <c r="F162" s="222">
        <v>9</v>
      </c>
      <c r="G162" s="222">
        <v>2466</v>
      </c>
      <c r="H162" s="222">
        <v>7823</v>
      </c>
      <c r="I162" s="85" t="s">
        <v>575</v>
      </c>
      <c r="J162" s="85" t="s">
        <v>576</v>
      </c>
      <c r="K162" s="85" t="s">
        <v>609</v>
      </c>
      <c r="L162" s="85" t="s">
        <v>659</v>
      </c>
      <c r="M162" s="93" t="s">
        <v>660</v>
      </c>
      <c r="N162" s="86"/>
      <c r="O162" s="87"/>
    </row>
    <row r="163" spans="1:15" hidden="1">
      <c r="A163" s="95" t="s">
        <v>661</v>
      </c>
      <c r="B163" s="85" t="s">
        <v>335</v>
      </c>
      <c r="C163" s="206">
        <v>33</v>
      </c>
      <c r="D163" s="206">
        <v>65</v>
      </c>
      <c r="E163" s="206">
        <v>5</v>
      </c>
      <c r="F163" s="206">
        <v>58</v>
      </c>
      <c r="G163" s="206">
        <v>9</v>
      </c>
      <c r="H163" s="206">
        <v>170</v>
      </c>
      <c r="I163" s="85" t="s">
        <v>575</v>
      </c>
      <c r="J163" s="91" t="s">
        <v>573</v>
      </c>
      <c r="K163" s="85" t="s">
        <v>623</v>
      </c>
      <c r="L163" s="85"/>
      <c r="M163" s="93"/>
      <c r="N163" s="86"/>
      <c r="O163" s="87" t="s">
        <v>662</v>
      </c>
    </row>
    <row r="164" spans="1:15" s="23" customFormat="1" hidden="1">
      <c r="A164" s="96" t="s">
        <v>336</v>
      </c>
      <c r="B164" s="96" t="s">
        <v>337</v>
      </c>
      <c r="C164" s="97">
        <v>0</v>
      </c>
      <c r="D164" s="97">
        <v>0</v>
      </c>
      <c r="E164" s="97">
        <v>0</v>
      </c>
      <c r="F164" s="97">
        <v>0</v>
      </c>
      <c r="G164" s="97">
        <v>0</v>
      </c>
      <c r="H164" s="97">
        <v>0</v>
      </c>
      <c r="I164" s="96"/>
      <c r="J164" s="96"/>
      <c r="K164" s="96"/>
      <c r="L164" s="96"/>
      <c r="M164" s="98"/>
      <c r="N164" s="100"/>
      <c r="O164" s="49"/>
    </row>
    <row r="165" spans="1:15" s="23" customFormat="1" hidden="1">
      <c r="A165" s="96" t="s">
        <v>338</v>
      </c>
      <c r="B165" s="96" t="s">
        <v>339</v>
      </c>
      <c r="C165" s="97">
        <v>0</v>
      </c>
      <c r="D165" s="97">
        <v>0</v>
      </c>
      <c r="E165" s="97">
        <v>0</v>
      </c>
      <c r="F165" s="97">
        <v>0</v>
      </c>
      <c r="G165" s="97">
        <v>0</v>
      </c>
      <c r="H165" s="97">
        <v>0</v>
      </c>
      <c r="I165" s="96"/>
      <c r="J165" s="96"/>
      <c r="K165" s="96"/>
      <c r="L165" s="96"/>
      <c r="M165" s="98"/>
      <c r="N165" s="100"/>
      <c r="O165" s="49"/>
    </row>
    <row r="166" spans="1:15" s="23" customFormat="1" hidden="1">
      <c r="A166" s="96" t="s">
        <v>340</v>
      </c>
      <c r="B166" s="96" t="s">
        <v>341</v>
      </c>
      <c r="C166" s="97">
        <v>0</v>
      </c>
      <c r="D166" s="97">
        <v>0</v>
      </c>
      <c r="E166" s="97">
        <v>0</v>
      </c>
      <c r="F166" s="97">
        <v>0</v>
      </c>
      <c r="G166" s="97">
        <v>0</v>
      </c>
      <c r="H166" s="97">
        <v>0</v>
      </c>
      <c r="I166" s="96"/>
      <c r="J166" s="96"/>
      <c r="K166" s="96"/>
      <c r="L166" s="96"/>
      <c r="M166" s="98"/>
      <c r="N166" s="100"/>
      <c r="O166" s="49"/>
    </row>
    <row r="167" spans="1:15" s="23" customFormat="1" hidden="1">
      <c r="A167" s="96" t="s">
        <v>342</v>
      </c>
      <c r="B167" s="96" t="s">
        <v>343</v>
      </c>
      <c r="C167" s="97">
        <v>0</v>
      </c>
      <c r="D167" s="97">
        <v>0</v>
      </c>
      <c r="E167" s="97">
        <v>0</v>
      </c>
      <c r="F167" s="97">
        <v>0</v>
      </c>
      <c r="G167" s="97">
        <v>0</v>
      </c>
      <c r="H167" s="97">
        <v>0</v>
      </c>
      <c r="I167" s="96"/>
      <c r="J167" s="96"/>
      <c r="K167" s="96"/>
      <c r="L167" s="96"/>
      <c r="M167" s="98"/>
      <c r="N167" s="100"/>
      <c r="O167" s="49"/>
    </row>
    <row r="168" spans="1:15" s="23" customFormat="1" hidden="1">
      <c r="A168" s="96" t="s">
        <v>344</v>
      </c>
      <c r="B168" s="96" t="s">
        <v>345</v>
      </c>
      <c r="C168" s="97">
        <v>0</v>
      </c>
      <c r="D168" s="97">
        <v>0</v>
      </c>
      <c r="E168" s="97">
        <v>0</v>
      </c>
      <c r="F168" s="97">
        <v>0</v>
      </c>
      <c r="G168" s="97">
        <v>0</v>
      </c>
      <c r="H168" s="97">
        <v>0</v>
      </c>
      <c r="I168" s="96"/>
      <c r="J168" s="96"/>
      <c r="K168" s="96"/>
      <c r="L168" s="96"/>
      <c r="M168" s="98"/>
      <c r="N168" s="100"/>
      <c r="O168" s="49"/>
    </row>
    <row r="169" spans="1:15" s="23" customFormat="1" hidden="1">
      <c r="A169" s="96" t="s">
        <v>346</v>
      </c>
      <c r="B169" s="96" t="s">
        <v>347</v>
      </c>
      <c r="C169" s="97">
        <v>0</v>
      </c>
      <c r="D169" s="97">
        <v>0</v>
      </c>
      <c r="E169" s="97">
        <v>0</v>
      </c>
      <c r="F169" s="97">
        <v>0</v>
      </c>
      <c r="G169" s="97">
        <v>0</v>
      </c>
      <c r="H169" s="97">
        <v>0</v>
      </c>
      <c r="I169" s="96"/>
      <c r="J169" s="96"/>
      <c r="K169" s="96"/>
      <c r="L169" s="96"/>
      <c r="M169" s="98"/>
      <c r="N169" s="100"/>
      <c r="O169" s="49"/>
    </row>
    <row r="170" spans="1:15" hidden="1">
      <c r="A170" s="85" t="s">
        <v>348</v>
      </c>
      <c r="B170" s="85" t="s">
        <v>349</v>
      </c>
      <c r="C170" s="206">
        <v>34</v>
      </c>
      <c r="D170" s="206">
        <v>186</v>
      </c>
      <c r="E170" s="206">
        <v>41</v>
      </c>
      <c r="F170" s="206">
        <v>9</v>
      </c>
      <c r="G170" s="206">
        <v>29</v>
      </c>
      <c r="H170" s="206">
        <v>299</v>
      </c>
      <c r="I170" s="85" t="s">
        <v>575</v>
      </c>
      <c r="J170" s="85" t="s">
        <v>576</v>
      </c>
      <c r="K170" s="85" t="s">
        <v>623</v>
      </c>
      <c r="L170" s="85" t="s">
        <v>663</v>
      </c>
      <c r="M170" s="93" t="s">
        <v>660</v>
      </c>
      <c r="N170" s="86"/>
      <c r="O170" s="87"/>
    </row>
    <row r="171" spans="1:15" hidden="1">
      <c r="A171" s="85" t="s">
        <v>350</v>
      </c>
      <c r="B171" s="85" t="s">
        <v>351</v>
      </c>
      <c r="C171" s="206">
        <v>909484</v>
      </c>
      <c r="D171" s="206">
        <v>15747</v>
      </c>
      <c r="E171" s="206">
        <v>343765</v>
      </c>
      <c r="F171" s="206">
        <v>1041222</v>
      </c>
      <c r="G171" s="206">
        <v>6212</v>
      </c>
      <c r="H171" s="206">
        <v>2316430</v>
      </c>
      <c r="I171" s="85" t="s">
        <v>575</v>
      </c>
      <c r="J171" s="85" t="s">
        <v>576</v>
      </c>
      <c r="K171" s="85" t="s">
        <v>609</v>
      </c>
      <c r="L171" s="85" t="s">
        <v>664</v>
      </c>
      <c r="M171" s="93" t="s">
        <v>660</v>
      </c>
      <c r="N171" s="86"/>
      <c r="O171" s="87"/>
    </row>
    <row r="172" spans="1:15" s="23" customFormat="1" hidden="1">
      <c r="A172" s="96" t="s">
        <v>352</v>
      </c>
      <c r="B172" s="96" t="s">
        <v>353</v>
      </c>
      <c r="C172" s="97">
        <v>0</v>
      </c>
      <c r="D172" s="97">
        <v>0</v>
      </c>
      <c r="E172" s="97">
        <v>0</v>
      </c>
      <c r="F172" s="97">
        <v>0</v>
      </c>
      <c r="G172" s="97">
        <v>0</v>
      </c>
      <c r="H172" s="97">
        <v>0</v>
      </c>
      <c r="I172" s="96"/>
      <c r="J172" s="96"/>
      <c r="K172" s="96"/>
      <c r="L172" s="96"/>
      <c r="M172" s="98"/>
      <c r="N172" s="100"/>
      <c r="O172" s="49"/>
    </row>
    <row r="173" spans="1:15" s="23" customFormat="1" hidden="1">
      <c r="A173" s="96" t="s">
        <v>354</v>
      </c>
      <c r="B173" s="96" t="s">
        <v>355</v>
      </c>
      <c r="C173" s="97">
        <v>0</v>
      </c>
      <c r="D173" s="97">
        <v>0</v>
      </c>
      <c r="E173" s="97">
        <v>0</v>
      </c>
      <c r="F173" s="97">
        <v>0</v>
      </c>
      <c r="G173" s="97">
        <v>0</v>
      </c>
      <c r="H173" s="97">
        <v>0</v>
      </c>
      <c r="I173" s="96"/>
      <c r="J173" s="96"/>
      <c r="K173" s="96"/>
      <c r="L173" s="96"/>
      <c r="M173" s="98"/>
      <c r="N173" s="100"/>
      <c r="O173" s="49"/>
    </row>
    <row r="174" spans="1:15" s="23" customFormat="1" hidden="1">
      <c r="A174" s="96" t="s">
        <v>356</v>
      </c>
      <c r="B174" s="96" t="s">
        <v>357</v>
      </c>
      <c r="C174" s="97">
        <v>0</v>
      </c>
      <c r="D174" s="97">
        <v>0</v>
      </c>
      <c r="E174" s="97">
        <v>0</v>
      </c>
      <c r="F174" s="97">
        <v>0</v>
      </c>
      <c r="G174" s="97">
        <v>0</v>
      </c>
      <c r="H174" s="97">
        <v>0</v>
      </c>
      <c r="I174" s="96"/>
      <c r="J174" s="96"/>
      <c r="K174" s="96"/>
      <c r="L174" s="96"/>
      <c r="M174" s="98"/>
      <c r="N174" s="100"/>
      <c r="O174" s="49"/>
    </row>
    <row r="175" spans="1:15" hidden="1">
      <c r="A175" s="95" t="s">
        <v>665</v>
      </c>
      <c r="B175" s="85" t="s">
        <v>359</v>
      </c>
      <c r="C175" s="206">
        <v>254</v>
      </c>
      <c r="D175" s="206">
        <v>358</v>
      </c>
      <c r="E175" s="206">
        <v>564</v>
      </c>
      <c r="F175" s="206">
        <v>179</v>
      </c>
      <c r="G175" s="206">
        <v>647</v>
      </c>
      <c r="H175" s="206">
        <v>2002</v>
      </c>
      <c r="I175" s="85" t="s">
        <v>575</v>
      </c>
      <c r="J175" s="91" t="s">
        <v>573</v>
      </c>
      <c r="K175" s="85" t="s">
        <v>609</v>
      </c>
      <c r="L175" s="85"/>
      <c r="M175" s="93" t="s">
        <v>666</v>
      </c>
      <c r="N175" s="86"/>
      <c r="O175" s="87" t="s">
        <v>662</v>
      </c>
    </row>
    <row r="176" spans="1:15" hidden="1">
      <c r="A176" s="85" t="s">
        <v>360</v>
      </c>
      <c r="B176" s="85" t="s">
        <v>361</v>
      </c>
      <c r="C176" s="206">
        <v>93597</v>
      </c>
      <c r="D176" s="206">
        <v>114332</v>
      </c>
      <c r="E176" s="206">
        <v>76876</v>
      </c>
      <c r="F176" s="206">
        <v>5362</v>
      </c>
      <c r="G176" s="206">
        <v>90617</v>
      </c>
      <c r="H176" s="206">
        <v>380784</v>
      </c>
      <c r="I176" s="85" t="s">
        <v>575</v>
      </c>
      <c r="J176" s="91" t="s">
        <v>576</v>
      </c>
      <c r="K176" s="85" t="s">
        <v>609</v>
      </c>
      <c r="L176" s="85" t="s">
        <v>667</v>
      </c>
      <c r="M176" s="93" t="s">
        <v>666</v>
      </c>
      <c r="N176" s="86"/>
      <c r="O176" s="87"/>
    </row>
    <row r="177" spans="1:15" hidden="1">
      <c r="A177" s="95" t="s">
        <v>668</v>
      </c>
      <c r="B177" s="85" t="s">
        <v>363</v>
      </c>
      <c r="C177" s="206">
        <v>11156</v>
      </c>
      <c r="D177" s="206">
        <v>11306</v>
      </c>
      <c r="E177" s="206">
        <v>7698</v>
      </c>
      <c r="F177" s="206">
        <v>676</v>
      </c>
      <c r="G177" s="206">
        <v>15033</v>
      </c>
      <c r="H177" s="206">
        <v>45869</v>
      </c>
      <c r="I177" s="85" t="s">
        <v>575</v>
      </c>
      <c r="J177" s="91" t="s">
        <v>573</v>
      </c>
      <c r="K177" s="85" t="s">
        <v>609</v>
      </c>
      <c r="L177" s="85"/>
      <c r="M177" s="93" t="s">
        <v>666</v>
      </c>
      <c r="N177" s="86"/>
      <c r="O177" s="87" t="s">
        <v>662</v>
      </c>
    </row>
    <row r="178" spans="1:15" s="23" customFormat="1" hidden="1">
      <c r="A178" s="96" t="s">
        <v>364</v>
      </c>
      <c r="B178" s="96" t="s">
        <v>365</v>
      </c>
      <c r="C178" s="97">
        <v>0</v>
      </c>
      <c r="D178" s="97">
        <v>0</v>
      </c>
      <c r="E178" s="97">
        <v>0</v>
      </c>
      <c r="F178" s="97">
        <v>0</v>
      </c>
      <c r="G178" s="97">
        <v>0</v>
      </c>
      <c r="H178" s="97">
        <v>0</v>
      </c>
      <c r="I178" s="96"/>
      <c r="J178" s="96"/>
      <c r="K178" s="96"/>
      <c r="L178" s="96"/>
      <c r="M178" s="98"/>
      <c r="N178" s="100"/>
      <c r="O178" s="49"/>
    </row>
    <row r="179" spans="1:15" s="23" customFormat="1" hidden="1">
      <c r="A179" s="96" t="s">
        <v>366</v>
      </c>
      <c r="B179" s="96" t="s">
        <v>367</v>
      </c>
      <c r="C179" s="97">
        <v>0</v>
      </c>
      <c r="D179" s="97">
        <v>0</v>
      </c>
      <c r="E179" s="97">
        <v>0</v>
      </c>
      <c r="F179" s="97">
        <v>0</v>
      </c>
      <c r="G179" s="97">
        <v>0</v>
      </c>
      <c r="H179" s="97">
        <v>0</v>
      </c>
      <c r="I179" s="96"/>
      <c r="J179" s="96"/>
      <c r="K179" s="96"/>
      <c r="L179" s="96"/>
      <c r="M179" s="98"/>
      <c r="N179" s="100"/>
      <c r="O179" s="49"/>
    </row>
    <row r="180" spans="1:15" s="23" customFormat="1" hidden="1">
      <c r="A180" s="96" t="s">
        <v>368</v>
      </c>
      <c r="B180" s="96" t="s">
        <v>369</v>
      </c>
      <c r="C180" s="97">
        <v>0</v>
      </c>
      <c r="D180" s="97">
        <v>0</v>
      </c>
      <c r="E180" s="97">
        <v>0</v>
      </c>
      <c r="F180" s="97">
        <v>0</v>
      </c>
      <c r="G180" s="97">
        <v>0</v>
      </c>
      <c r="H180" s="97">
        <v>0</v>
      </c>
      <c r="I180" s="96"/>
      <c r="J180" s="96"/>
      <c r="K180" s="96"/>
      <c r="L180" s="96"/>
      <c r="M180" s="98"/>
      <c r="N180" s="100"/>
      <c r="O180" s="49"/>
    </row>
    <row r="181" spans="1:15" s="23" customFormat="1" hidden="1">
      <c r="A181" s="96" t="s">
        <v>370</v>
      </c>
      <c r="B181" s="96" t="s">
        <v>371</v>
      </c>
      <c r="C181" s="97">
        <v>0</v>
      </c>
      <c r="D181" s="97">
        <v>0</v>
      </c>
      <c r="E181" s="97">
        <v>0</v>
      </c>
      <c r="F181" s="97">
        <v>0</v>
      </c>
      <c r="G181" s="97">
        <v>0</v>
      </c>
      <c r="H181" s="97">
        <v>0</v>
      </c>
      <c r="I181" s="96"/>
      <c r="J181" s="96"/>
      <c r="K181" s="96"/>
      <c r="L181" s="96"/>
      <c r="M181" s="98"/>
      <c r="N181" s="100"/>
      <c r="O181" s="49"/>
    </row>
    <row r="182" spans="1:15" s="23" customFormat="1" hidden="1">
      <c r="A182" s="96" t="s">
        <v>372</v>
      </c>
      <c r="B182" s="96" t="s">
        <v>373</v>
      </c>
      <c r="C182" s="97">
        <v>0</v>
      </c>
      <c r="D182" s="97">
        <v>0</v>
      </c>
      <c r="E182" s="97">
        <v>0</v>
      </c>
      <c r="F182" s="97">
        <v>0</v>
      </c>
      <c r="G182" s="97">
        <v>0</v>
      </c>
      <c r="H182" s="97">
        <v>0</v>
      </c>
      <c r="I182" s="96"/>
      <c r="J182" s="96"/>
      <c r="K182" s="96"/>
      <c r="L182" s="96"/>
      <c r="M182" s="98"/>
      <c r="N182" s="100"/>
      <c r="O182" s="49"/>
    </row>
    <row r="183" spans="1:15" hidden="1">
      <c r="A183" s="85" t="s">
        <v>374</v>
      </c>
      <c r="B183" s="85" t="s">
        <v>375</v>
      </c>
      <c r="C183" s="206">
        <v>439263</v>
      </c>
      <c r="D183" s="206">
        <v>112595</v>
      </c>
      <c r="E183" s="206">
        <v>259861</v>
      </c>
      <c r="F183" s="206">
        <v>1471815</v>
      </c>
      <c r="G183" s="206">
        <v>154388</v>
      </c>
      <c r="H183" s="206">
        <v>2437922</v>
      </c>
      <c r="I183" s="85" t="s">
        <v>575</v>
      </c>
      <c r="J183" s="85" t="s">
        <v>576</v>
      </c>
      <c r="K183" s="85" t="s">
        <v>623</v>
      </c>
      <c r="L183" s="85" t="s">
        <v>624</v>
      </c>
      <c r="M183" s="93" t="s">
        <v>660</v>
      </c>
      <c r="N183" s="86"/>
      <c r="O183" s="87"/>
    </row>
    <row r="184" spans="1:15" hidden="1">
      <c r="A184" s="85" t="s">
        <v>376</v>
      </c>
      <c r="B184" s="85" t="s">
        <v>377</v>
      </c>
      <c r="C184" s="206">
        <v>1790</v>
      </c>
      <c r="D184" s="206">
        <v>5246</v>
      </c>
      <c r="E184" s="206">
        <v>6545</v>
      </c>
      <c r="F184" s="206">
        <v>26</v>
      </c>
      <c r="G184" s="206">
        <v>1756</v>
      </c>
      <c r="H184" s="206">
        <v>15363</v>
      </c>
      <c r="I184" s="85" t="s">
        <v>575</v>
      </c>
      <c r="J184" s="85" t="s">
        <v>576</v>
      </c>
      <c r="K184" s="85" t="s">
        <v>609</v>
      </c>
      <c r="L184" s="85" t="s">
        <v>669</v>
      </c>
      <c r="M184" s="93" t="s">
        <v>660</v>
      </c>
      <c r="N184" s="86"/>
      <c r="O184" s="87"/>
    </row>
    <row r="185" spans="1:15" s="23" customFormat="1" hidden="1">
      <c r="A185" s="96" t="s">
        <v>378</v>
      </c>
      <c r="B185" s="96" t="s">
        <v>379</v>
      </c>
      <c r="C185" s="97">
        <v>0</v>
      </c>
      <c r="D185" s="97">
        <v>0</v>
      </c>
      <c r="E185" s="97">
        <v>0</v>
      </c>
      <c r="F185" s="97">
        <v>0</v>
      </c>
      <c r="G185" s="97">
        <v>0</v>
      </c>
      <c r="H185" s="97">
        <v>0</v>
      </c>
      <c r="I185" s="96"/>
      <c r="J185" s="96"/>
      <c r="K185" s="96"/>
      <c r="L185" s="96"/>
      <c r="M185" s="98"/>
      <c r="N185" s="100"/>
      <c r="O185" s="49"/>
    </row>
    <row r="186" spans="1:15" hidden="1">
      <c r="A186" s="85" t="s">
        <v>380</v>
      </c>
      <c r="B186" s="85" t="s">
        <v>381</v>
      </c>
      <c r="C186" s="206">
        <v>0</v>
      </c>
      <c r="D186" s="206">
        <v>0</v>
      </c>
      <c r="E186" s="206">
        <v>3</v>
      </c>
      <c r="F186" s="206">
        <v>2103</v>
      </c>
      <c r="G186" s="206">
        <v>3</v>
      </c>
      <c r="H186" s="206">
        <v>2109</v>
      </c>
      <c r="I186" s="85" t="s">
        <v>575</v>
      </c>
      <c r="J186" s="85" t="s">
        <v>576</v>
      </c>
      <c r="K186" s="85" t="s">
        <v>623</v>
      </c>
      <c r="L186" s="85" t="s">
        <v>670</v>
      </c>
      <c r="M186" s="93" t="s">
        <v>660</v>
      </c>
      <c r="N186" s="86"/>
      <c r="O186" s="87"/>
    </row>
    <row r="187" spans="1:15" hidden="1">
      <c r="A187" s="85" t="s">
        <v>382</v>
      </c>
      <c r="B187" s="85" t="s">
        <v>383</v>
      </c>
      <c r="C187" s="206">
        <v>704</v>
      </c>
      <c r="D187" s="206">
        <v>0</v>
      </c>
      <c r="E187" s="206">
        <v>0</v>
      </c>
      <c r="F187" s="206">
        <v>0</v>
      </c>
      <c r="G187" s="206">
        <v>0</v>
      </c>
      <c r="H187" s="206">
        <v>704</v>
      </c>
      <c r="I187" s="85" t="s">
        <v>575</v>
      </c>
      <c r="J187" s="85" t="s">
        <v>576</v>
      </c>
      <c r="K187" s="85" t="s">
        <v>609</v>
      </c>
      <c r="L187" s="85" t="s">
        <v>671</v>
      </c>
      <c r="M187" s="93" t="s">
        <v>660</v>
      </c>
      <c r="N187" s="86"/>
      <c r="O187" s="87"/>
    </row>
    <row r="188" spans="1:15" hidden="1">
      <c r="A188" s="85" t="s">
        <v>384</v>
      </c>
      <c r="B188" s="85" t="s">
        <v>385</v>
      </c>
      <c r="C188" s="206">
        <v>395299</v>
      </c>
      <c r="D188" s="206">
        <v>61106</v>
      </c>
      <c r="E188" s="206">
        <v>202487</v>
      </c>
      <c r="F188" s="206">
        <v>1710222</v>
      </c>
      <c r="G188" s="206">
        <v>174538</v>
      </c>
      <c r="H188" s="206">
        <v>2543652</v>
      </c>
      <c r="I188" s="85" t="s">
        <v>575</v>
      </c>
      <c r="J188" s="85" t="s">
        <v>576</v>
      </c>
      <c r="K188" s="85" t="s">
        <v>623</v>
      </c>
      <c r="L188" s="85" t="s">
        <v>672</v>
      </c>
      <c r="M188" s="93" t="s">
        <v>660</v>
      </c>
      <c r="N188" s="86"/>
      <c r="O188" s="87"/>
    </row>
    <row r="189" spans="1:15" hidden="1">
      <c r="A189" s="85" t="s">
        <v>386</v>
      </c>
      <c r="B189" s="85" t="s">
        <v>387</v>
      </c>
      <c r="C189" s="206">
        <v>323972</v>
      </c>
      <c r="D189" s="206">
        <v>142216</v>
      </c>
      <c r="E189" s="206">
        <v>286321</v>
      </c>
      <c r="F189" s="206">
        <v>1016384</v>
      </c>
      <c r="G189" s="206">
        <v>156882</v>
      </c>
      <c r="H189" s="206">
        <v>1925775</v>
      </c>
      <c r="I189" s="85" t="s">
        <v>575</v>
      </c>
      <c r="J189" s="85" t="s">
        <v>576</v>
      </c>
      <c r="K189" s="85" t="s">
        <v>623</v>
      </c>
      <c r="L189" s="85" t="s">
        <v>624</v>
      </c>
      <c r="M189" s="93" t="s">
        <v>660</v>
      </c>
      <c r="N189" s="86"/>
      <c r="O189" s="87"/>
    </row>
    <row r="190" spans="1:15" hidden="1">
      <c r="A190" s="85" t="s">
        <v>388</v>
      </c>
      <c r="B190" s="85" t="s">
        <v>389</v>
      </c>
      <c r="C190" s="206">
        <v>49304</v>
      </c>
      <c r="D190" s="206">
        <v>43783</v>
      </c>
      <c r="E190" s="206">
        <v>94776</v>
      </c>
      <c r="F190" s="206">
        <v>614636</v>
      </c>
      <c r="G190" s="206">
        <v>69880</v>
      </c>
      <c r="H190" s="206">
        <v>872379</v>
      </c>
      <c r="I190" s="85" t="s">
        <v>575</v>
      </c>
      <c r="J190" s="85" t="s">
        <v>576</v>
      </c>
      <c r="K190" s="85" t="s">
        <v>623</v>
      </c>
      <c r="L190" s="85" t="s">
        <v>624</v>
      </c>
      <c r="M190" s="93" t="s">
        <v>660</v>
      </c>
      <c r="N190" s="86"/>
      <c r="O190" s="87"/>
    </row>
    <row r="191" spans="1:15" s="23" customFormat="1" hidden="1">
      <c r="A191" s="96" t="s">
        <v>390</v>
      </c>
      <c r="B191" s="96" t="s">
        <v>391</v>
      </c>
      <c r="C191" s="97">
        <v>0</v>
      </c>
      <c r="D191" s="97">
        <v>0</v>
      </c>
      <c r="E191" s="97">
        <v>0</v>
      </c>
      <c r="F191" s="97">
        <v>0</v>
      </c>
      <c r="G191" s="97">
        <v>0</v>
      </c>
      <c r="H191" s="97">
        <v>0</v>
      </c>
      <c r="I191" s="96"/>
      <c r="J191" s="96"/>
      <c r="K191" s="96"/>
      <c r="L191" s="96"/>
      <c r="M191" s="98"/>
      <c r="N191" s="100"/>
      <c r="O191" s="49"/>
    </row>
    <row r="192" spans="1:15" s="23" customFormat="1" hidden="1">
      <c r="A192" s="96" t="s">
        <v>392</v>
      </c>
      <c r="B192" s="96" t="s">
        <v>393</v>
      </c>
      <c r="C192" s="97">
        <v>0</v>
      </c>
      <c r="D192" s="97">
        <v>0</v>
      </c>
      <c r="E192" s="97">
        <v>0</v>
      </c>
      <c r="F192" s="97">
        <v>0</v>
      </c>
      <c r="G192" s="97">
        <v>0</v>
      </c>
      <c r="H192" s="97">
        <v>0</v>
      </c>
      <c r="I192" s="96"/>
      <c r="J192" s="96"/>
      <c r="K192" s="96"/>
      <c r="L192" s="96"/>
      <c r="M192" s="98"/>
      <c r="N192" s="100"/>
      <c r="O192" s="49"/>
    </row>
    <row r="193" spans="1:15" hidden="1">
      <c r="A193" s="85" t="s">
        <v>394</v>
      </c>
      <c r="B193" s="85" t="s">
        <v>240</v>
      </c>
      <c r="C193" s="206">
        <v>81</v>
      </c>
      <c r="D193" s="206">
        <v>20</v>
      </c>
      <c r="E193" s="206">
        <v>24</v>
      </c>
      <c r="F193" s="206">
        <v>176</v>
      </c>
      <c r="G193" s="206">
        <v>14</v>
      </c>
      <c r="H193" s="206">
        <v>315</v>
      </c>
      <c r="I193" s="85" t="s">
        <v>575</v>
      </c>
      <c r="J193" s="149" t="s">
        <v>576</v>
      </c>
      <c r="K193" s="85" t="s">
        <v>623</v>
      </c>
      <c r="L193" s="85" t="s">
        <v>673</v>
      </c>
      <c r="M193" s="93"/>
      <c r="N193" s="86"/>
      <c r="O193" s="87"/>
    </row>
    <row r="194" spans="1:15" s="23" customFormat="1" hidden="1">
      <c r="A194" s="96" t="s">
        <v>395</v>
      </c>
      <c r="B194" s="96" t="s">
        <v>396</v>
      </c>
      <c r="C194" s="97">
        <v>0</v>
      </c>
      <c r="D194" s="97">
        <v>0</v>
      </c>
      <c r="E194" s="97">
        <v>0</v>
      </c>
      <c r="F194" s="97">
        <v>0</v>
      </c>
      <c r="G194" s="97">
        <v>0</v>
      </c>
      <c r="H194" s="97">
        <v>0</v>
      </c>
      <c r="I194" s="96"/>
      <c r="J194" s="96"/>
      <c r="K194" s="96"/>
      <c r="L194" s="96"/>
      <c r="M194" s="98"/>
      <c r="N194" s="100"/>
      <c r="O194" s="49"/>
    </row>
    <row r="195" spans="1:15" s="23" customFormat="1" hidden="1">
      <c r="A195" s="96" t="s">
        <v>397</v>
      </c>
      <c r="B195" s="96" t="s">
        <v>398</v>
      </c>
      <c r="C195" s="97">
        <v>0</v>
      </c>
      <c r="D195" s="97">
        <v>0</v>
      </c>
      <c r="E195" s="97">
        <v>0</v>
      </c>
      <c r="F195" s="97">
        <v>0</v>
      </c>
      <c r="G195" s="97">
        <v>0</v>
      </c>
      <c r="H195" s="97">
        <v>0</v>
      </c>
      <c r="I195" s="96"/>
      <c r="J195" s="96"/>
      <c r="K195" s="96"/>
      <c r="L195" s="96"/>
      <c r="M195" s="98"/>
      <c r="N195" s="100"/>
      <c r="O195" s="49"/>
    </row>
    <row r="196" spans="1:15" s="23" customFormat="1" hidden="1">
      <c r="A196" s="96" t="s">
        <v>399</v>
      </c>
      <c r="B196" s="96" t="s">
        <v>400</v>
      </c>
      <c r="C196" s="97">
        <v>0</v>
      </c>
      <c r="D196" s="97">
        <v>0</v>
      </c>
      <c r="E196" s="97">
        <v>0</v>
      </c>
      <c r="F196" s="97">
        <v>0</v>
      </c>
      <c r="G196" s="97">
        <v>0</v>
      </c>
      <c r="H196" s="97">
        <v>0</v>
      </c>
      <c r="I196" s="96"/>
      <c r="J196" s="96"/>
      <c r="K196" s="96"/>
      <c r="L196" s="96"/>
      <c r="M196" s="98"/>
      <c r="N196" s="100"/>
      <c r="O196" s="49"/>
    </row>
    <row r="197" spans="1:15" s="23" customFormat="1" hidden="1">
      <c r="A197" s="96" t="s">
        <v>401</v>
      </c>
      <c r="B197" s="96" t="s">
        <v>402</v>
      </c>
      <c r="C197" s="97">
        <v>0</v>
      </c>
      <c r="D197" s="97">
        <v>0</v>
      </c>
      <c r="E197" s="97">
        <v>0</v>
      </c>
      <c r="F197" s="97">
        <v>0</v>
      </c>
      <c r="G197" s="97">
        <v>0</v>
      </c>
      <c r="H197" s="97">
        <v>0</v>
      </c>
      <c r="I197" s="96"/>
      <c r="J197" s="96"/>
      <c r="K197" s="96"/>
      <c r="L197" s="96"/>
      <c r="M197" s="98"/>
      <c r="N197" s="100"/>
      <c r="O197" s="49"/>
    </row>
    <row r="198" spans="1:15" s="23" customFormat="1" hidden="1">
      <c r="A198" s="96" t="s">
        <v>403</v>
      </c>
      <c r="B198" s="96" t="s">
        <v>67</v>
      </c>
      <c r="C198" s="97">
        <v>0</v>
      </c>
      <c r="D198" s="97">
        <v>0</v>
      </c>
      <c r="E198" s="97">
        <v>0</v>
      </c>
      <c r="F198" s="97">
        <v>0</v>
      </c>
      <c r="G198" s="97">
        <v>0</v>
      </c>
      <c r="H198" s="97">
        <v>0</v>
      </c>
      <c r="I198" s="96"/>
      <c r="J198" s="96"/>
      <c r="K198" s="96"/>
      <c r="L198" s="96"/>
      <c r="M198" s="98"/>
      <c r="N198" s="100"/>
      <c r="O198" s="49"/>
    </row>
    <row r="199" spans="1:15" hidden="1">
      <c r="A199" s="95" t="s">
        <v>674</v>
      </c>
      <c r="B199" s="85" t="s">
        <v>405</v>
      </c>
      <c r="C199" s="206">
        <v>108114</v>
      </c>
      <c r="D199" s="206">
        <v>42282</v>
      </c>
      <c r="E199" s="206">
        <v>50791</v>
      </c>
      <c r="F199" s="206">
        <v>153525</v>
      </c>
      <c r="G199" s="206">
        <v>45720</v>
      </c>
      <c r="H199" s="206">
        <v>400432</v>
      </c>
      <c r="I199" s="85" t="s">
        <v>575</v>
      </c>
      <c r="J199" s="85" t="s">
        <v>573</v>
      </c>
      <c r="K199" s="85" t="s">
        <v>609</v>
      </c>
      <c r="L199" s="85"/>
      <c r="M199" s="93"/>
      <c r="N199" s="86"/>
      <c r="O199" s="87" t="s">
        <v>675</v>
      </c>
    </row>
    <row r="200" spans="1:15" s="23" customFormat="1" hidden="1">
      <c r="A200" s="96" t="s">
        <v>406</v>
      </c>
      <c r="B200" s="96" t="s">
        <v>407</v>
      </c>
      <c r="C200" s="97">
        <v>0</v>
      </c>
      <c r="D200" s="97">
        <v>0</v>
      </c>
      <c r="E200" s="97">
        <v>0</v>
      </c>
      <c r="F200" s="97">
        <v>0</v>
      </c>
      <c r="G200" s="97">
        <v>0</v>
      </c>
      <c r="H200" s="97">
        <v>0</v>
      </c>
      <c r="I200" s="96"/>
      <c r="J200" s="96"/>
      <c r="K200" s="96"/>
      <c r="L200" s="96"/>
      <c r="M200" s="98"/>
      <c r="N200" s="100"/>
      <c r="O200" s="49"/>
    </row>
    <row r="201" spans="1:15" s="23" customFormat="1" hidden="1">
      <c r="A201" s="96" t="s">
        <v>408</v>
      </c>
      <c r="B201" s="96" t="s">
        <v>409</v>
      </c>
      <c r="C201" s="97">
        <v>0</v>
      </c>
      <c r="D201" s="97">
        <v>0</v>
      </c>
      <c r="E201" s="97">
        <v>0</v>
      </c>
      <c r="F201" s="97">
        <v>0</v>
      </c>
      <c r="G201" s="97">
        <v>0</v>
      </c>
      <c r="H201" s="97">
        <v>0</v>
      </c>
      <c r="I201" s="96"/>
      <c r="J201" s="96"/>
      <c r="K201" s="96"/>
      <c r="L201" s="96"/>
      <c r="M201" s="98"/>
      <c r="N201" s="100"/>
      <c r="O201" s="49"/>
    </row>
    <row r="202" spans="1:15" s="23" customFormat="1" hidden="1">
      <c r="A202" s="96" t="s">
        <v>410</v>
      </c>
      <c r="B202" s="96" t="s">
        <v>411</v>
      </c>
      <c r="C202" s="97">
        <v>0</v>
      </c>
      <c r="D202" s="97">
        <v>0</v>
      </c>
      <c r="E202" s="97">
        <v>0</v>
      </c>
      <c r="F202" s="97">
        <v>0</v>
      </c>
      <c r="G202" s="97">
        <v>0</v>
      </c>
      <c r="H202" s="97">
        <v>0</v>
      </c>
      <c r="I202" s="96"/>
      <c r="J202" s="96"/>
      <c r="K202" s="96"/>
      <c r="L202" s="96"/>
      <c r="M202" s="98"/>
      <c r="N202" s="100"/>
      <c r="O202" s="49"/>
    </row>
    <row r="203" spans="1:15" s="23" customFormat="1" hidden="1">
      <c r="A203" s="96" t="s">
        <v>412</v>
      </c>
      <c r="B203" s="96" t="s">
        <v>413</v>
      </c>
      <c r="C203" s="97">
        <v>0</v>
      </c>
      <c r="D203" s="97">
        <v>0</v>
      </c>
      <c r="E203" s="97">
        <v>0</v>
      </c>
      <c r="F203" s="97">
        <v>0</v>
      </c>
      <c r="G203" s="97">
        <v>0</v>
      </c>
      <c r="H203" s="97">
        <v>0</v>
      </c>
      <c r="I203" s="96"/>
      <c r="J203" s="96"/>
      <c r="K203" s="96"/>
      <c r="L203" s="96"/>
      <c r="M203" s="98"/>
      <c r="N203" s="100"/>
      <c r="O203" s="49"/>
    </row>
    <row r="204" spans="1:15" s="23" customFormat="1" hidden="1">
      <c r="A204" s="96" t="s">
        <v>414</v>
      </c>
      <c r="B204" s="96" t="s">
        <v>415</v>
      </c>
      <c r="C204" s="97">
        <v>0</v>
      </c>
      <c r="D204" s="97">
        <v>0</v>
      </c>
      <c r="E204" s="97">
        <v>0</v>
      </c>
      <c r="F204" s="97">
        <v>0</v>
      </c>
      <c r="G204" s="97">
        <v>0</v>
      </c>
      <c r="H204" s="97">
        <v>0</v>
      </c>
      <c r="I204" s="96"/>
      <c r="J204" s="96"/>
      <c r="K204" s="96"/>
      <c r="L204" s="96"/>
      <c r="M204" s="98"/>
      <c r="N204" s="100"/>
      <c r="O204" s="49"/>
    </row>
    <row r="205" spans="1:15" hidden="1">
      <c r="A205" s="85" t="s">
        <v>416</v>
      </c>
      <c r="B205" s="85" t="s">
        <v>254</v>
      </c>
      <c r="C205" s="206">
        <v>81</v>
      </c>
      <c r="D205" s="206">
        <v>20</v>
      </c>
      <c r="E205" s="206">
        <v>24</v>
      </c>
      <c r="F205" s="206">
        <v>176</v>
      </c>
      <c r="G205" s="206">
        <v>14</v>
      </c>
      <c r="H205" s="206">
        <v>315</v>
      </c>
      <c r="I205" s="85" t="s">
        <v>575</v>
      </c>
      <c r="J205" s="85" t="s">
        <v>576</v>
      </c>
      <c r="K205" s="85" t="s">
        <v>609</v>
      </c>
      <c r="L205" s="85" t="s">
        <v>676</v>
      </c>
      <c r="M205" s="93" t="s">
        <v>677</v>
      </c>
      <c r="N205" s="86"/>
      <c r="O205" s="87"/>
    </row>
    <row r="206" spans="1:15" s="23" customFormat="1" hidden="1">
      <c r="A206" s="96" t="s">
        <v>417</v>
      </c>
      <c r="B206" s="96" t="s">
        <v>418</v>
      </c>
      <c r="C206" s="97">
        <v>0</v>
      </c>
      <c r="D206" s="97">
        <v>0</v>
      </c>
      <c r="E206" s="97">
        <v>0</v>
      </c>
      <c r="F206" s="97">
        <v>0</v>
      </c>
      <c r="G206" s="97">
        <v>0</v>
      </c>
      <c r="H206" s="97">
        <v>0</v>
      </c>
      <c r="I206" s="96"/>
      <c r="J206" s="96"/>
      <c r="K206" s="96"/>
      <c r="L206" s="96"/>
      <c r="M206" s="98"/>
      <c r="N206" s="100"/>
      <c r="O206" s="49"/>
    </row>
    <row r="207" spans="1:15" s="23" customFormat="1" hidden="1">
      <c r="A207" s="96" t="s">
        <v>419</v>
      </c>
      <c r="B207" s="96" t="s">
        <v>250</v>
      </c>
      <c r="C207" s="97">
        <v>0</v>
      </c>
      <c r="D207" s="97">
        <v>0</v>
      </c>
      <c r="E207" s="97">
        <v>0</v>
      </c>
      <c r="F207" s="97">
        <v>0</v>
      </c>
      <c r="G207" s="97">
        <v>0</v>
      </c>
      <c r="H207" s="97">
        <v>0</v>
      </c>
      <c r="I207" s="96"/>
      <c r="J207" s="96"/>
      <c r="K207" s="96"/>
      <c r="L207" s="96"/>
      <c r="M207" s="98"/>
      <c r="N207" s="100"/>
      <c r="O207" s="49"/>
    </row>
    <row r="208" spans="1:15" s="23" customFormat="1" hidden="1">
      <c r="A208" s="96" t="s">
        <v>420</v>
      </c>
      <c r="B208" s="96" t="s">
        <v>421</v>
      </c>
      <c r="C208" s="97">
        <v>0</v>
      </c>
      <c r="D208" s="97">
        <v>0</v>
      </c>
      <c r="E208" s="97">
        <v>0</v>
      </c>
      <c r="F208" s="97">
        <v>0</v>
      </c>
      <c r="G208" s="97">
        <v>0</v>
      </c>
      <c r="H208" s="97">
        <v>0</v>
      </c>
      <c r="I208" s="96"/>
      <c r="J208" s="96"/>
      <c r="K208" s="96"/>
      <c r="L208" s="96"/>
      <c r="M208" s="98"/>
      <c r="N208" s="100"/>
      <c r="O208" s="49"/>
    </row>
    <row r="209" spans="1:15" s="23" customFormat="1" hidden="1">
      <c r="A209" s="96" t="s">
        <v>422</v>
      </c>
      <c r="B209" s="96" t="s">
        <v>423</v>
      </c>
      <c r="C209" s="97">
        <v>0</v>
      </c>
      <c r="D209" s="97">
        <v>0</v>
      </c>
      <c r="E209" s="97">
        <v>0</v>
      </c>
      <c r="F209" s="97">
        <v>0</v>
      </c>
      <c r="G209" s="97">
        <v>0</v>
      </c>
      <c r="H209" s="97">
        <v>0</v>
      </c>
      <c r="I209" s="96"/>
      <c r="J209" s="96"/>
      <c r="K209" s="96"/>
      <c r="L209" s="96"/>
      <c r="M209" s="98"/>
      <c r="N209" s="100"/>
      <c r="O209" s="49"/>
    </row>
    <row r="210" spans="1:15" hidden="1">
      <c r="A210" s="85" t="s">
        <v>424</v>
      </c>
      <c r="B210" s="85" t="s">
        <v>256</v>
      </c>
      <c r="C210" s="206">
        <v>56750</v>
      </c>
      <c r="D210" s="206">
        <v>23209</v>
      </c>
      <c r="E210" s="206">
        <v>48019</v>
      </c>
      <c r="F210" s="206">
        <v>98478</v>
      </c>
      <c r="G210" s="206">
        <v>33884</v>
      </c>
      <c r="H210" s="206">
        <v>260340</v>
      </c>
      <c r="I210" s="85" t="s">
        <v>575</v>
      </c>
      <c r="J210" s="85" t="s">
        <v>576</v>
      </c>
      <c r="K210" s="85" t="s">
        <v>609</v>
      </c>
      <c r="L210" s="85" t="s">
        <v>627</v>
      </c>
      <c r="M210" s="93"/>
      <c r="N210" s="86"/>
      <c r="O210" s="87"/>
    </row>
    <row r="211" spans="1:15" s="23" customFormat="1" hidden="1">
      <c r="A211" s="96" t="s">
        <v>425</v>
      </c>
      <c r="B211" s="96" t="s">
        <v>426</v>
      </c>
      <c r="C211" s="97">
        <v>0</v>
      </c>
      <c r="D211" s="97">
        <v>0</v>
      </c>
      <c r="E211" s="97">
        <v>0</v>
      </c>
      <c r="F211" s="97">
        <v>0</v>
      </c>
      <c r="G211" s="97">
        <v>0</v>
      </c>
      <c r="H211" s="97">
        <v>0</v>
      </c>
      <c r="I211" s="96"/>
      <c r="J211" s="96"/>
      <c r="K211" s="96"/>
      <c r="L211" s="96"/>
      <c r="M211" s="98"/>
      <c r="N211" s="100"/>
      <c r="O211" s="49"/>
    </row>
    <row r="212" spans="1:15" s="23" customFormat="1" hidden="1">
      <c r="A212" s="96" t="s">
        <v>427</v>
      </c>
      <c r="B212" s="96" t="s">
        <v>428</v>
      </c>
      <c r="C212" s="97">
        <v>0</v>
      </c>
      <c r="D212" s="97">
        <v>0</v>
      </c>
      <c r="E212" s="97">
        <v>0</v>
      </c>
      <c r="F212" s="97">
        <v>0</v>
      </c>
      <c r="G212" s="97">
        <v>0</v>
      </c>
      <c r="H212" s="97">
        <v>0</v>
      </c>
      <c r="I212" s="96"/>
      <c r="J212" s="96"/>
      <c r="K212" s="96"/>
      <c r="L212" s="96"/>
      <c r="M212" s="98"/>
      <c r="N212" s="100"/>
      <c r="O212" s="49"/>
    </row>
    <row r="213" spans="1:15" s="23" customFormat="1" hidden="1">
      <c r="A213" s="96" t="s">
        <v>429</v>
      </c>
      <c r="B213" s="96" t="s">
        <v>430</v>
      </c>
      <c r="C213" s="97">
        <v>0</v>
      </c>
      <c r="D213" s="97">
        <v>0</v>
      </c>
      <c r="E213" s="97">
        <v>0</v>
      </c>
      <c r="F213" s="97">
        <v>0</v>
      </c>
      <c r="G213" s="97">
        <v>0</v>
      </c>
      <c r="H213" s="97">
        <v>0</v>
      </c>
      <c r="I213" s="96"/>
      <c r="J213" s="96"/>
      <c r="K213" s="96"/>
      <c r="L213" s="96"/>
      <c r="M213" s="98"/>
      <c r="N213" s="100"/>
      <c r="O213" s="49"/>
    </row>
    <row r="214" spans="1:15" s="23" customFormat="1" hidden="1">
      <c r="A214" s="96" t="s">
        <v>431</v>
      </c>
      <c r="B214" s="96" t="s">
        <v>432</v>
      </c>
      <c r="C214" s="97">
        <v>0</v>
      </c>
      <c r="D214" s="97">
        <v>0</v>
      </c>
      <c r="E214" s="97">
        <v>0</v>
      </c>
      <c r="F214" s="97">
        <v>0</v>
      </c>
      <c r="G214" s="97">
        <v>0</v>
      </c>
      <c r="H214" s="97">
        <v>0</v>
      </c>
      <c r="I214" s="96"/>
      <c r="J214" s="96"/>
      <c r="K214" s="96"/>
      <c r="L214" s="96"/>
      <c r="M214" s="98"/>
      <c r="N214" s="100"/>
      <c r="O214" s="49"/>
    </row>
    <row r="215" spans="1:15" s="23" customFormat="1" hidden="1">
      <c r="A215" s="96" t="s">
        <v>433</v>
      </c>
      <c r="B215" s="96" t="s">
        <v>434</v>
      </c>
      <c r="C215" s="97">
        <v>0</v>
      </c>
      <c r="D215" s="97">
        <v>0</v>
      </c>
      <c r="E215" s="97">
        <v>0</v>
      </c>
      <c r="F215" s="97">
        <v>0</v>
      </c>
      <c r="G215" s="97">
        <v>0</v>
      </c>
      <c r="H215" s="97">
        <v>0</v>
      </c>
      <c r="I215" s="96"/>
      <c r="J215" s="96"/>
      <c r="K215" s="96"/>
      <c r="L215" s="96"/>
      <c r="M215" s="98"/>
      <c r="N215" s="100"/>
      <c r="O215" s="49"/>
    </row>
    <row r="216" spans="1:15" s="23" customFormat="1" hidden="1">
      <c r="A216" s="96" t="s">
        <v>435</v>
      </c>
      <c r="B216" s="96" t="s">
        <v>436</v>
      </c>
      <c r="C216" s="97">
        <v>0</v>
      </c>
      <c r="D216" s="97">
        <v>0</v>
      </c>
      <c r="E216" s="97">
        <v>0</v>
      </c>
      <c r="F216" s="97">
        <v>0</v>
      </c>
      <c r="G216" s="97">
        <v>0</v>
      </c>
      <c r="H216" s="97">
        <v>0</v>
      </c>
      <c r="I216" s="96"/>
      <c r="J216" s="96"/>
      <c r="K216" s="96"/>
      <c r="L216" s="96"/>
      <c r="M216" s="98"/>
      <c r="N216" s="100"/>
      <c r="O216" s="49"/>
    </row>
    <row r="217" spans="1:15" s="23" customFormat="1" hidden="1">
      <c r="A217" s="96" t="s">
        <v>437</v>
      </c>
      <c r="B217" s="96" t="s">
        <v>438</v>
      </c>
      <c r="C217" s="97">
        <v>0</v>
      </c>
      <c r="D217" s="97">
        <v>0</v>
      </c>
      <c r="E217" s="97">
        <v>0</v>
      </c>
      <c r="F217" s="97">
        <v>0</v>
      </c>
      <c r="G217" s="97">
        <v>0</v>
      </c>
      <c r="H217" s="97">
        <v>0</v>
      </c>
      <c r="I217" s="96"/>
      <c r="J217" s="96"/>
      <c r="K217" s="96"/>
      <c r="L217" s="96"/>
      <c r="M217" s="98"/>
      <c r="N217" s="100"/>
      <c r="O217" s="49"/>
    </row>
    <row r="218" spans="1:15" s="23" customFormat="1" hidden="1">
      <c r="A218" s="96" t="s">
        <v>439</v>
      </c>
      <c r="B218" s="96" t="s">
        <v>440</v>
      </c>
      <c r="C218" s="97">
        <v>0</v>
      </c>
      <c r="D218" s="97">
        <v>0</v>
      </c>
      <c r="E218" s="97">
        <v>0</v>
      </c>
      <c r="F218" s="97">
        <v>0</v>
      </c>
      <c r="G218" s="97">
        <v>0</v>
      </c>
      <c r="H218" s="97">
        <v>0</v>
      </c>
      <c r="I218" s="96"/>
      <c r="J218" s="96"/>
      <c r="K218" s="96"/>
      <c r="L218" s="96"/>
      <c r="M218" s="98"/>
      <c r="N218" s="100"/>
      <c r="O218" s="49"/>
    </row>
    <row r="219" spans="1:15" s="23" customFormat="1" hidden="1">
      <c r="A219" s="96" t="s">
        <v>441</v>
      </c>
      <c r="B219" s="96" t="s">
        <v>442</v>
      </c>
      <c r="C219" s="97">
        <v>0</v>
      </c>
      <c r="D219" s="97">
        <v>0</v>
      </c>
      <c r="E219" s="97">
        <v>0</v>
      </c>
      <c r="F219" s="97">
        <v>0</v>
      </c>
      <c r="G219" s="97">
        <v>0</v>
      </c>
      <c r="H219" s="97">
        <v>0</v>
      </c>
      <c r="I219" s="96"/>
      <c r="J219" s="96"/>
      <c r="K219" s="96"/>
      <c r="L219" s="96"/>
      <c r="M219" s="98"/>
      <c r="N219" s="100"/>
      <c r="O219" s="49"/>
    </row>
    <row r="220" spans="1:15" s="23" customFormat="1" hidden="1">
      <c r="A220" s="96" t="s">
        <v>443</v>
      </c>
      <c r="B220" s="96" t="s">
        <v>127</v>
      </c>
      <c r="C220" s="97">
        <v>0</v>
      </c>
      <c r="D220" s="97">
        <v>0</v>
      </c>
      <c r="E220" s="97">
        <v>0</v>
      </c>
      <c r="F220" s="97">
        <v>0</v>
      </c>
      <c r="G220" s="97">
        <v>0</v>
      </c>
      <c r="H220" s="97">
        <v>0</v>
      </c>
      <c r="I220" s="96"/>
      <c r="J220" s="96"/>
      <c r="K220" s="96"/>
      <c r="L220" s="96"/>
      <c r="M220" s="98"/>
      <c r="N220" s="100"/>
      <c r="O220" s="49"/>
    </row>
    <row r="221" spans="1:15" s="23" customFormat="1" hidden="1">
      <c r="A221" s="96" t="s">
        <v>444</v>
      </c>
      <c r="B221" s="96" t="s">
        <v>445</v>
      </c>
      <c r="C221" s="97">
        <v>0</v>
      </c>
      <c r="D221" s="97">
        <v>0</v>
      </c>
      <c r="E221" s="97">
        <v>0</v>
      </c>
      <c r="F221" s="97">
        <v>0</v>
      </c>
      <c r="G221" s="97">
        <v>0</v>
      </c>
      <c r="H221" s="97">
        <v>0</v>
      </c>
      <c r="I221" s="96"/>
      <c r="J221" s="96"/>
      <c r="K221" s="96"/>
      <c r="L221" s="96"/>
      <c r="M221" s="98"/>
      <c r="N221" s="100"/>
      <c r="O221" s="49"/>
    </row>
    <row r="222" spans="1:15" s="23" customFormat="1" hidden="1">
      <c r="A222" s="96" t="s">
        <v>446</v>
      </c>
      <c r="B222" s="96" t="s">
        <v>447</v>
      </c>
      <c r="C222" s="97">
        <v>0</v>
      </c>
      <c r="D222" s="97">
        <v>0</v>
      </c>
      <c r="E222" s="97">
        <v>0</v>
      </c>
      <c r="F222" s="97">
        <v>0</v>
      </c>
      <c r="G222" s="97">
        <v>0</v>
      </c>
      <c r="H222" s="97">
        <v>0</v>
      </c>
      <c r="I222" s="96"/>
      <c r="J222" s="96"/>
      <c r="K222" s="96"/>
      <c r="L222" s="96"/>
      <c r="M222" s="98"/>
      <c r="N222" s="100"/>
      <c r="O222" s="49"/>
    </row>
    <row r="223" spans="1:15" s="23" customFormat="1" hidden="1">
      <c r="A223" s="96" t="s">
        <v>448</v>
      </c>
      <c r="B223" s="96" t="s">
        <v>449</v>
      </c>
      <c r="C223" s="97">
        <v>0</v>
      </c>
      <c r="D223" s="97">
        <v>0</v>
      </c>
      <c r="E223" s="97">
        <v>0</v>
      </c>
      <c r="F223" s="97">
        <v>0</v>
      </c>
      <c r="G223" s="97">
        <v>0</v>
      </c>
      <c r="H223" s="97">
        <v>0</v>
      </c>
      <c r="I223" s="96"/>
      <c r="J223" s="96"/>
      <c r="K223" s="96"/>
      <c r="L223" s="96"/>
      <c r="M223" s="98"/>
      <c r="N223" s="100"/>
      <c r="O223" s="49"/>
    </row>
    <row r="224" spans="1:15" s="23" customFormat="1" hidden="1">
      <c r="A224" s="96" t="s">
        <v>450</v>
      </c>
      <c r="B224" s="96" t="s">
        <v>451</v>
      </c>
      <c r="C224" s="97">
        <v>0</v>
      </c>
      <c r="D224" s="97">
        <v>0</v>
      </c>
      <c r="E224" s="97">
        <v>0</v>
      </c>
      <c r="F224" s="97">
        <v>0</v>
      </c>
      <c r="G224" s="97">
        <v>0</v>
      </c>
      <c r="H224" s="97">
        <v>0</v>
      </c>
      <c r="I224" s="96"/>
      <c r="J224" s="96"/>
      <c r="K224" s="96"/>
      <c r="L224" s="96"/>
      <c r="M224" s="98"/>
      <c r="N224" s="100"/>
      <c r="O224" s="49"/>
    </row>
    <row r="225" spans="1:15" s="23" customFormat="1" hidden="1">
      <c r="A225" s="96" t="s">
        <v>452</v>
      </c>
      <c r="B225" s="96" t="s">
        <v>453</v>
      </c>
      <c r="C225" s="97">
        <v>0</v>
      </c>
      <c r="D225" s="97">
        <v>0</v>
      </c>
      <c r="E225" s="97">
        <v>0</v>
      </c>
      <c r="F225" s="97">
        <v>0</v>
      </c>
      <c r="G225" s="97">
        <v>0</v>
      </c>
      <c r="H225" s="97">
        <v>0</v>
      </c>
      <c r="I225" s="96"/>
      <c r="J225" s="96"/>
      <c r="K225" s="96"/>
      <c r="L225" s="96"/>
      <c r="M225" s="98"/>
      <c r="N225" s="100"/>
      <c r="O225" s="49"/>
    </row>
    <row r="226" spans="1:15" s="23" customFormat="1" hidden="1">
      <c r="A226" s="96" t="s">
        <v>454</v>
      </c>
      <c r="B226" s="96" t="s">
        <v>455</v>
      </c>
      <c r="C226" s="97">
        <v>0</v>
      </c>
      <c r="D226" s="97">
        <v>0</v>
      </c>
      <c r="E226" s="97">
        <v>0</v>
      </c>
      <c r="F226" s="97">
        <v>0</v>
      </c>
      <c r="G226" s="97">
        <v>0</v>
      </c>
      <c r="H226" s="97">
        <v>0</v>
      </c>
      <c r="I226" s="96"/>
      <c r="J226" s="96"/>
      <c r="K226" s="96"/>
      <c r="L226" s="96"/>
      <c r="M226" s="98"/>
      <c r="N226" s="100"/>
      <c r="O226" s="49"/>
    </row>
    <row r="227" spans="1:15" s="23" customFormat="1" hidden="1">
      <c r="A227" s="96" t="s">
        <v>456</v>
      </c>
      <c r="B227" s="96" t="s">
        <v>457</v>
      </c>
      <c r="C227" s="97">
        <v>0</v>
      </c>
      <c r="D227" s="97">
        <v>0</v>
      </c>
      <c r="E227" s="97">
        <v>0</v>
      </c>
      <c r="F227" s="97">
        <v>0</v>
      </c>
      <c r="G227" s="97">
        <v>0</v>
      </c>
      <c r="H227" s="97">
        <v>0</v>
      </c>
      <c r="I227" s="96"/>
      <c r="J227" s="96"/>
      <c r="K227" s="96"/>
      <c r="L227" s="96"/>
      <c r="M227" s="98"/>
      <c r="N227" s="100"/>
      <c r="O227" s="49"/>
    </row>
    <row r="228" spans="1:15" s="23" customFormat="1" hidden="1">
      <c r="A228" s="96" t="s">
        <v>458</v>
      </c>
      <c r="B228" s="96" t="s">
        <v>459</v>
      </c>
      <c r="C228" s="97">
        <v>0</v>
      </c>
      <c r="D228" s="97">
        <v>0</v>
      </c>
      <c r="E228" s="97">
        <v>0</v>
      </c>
      <c r="F228" s="97">
        <v>0</v>
      </c>
      <c r="G228" s="97">
        <v>0</v>
      </c>
      <c r="H228" s="97">
        <v>0</v>
      </c>
      <c r="I228" s="96"/>
      <c r="J228" s="96"/>
      <c r="K228" s="96"/>
      <c r="L228" s="96"/>
      <c r="M228" s="98"/>
      <c r="N228" s="100"/>
      <c r="O228" s="49"/>
    </row>
    <row r="229" spans="1:15" s="23" customFormat="1" hidden="1">
      <c r="A229" s="96" t="s">
        <v>460</v>
      </c>
      <c r="B229" s="96" t="s">
        <v>461</v>
      </c>
      <c r="C229" s="97">
        <v>0</v>
      </c>
      <c r="D229" s="97">
        <v>0</v>
      </c>
      <c r="E229" s="97">
        <v>0</v>
      </c>
      <c r="F229" s="97">
        <v>0</v>
      </c>
      <c r="G229" s="97">
        <v>0</v>
      </c>
      <c r="H229" s="97">
        <v>0</v>
      </c>
      <c r="I229" s="96"/>
      <c r="J229" s="96"/>
      <c r="K229" s="96"/>
      <c r="L229" s="96"/>
      <c r="M229" s="98"/>
      <c r="N229" s="100"/>
      <c r="O229" s="49"/>
    </row>
    <row r="230" spans="1:15" s="23" customFormat="1" hidden="1">
      <c r="A230" s="96" t="s">
        <v>462</v>
      </c>
      <c r="B230" s="96" t="s">
        <v>463</v>
      </c>
      <c r="C230" s="97">
        <v>0</v>
      </c>
      <c r="D230" s="97">
        <v>0</v>
      </c>
      <c r="E230" s="97">
        <v>0</v>
      </c>
      <c r="F230" s="97">
        <v>0</v>
      </c>
      <c r="G230" s="97">
        <v>0</v>
      </c>
      <c r="H230" s="97">
        <v>0</v>
      </c>
      <c r="I230" s="96"/>
      <c r="J230" s="96"/>
      <c r="K230" s="96"/>
      <c r="L230" s="96"/>
      <c r="M230" s="98"/>
      <c r="N230" s="100"/>
      <c r="O230" s="49"/>
    </row>
    <row r="231" spans="1:15" s="23" customFormat="1" hidden="1">
      <c r="A231" s="96" t="s">
        <v>464</v>
      </c>
      <c r="B231" s="96" t="s">
        <v>465</v>
      </c>
      <c r="C231" s="97">
        <v>0</v>
      </c>
      <c r="D231" s="97">
        <v>0</v>
      </c>
      <c r="E231" s="97">
        <v>0</v>
      </c>
      <c r="F231" s="97">
        <v>0</v>
      </c>
      <c r="G231" s="97">
        <v>0</v>
      </c>
      <c r="H231" s="97">
        <v>0</v>
      </c>
      <c r="I231" s="96"/>
      <c r="J231" s="96"/>
      <c r="K231" s="96"/>
      <c r="L231" s="96"/>
      <c r="M231" s="98"/>
      <c r="N231" s="100"/>
      <c r="O231" s="49"/>
    </row>
    <row r="232" spans="1:15" s="23" customFormat="1" hidden="1">
      <c r="A232" s="96" t="s">
        <v>466</v>
      </c>
      <c r="B232" s="96" t="s">
        <v>467</v>
      </c>
      <c r="C232" s="97">
        <v>0</v>
      </c>
      <c r="D232" s="97">
        <v>0</v>
      </c>
      <c r="E232" s="97">
        <v>0</v>
      </c>
      <c r="F232" s="97">
        <v>0</v>
      </c>
      <c r="G232" s="97">
        <v>0</v>
      </c>
      <c r="H232" s="97">
        <v>0</v>
      </c>
      <c r="I232" s="96"/>
      <c r="J232" s="96"/>
      <c r="K232" s="96"/>
      <c r="L232" s="96"/>
      <c r="M232" s="98"/>
      <c r="N232" s="100"/>
      <c r="O232" s="49"/>
    </row>
    <row r="233" spans="1:15" s="23" customFormat="1" hidden="1">
      <c r="A233" s="96" t="s">
        <v>468</v>
      </c>
      <c r="B233" s="96" t="s">
        <v>469</v>
      </c>
      <c r="C233" s="97">
        <v>0</v>
      </c>
      <c r="D233" s="97">
        <v>0</v>
      </c>
      <c r="E233" s="97">
        <v>0</v>
      </c>
      <c r="F233" s="97">
        <v>0</v>
      </c>
      <c r="G233" s="97">
        <v>0</v>
      </c>
      <c r="H233" s="97">
        <v>0</v>
      </c>
      <c r="I233" s="96"/>
      <c r="J233" s="96"/>
      <c r="K233" s="96"/>
      <c r="L233" s="96"/>
      <c r="M233" s="98"/>
      <c r="N233" s="100"/>
      <c r="O233" s="49"/>
    </row>
    <row r="234" spans="1:15" s="23" customFormat="1" hidden="1">
      <c r="A234" s="96" t="s">
        <v>470</v>
      </c>
      <c r="B234" s="96" t="s">
        <v>471</v>
      </c>
      <c r="C234" s="97">
        <v>0</v>
      </c>
      <c r="D234" s="97">
        <v>0</v>
      </c>
      <c r="E234" s="97">
        <v>0</v>
      </c>
      <c r="F234" s="97">
        <v>0</v>
      </c>
      <c r="G234" s="97">
        <v>0</v>
      </c>
      <c r="H234" s="97">
        <v>0</v>
      </c>
      <c r="I234" s="96"/>
      <c r="J234" s="96"/>
      <c r="K234" s="96"/>
      <c r="L234" s="96"/>
      <c r="M234" s="98"/>
      <c r="N234" s="100"/>
      <c r="O234" s="49"/>
    </row>
    <row r="235" spans="1:15" s="23" customFormat="1" hidden="1">
      <c r="A235" s="96" t="s">
        <v>472</v>
      </c>
      <c r="B235" s="96" t="s">
        <v>295</v>
      </c>
      <c r="C235" s="97">
        <v>0</v>
      </c>
      <c r="D235" s="97">
        <v>0</v>
      </c>
      <c r="E235" s="97">
        <v>0</v>
      </c>
      <c r="F235" s="97">
        <v>0</v>
      </c>
      <c r="G235" s="97">
        <v>0</v>
      </c>
      <c r="H235" s="97">
        <v>0</v>
      </c>
      <c r="I235" s="96"/>
      <c r="J235" s="96"/>
      <c r="K235" s="96"/>
      <c r="L235" s="96"/>
      <c r="M235" s="98"/>
      <c r="N235" s="100"/>
      <c r="O235" s="49"/>
    </row>
    <row r="236" spans="1:15" s="23" customFormat="1" hidden="1">
      <c r="A236" s="96" t="s">
        <v>473</v>
      </c>
      <c r="B236" s="96" t="s">
        <v>474</v>
      </c>
      <c r="C236" s="97">
        <v>0</v>
      </c>
      <c r="D236" s="97">
        <v>0</v>
      </c>
      <c r="E236" s="97">
        <v>0</v>
      </c>
      <c r="F236" s="97">
        <v>0</v>
      </c>
      <c r="G236" s="97">
        <v>0</v>
      </c>
      <c r="H236" s="97">
        <v>0</v>
      </c>
      <c r="I236" s="96"/>
      <c r="J236" s="96"/>
      <c r="K236" s="96"/>
      <c r="L236" s="96"/>
      <c r="M236" s="98"/>
      <c r="N236" s="100"/>
      <c r="O236" s="49"/>
    </row>
    <row r="237" spans="1:15" hidden="1">
      <c r="A237" s="95" t="s">
        <v>678</v>
      </c>
      <c r="B237" s="85" t="s">
        <v>476</v>
      </c>
      <c r="C237" s="206">
        <v>44703</v>
      </c>
      <c r="D237" s="206">
        <v>17678</v>
      </c>
      <c r="E237" s="206">
        <v>32603</v>
      </c>
      <c r="F237" s="206">
        <v>226787</v>
      </c>
      <c r="G237" s="206">
        <v>29262</v>
      </c>
      <c r="H237" s="206">
        <v>351033</v>
      </c>
      <c r="I237" s="85" t="s">
        <v>575</v>
      </c>
      <c r="J237" s="85" t="s">
        <v>573</v>
      </c>
      <c r="K237" s="85" t="s">
        <v>609</v>
      </c>
      <c r="L237" s="85" t="s">
        <v>679</v>
      </c>
      <c r="M237" s="93"/>
      <c r="N237" s="86"/>
      <c r="O237" s="87" t="s">
        <v>680</v>
      </c>
    </row>
    <row r="238" spans="1:15" s="23" customFormat="1" hidden="1">
      <c r="A238" s="96" t="s">
        <v>477</v>
      </c>
      <c r="B238" s="96" t="s">
        <v>478</v>
      </c>
      <c r="C238" s="97">
        <v>0</v>
      </c>
      <c r="D238" s="97">
        <v>0</v>
      </c>
      <c r="E238" s="97">
        <v>0</v>
      </c>
      <c r="F238" s="97">
        <v>0</v>
      </c>
      <c r="G238" s="97">
        <v>0</v>
      </c>
      <c r="H238" s="97">
        <v>0</v>
      </c>
      <c r="I238" s="96"/>
      <c r="J238" s="96"/>
      <c r="K238" s="96"/>
      <c r="L238" s="96"/>
      <c r="M238" s="98"/>
      <c r="N238" s="100"/>
      <c r="O238" s="49"/>
    </row>
    <row r="239" spans="1:15" s="23" customFormat="1" hidden="1">
      <c r="A239" s="96" t="s">
        <v>479</v>
      </c>
      <c r="B239" s="96" t="s">
        <v>480</v>
      </c>
      <c r="C239" s="97">
        <v>0</v>
      </c>
      <c r="D239" s="97">
        <v>0</v>
      </c>
      <c r="E239" s="97">
        <v>0</v>
      </c>
      <c r="F239" s="97">
        <v>0</v>
      </c>
      <c r="G239" s="97">
        <v>0</v>
      </c>
      <c r="H239" s="97">
        <v>0</v>
      </c>
      <c r="I239" s="96"/>
      <c r="J239" s="96"/>
      <c r="K239" s="96"/>
      <c r="L239" s="96"/>
      <c r="M239" s="98"/>
      <c r="N239" s="100"/>
      <c r="O239" s="49"/>
    </row>
    <row r="240" spans="1:15" s="23" customFormat="1" hidden="1">
      <c r="A240" s="96" t="s">
        <v>481</v>
      </c>
      <c r="B240" s="96" t="s">
        <v>482</v>
      </c>
      <c r="C240" s="97">
        <v>0</v>
      </c>
      <c r="D240" s="97">
        <v>0</v>
      </c>
      <c r="E240" s="97">
        <v>0</v>
      </c>
      <c r="F240" s="97">
        <v>0</v>
      </c>
      <c r="G240" s="97">
        <v>0</v>
      </c>
      <c r="H240" s="97">
        <v>0</v>
      </c>
      <c r="I240" s="96"/>
      <c r="J240" s="96"/>
      <c r="K240" s="96"/>
      <c r="L240" s="96"/>
      <c r="M240" s="98"/>
      <c r="N240" s="100"/>
      <c r="O240" s="49"/>
    </row>
    <row r="241" spans="1:15" s="23" customFormat="1" hidden="1">
      <c r="A241" s="96" t="s">
        <v>483</v>
      </c>
      <c r="B241" s="96" t="s">
        <v>484</v>
      </c>
      <c r="C241" s="97">
        <v>0</v>
      </c>
      <c r="D241" s="97">
        <v>0</v>
      </c>
      <c r="E241" s="97">
        <v>0</v>
      </c>
      <c r="F241" s="97">
        <v>0</v>
      </c>
      <c r="G241" s="97">
        <v>0</v>
      </c>
      <c r="H241" s="97">
        <v>0</v>
      </c>
      <c r="I241" s="96"/>
      <c r="J241" s="96"/>
      <c r="K241" s="96"/>
      <c r="L241" s="96"/>
      <c r="M241" s="98"/>
      <c r="N241" s="100"/>
      <c r="O241" s="49"/>
    </row>
    <row r="242" spans="1:15" s="23" customFormat="1" hidden="1">
      <c r="A242" s="96" t="s">
        <v>485</v>
      </c>
      <c r="B242" s="96" t="s">
        <v>486</v>
      </c>
      <c r="C242" s="97">
        <v>0</v>
      </c>
      <c r="D242" s="97">
        <v>0</v>
      </c>
      <c r="E242" s="97">
        <v>0</v>
      </c>
      <c r="F242" s="97">
        <v>0</v>
      </c>
      <c r="G242" s="97">
        <v>0</v>
      </c>
      <c r="H242" s="97">
        <v>0</v>
      </c>
      <c r="I242" s="96"/>
      <c r="J242" s="96"/>
      <c r="K242" s="96"/>
      <c r="L242" s="96"/>
      <c r="M242" s="98"/>
      <c r="N242" s="100"/>
      <c r="O242" s="49"/>
    </row>
    <row r="243" spans="1:15" s="23" customFormat="1" hidden="1">
      <c r="A243" s="96" t="s">
        <v>487</v>
      </c>
      <c r="B243" s="96" t="s">
        <v>488</v>
      </c>
      <c r="C243" s="97">
        <v>0</v>
      </c>
      <c r="D243" s="97">
        <v>0</v>
      </c>
      <c r="E243" s="97">
        <v>0</v>
      </c>
      <c r="F243" s="97">
        <v>0</v>
      </c>
      <c r="G243" s="97">
        <v>0</v>
      </c>
      <c r="H243" s="97">
        <v>0</v>
      </c>
      <c r="I243" s="96"/>
      <c r="J243" s="96"/>
      <c r="K243" s="96"/>
      <c r="L243" s="96"/>
      <c r="M243" s="98"/>
      <c r="N243" s="100"/>
      <c r="O243" s="49"/>
    </row>
    <row r="244" spans="1:15" s="23" customFormat="1" hidden="1">
      <c r="A244" s="96" t="s">
        <v>489</v>
      </c>
      <c r="B244" s="96" t="s">
        <v>490</v>
      </c>
      <c r="C244" s="97">
        <v>0</v>
      </c>
      <c r="D244" s="97">
        <v>0</v>
      </c>
      <c r="E244" s="97">
        <v>0</v>
      </c>
      <c r="F244" s="97">
        <v>0</v>
      </c>
      <c r="G244" s="97">
        <v>0</v>
      </c>
      <c r="H244" s="97">
        <v>0</v>
      </c>
      <c r="I244" s="96"/>
      <c r="J244" s="96"/>
      <c r="K244" s="96"/>
      <c r="L244" s="96"/>
      <c r="M244" s="98"/>
      <c r="N244" s="100"/>
      <c r="O244" s="49"/>
    </row>
    <row r="245" spans="1:15" s="23" customFormat="1" hidden="1">
      <c r="A245" s="96" t="s">
        <v>491</v>
      </c>
      <c r="B245" s="96" t="s">
        <v>492</v>
      </c>
      <c r="C245" s="97">
        <v>0</v>
      </c>
      <c r="D245" s="97">
        <v>0</v>
      </c>
      <c r="E245" s="97">
        <v>0</v>
      </c>
      <c r="F245" s="97">
        <v>0</v>
      </c>
      <c r="G245" s="97">
        <v>0</v>
      </c>
      <c r="H245" s="97">
        <v>0</v>
      </c>
      <c r="I245" s="96"/>
      <c r="J245" s="96"/>
      <c r="K245" s="96"/>
      <c r="L245" s="96"/>
      <c r="M245" s="98"/>
      <c r="N245" s="100"/>
      <c r="O245" s="49"/>
    </row>
    <row r="246" spans="1:15" s="23" customFormat="1" hidden="1">
      <c r="A246" s="96" t="s">
        <v>493</v>
      </c>
      <c r="B246" s="96" t="s">
        <v>494</v>
      </c>
      <c r="C246" s="97">
        <v>0</v>
      </c>
      <c r="D246" s="97">
        <v>0</v>
      </c>
      <c r="E246" s="97">
        <v>0</v>
      </c>
      <c r="F246" s="97">
        <v>0</v>
      </c>
      <c r="G246" s="97">
        <v>0</v>
      </c>
      <c r="H246" s="97">
        <v>0</v>
      </c>
      <c r="I246" s="96"/>
      <c r="J246" s="96"/>
      <c r="K246" s="96"/>
      <c r="L246" s="96"/>
      <c r="M246" s="98"/>
      <c r="N246" s="100"/>
      <c r="O246" s="49"/>
    </row>
    <row r="247" spans="1:15" s="23" customFormat="1" hidden="1">
      <c r="A247" s="96" t="s">
        <v>495</v>
      </c>
      <c r="B247" s="96" t="s">
        <v>496</v>
      </c>
      <c r="C247" s="97">
        <v>0</v>
      </c>
      <c r="D247" s="97">
        <v>0</v>
      </c>
      <c r="E247" s="97">
        <v>0</v>
      </c>
      <c r="F247" s="97">
        <v>0</v>
      </c>
      <c r="G247" s="97">
        <v>0</v>
      </c>
      <c r="H247" s="97">
        <v>0</v>
      </c>
      <c r="I247" s="96"/>
      <c r="J247" s="96"/>
      <c r="K247" s="96"/>
      <c r="L247" s="96"/>
      <c r="M247" s="98"/>
      <c r="N247" s="100"/>
      <c r="O247" s="49"/>
    </row>
    <row r="248" spans="1:15" s="23" customFormat="1" hidden="1">
      <c r="A248" s="96" t="s">
        <v>497</v>
      </c>
      <c r="B248" s="96" t="s">
        <v>498</v>
      </c>
      <c r="C248" s="97">
        <v>0</v>
      </c>
      <c r="D248" s="97">
        <v>0</v>
      </c>
      <c r="E248" s="97">
        <v>0</v>
      </c>
      <c r="F248" s="97">
        <v>0</v>
      </c>
      <c r="G248" s="97">
        <v>0</v>
      </c>
      <c r="H248" s="97">
        <v>0</v>
      </c>
      <c r="I248" s="96"/>
      <c r="J248" s="96"/>
      <c r="K248" s="96"/>
      <c r="L248" s="96"/>
      <c r="M248" s="98"/>
      <c r="N248" s="100"/>
      <c r="O248" s="49"/>
    </row>
    <row r="249" spans="1:15" s="23" customFormat="1" hidden="1">
      <c r="A249" s="96" t="s">
        <v>499</v>
      </c>
      <c r="B249" s="96" t="s">
        <v>500</v>
      </c>
      <c r="C249" s="97">
        <v>0</v>
      </c>
      <c r="D249" s="97">
        <v>0</v>
      </c>
      <c r="E249" s="97">
        <v>0</v>
      </c>
      <c r="F249" s="97">
        <v>0</v>
      </c>
      <c r="G249" s="97">
        <v>0</v>
      </c>
      <c r="H249" s="97">
        <v>0</v>
      </c>
      <c r="I249" s="96"/>
      <c r="J249" s="96"/>
      <c r="K249" s="96"/>
      <c r="L249" s="96"/>
      <c r="M249" s="98"/>
      <c r="N249" s="100"/>
      <c r="O249" s="49"/>
    </row>
    <row r="250" spans="1:15" s="23" customFormat="1" hidden="1">
      <c r="A250" s="96" t="s">
        <v>501</v>
      </c>
      <c r="B250" s="96" t="s">
        <v>502</v>
      </c>
      <c r="C250" s="97">
        <v>0</v>
      </c>
      <c r="D250" s="97">
        <v>0</v>
      </c>
      <c r="E250" s="97">
        <v>0</v>
      </c>
      <c r="F250" s="97">
        <v>0</v>
      </c>
      <c r="G250" s="97">
        <v>0</v>
      </c>
      <c r="H250" s="97">
        <v>0</v>
      </c>
      <c r="I250" s="96"/>
      <c r="J250" s="96"/>
      <c r="K250" s="96"/>
      <c r="L250" s="96"/>
      <c r="M250" s="98"/>
      <c r="N250" s="100"/>
      <c r="O250" s="49"/>
    </row>
    <row r="251" spans="1:15" s="23" customFormat="1" hidden="1">
      <c r="A251" s="96" t="s">
        <v>503</v>
      </c>
      <c r="B251" s="96" t="s">
        <v>504</v>
      </c>
      <c r="C251" s="97">
        <v>0</v>
      </c>
      <c r="D251" s="97">
        <v>0</v>
      </c>
      <c r="E251" s="97">
        <v>0</v>
      </c>
      <c r="F251" s="97">
        <v>0</v>
      </c>
      <c r="G251" s="97">
        <v>0</v>
      </c>
      <c r="H251" s="97">
        <v>0</v>
      </c>
      <c r="I251" s="96"/>
      <c r="J251" s="96"/>
      <c r="K251" s="96"/>
      <c r="L251" s="96"/>
      <c r="M251" s="98"/>
      <c r="N251" s="100"/>
      <c r="O251" s="49"/>
    </row>
    <row r="252" spans="1:15" s="23" customFormat="1" hidden="1">
      <c r="A252" s="96" t="s">
        <v>505</v>
      </c>
      <c r="B252" s="96" t="s">
        <v>506</v>
      </c>
      <c r="C252" s="97">
        <v>0</v>
      </c>
      <c r="D252" s="97">
        <v>0</v>
      </c>
      <c r="E252" s="97">
        <v>0</v>
      </c>
      <c r="F252" s="97">
        <v>0</v>
      </c>
      <c r="G252" s="97">
        <v>0</v>
      </c>
      <c r="H252" s="97">
        <v>0</v>
      </c>
      <c r="I252" s="96"/>
      <c r="J252" s="96"/>
      <c r="K252" s="96"/>
      <c r="L252" s="96"/>
      <c r="M252" s="98"/>
      <c r="N252" s="100"/>
      <c r="O252" s="49"/>
    </row>
    <row r="253" spans="1:15" s="23" customFormat="1" hidden="1">
      <c r="A253" s="96" t="s">
        <v>507</v>
      </c>
      <c r="B253" s="96" t="s">
        <v>508</v>
      </c>
      <c r="C253" s="97">
        <v>0</v>
      </c>
      <c r="D253" s="97">
        <v>0</v>
      </c>
      <c r="E253" s="97">
        <v>0</v>
      </c>
      <c r="F253" s="97">
        <v>0</v>
      </c>
      <c r="G253" s="97">
        <v>0</v>
      </c>
      <c r="H253" s="97">
        <v>0</v>
      </c>
      <c r="I253" s="96"/>
      <c r="J253" s="96"/>
      <c r="K253" s="96"/>
      <c r="L253" s="96"/>
      <c r="M253" s="98"/>
      <c r="N253" s="100"/>
      <c r="O253" s="49"/>
    </row>
    <row r="254" spans="1:15" s="23" customFormat="1" hidden="1">
      <c r="A254" s="96" t="s">
        <v>509</v>
      </c>
      <c r="B254" s="96" t="s">
        <v>510</v>
      </c>
      <c r="C254" s="97">
        <v>0</v>
      </c>
      <c r="D254" s="97">
        <v>0</v>
      </c>
      <c r="E254" s="97">
        <v>0</v>
      </c>
      <c r="F254" s="97">
        <v>0</v>
      </c>
      <c r="G254" s="97">
        <v>0</v>
      </c>
      <c r="H254" s="97">
        <v>0</v>
      </c>
      <c r="I254" s="96"/>
      <c r="J254" s="96"/>
      <c r="K254" s="96"/>
      <c r="L254" s="96"/>
      <c r="M254" s="98"/>
      <c r="N254" s="100"/>
      <c r="O254" s="49"/>
    </row>
    <row r="255" spans="1:15" s="23" customFormat="1" hidden="1">
      <c r="A255" s="96" t="s">
        <v>511</v>
      </c>
      <c r="B255" s="96" t="s">
        <v>512</v>
      </c>
      <c r="C255" s="97">
        <v>0</v>
      </c>
      <c r="D255" s="97">
        <v>0</v>
      </c>
      <c r="E255" s="97">
        <v>0</v>
      </c>
      <c r="F255" s="97">
        <v>0</v>
      </c>
      <c r="G255" s="97">
        <v>0</v>
      </c>
      <c r="H255" s="97">
        <v>0</v>
      </c>
      <c r="I255" s="96"/>
      <c r="J255" s="96"/>
      <c r="K255" s="96"/>
      <c r="L255" s="96"/>
      <c r="M255" s="98"/>
      <c r="N255" s="100"/>
      <c r="O255" s="49"/>
    </row>
    <row r="256" spans="1:15" s="23" customFormat="1" hidden="1">
      <c r="A256" s="96" t="s">
        <v>513</v>
      </c>
      <c r="B256" s="96" t="s">
        <v>514</v>
      </c>
      <c r="C256" s="97">
        <v>0</v>
      </c>
      <c r="D256" s="97">
        <v>0</v>
      </c>
      <c r="E256" s="97">
        <v>0</v>
      </c>
      <c r="F256" s="97">
        <v>0</v>
      </c>
      <c r="G256" s="97">
        <v>0</v>
      </c>
      <c r="H256" s="97">
        <v>0</v>
      </c>
      <c r="I256" s="96"/>
      <c r="J256" s="96"/>
      <c r="K256" s="96"/>
      <c r="L256" s="96"/>
      <c r="M256" s="98"/>
      <c r="N256" s="100"/>
      <c r="O256" s="49"/>
    </row>
    <row r="257" spans="1:15" s="23" customFormat="1" hidden="1">
      <c r="A257" s="96" t="s">
        <v>515</v>
      </c>
      <c r="B257" s="96" t="s">
        <v>516</v>
      </c>
      <c r="C257" s="97">
        <v>0</v>
      </c>
      <c r="D257" s="97">
        <v>0</v>
      </c>
      <c r="E257" s="97">
        <v>0</v>
      </c>
      <c r="F257" s="97">
        <v>0</v>
      </c>
      <c r="G257" s="97">
        <v>0</v>
      </c>
      <c r="H257" s="97">
        <v>0</v>
      </c>
      <c r="I257" s="96"/>
      <c r="J257" s="96"/>
      <c r="K257" s="96"/>
      <c r="L257" s="96"/>
      <c r="M257" s="98"/>
      <c r="N257" s="100"/>
      <c r="O257" s="49"/>
    </row>
    <row r="258" spans="1:15" s="23" customFormat="1" hidden="1">
      <c r="A258" s="96" t="s">
        <v>517</v>
      </c>
      <c r="B258" s="96" t="s">
        <v>518</v>
      </c>
      <c r="C258" s="97">
        <v>0</v>
      </c>
      <c r="D258" s="97">
        <v>0</v>
      </c>
      <c r="E258" s="97">
        <v>0</v>
      </c>
      <c r="F258" s="97">
        <v>0</v>
      </c>
      <c r="G258" s="97">
        <v>0</v>
      </c>
      <c r="H258" s="97">
        <v>0</v>
      </c>
      <c r="I258" s="96"/>
      <c r="J258" s="96"/>
      <c r="K258" s="96"/>
      <c r="L258" s="96"/>
      <c r="M258" s="98"/>
      <c r="N258" s="100"/>
      <c r="O258" s="49"/>
    </row>
    <row r="259" spans="1:15" s="23" customFormat="1" hidden="1">
      <c r="A259" s="96" t="s">
        <v>519</v>
      </c>
      <c r="B259" s="96" t="s">
        <v>520</v>
      </c>
      <c r="C259" s="97">
        <v>0</v>
      </c>
      <c r="D259" s="97">
        <v>0</v>
      </c>
      <c r="E259" s="97">
        <v>0</v>
      </c>
      <c r="F259" s="97">
        <v>0</v>
      </c>
      <c r="G259" s="97">
        <v>0</v>
      </c>
      <c r="H259" s="97">
        <v>0</v>
      </c>
      <c r="I259" s="96"/>
      <c r="J259" s="96"/>
      <c r="K259" s="96"/>
      <c r="L259" s="96"/>
      <c r="M259" s="98"/>
      <c r="N259" s="100"/>
      <c r="O259" s="49"/>
    </row>
    <row r="260" spans="1:15" s="23" customFormat="1" hidden="1">
      <c r="A260" s="96" t="s">
        <v>521</v>
      </c>
      <c r="B260" s="96" t="s">
        <v>522</v>
      </c>
      <c r="C260" s="97">
        <v>0</v>
      </c>
      <c r="D260" s="97">
        <v>0</v>
      </c>
      <c r="E260" s="97">
        <v>0</v>
      </c>
      <c r="F260" s="97">
        <v>0</v>
      </c>
      <c r="G260" s="97">
        <v>0</v>
      </c>
      <c r="H260" s="97">
        <v>0</v>
      </c>
      <c r="I260" s="96"/>
      <c r="J260" s="96"/>
      <c r="K260" s="96"/>
      <c r="L260" s="96"/>
      <c r="M260" s="98"/>
      <c r="N260" s="100"/>
      <c r="O260" s="49"/>
    </row>
    <row r="261" spans="1:15" s="23" customFormat="1" hidden="1">
      <c r="A261" s="96" t="s">
        <v>523</v>
      </c>
      <c r="B261" s="96" t="s">
        <v>524</v>
      </c>
      <c r="C261" s="97">
        <v>0</v>
      </c>
      <c r="D261" s="97">
        <v>0</v>
      </c>
      <c r="E261" s="97">
        <v>0</v>
      </c>
      <c r="F261" s="97">
        <v>0</v>
      </c>
      <c r="G261" s="97">
        <v>0</v>
      </c>
      <c r="H261" s="97">
        <v>0</v>
      </c>
      <c r="I261" s="96"/>
      <c r="J261" s="96"/>
      <c r="K261" s="96"/>
      <c r="L261" s="96"/>
      <c r="M261" s="98"/>
      <c r="N261" s="100"/>
      <c r="O261" s="49"/>
    </row>
    <row r="262" spans="1:15" s="23" customFormat="1" hidden="1">
      <c r="A262" s="96" t="s">
        <v>525</v>
      </c>
      <c r="B262" s="96" t="s">
        <v>526</v>
      </c>
      <c r="C262" s="97">
        <v>0</v>
      </c>
      <c r="D262" s="97">
        <v>0</v>
      </c>
      <c r="E262" s="97">
        <v>0</v>
      </c>
      <c r="F262" s="97">
        <v>0</v>
      </c>
      <c r="G262" s="97">
        <v>0</v>
      </c>
      <c r="H262" s="97">
        <v>0</v>
      </c>
      <c r="I262" s="96"/>
      <c r="J262" s="96"/>
      <c r="K262" s="96"/>
      <c r="L262" s="96"/>
      <c r="M262" s="98"/>
      <c r="N262" s="100"/>
      <c r="O262" s="49"/>
    </row>
    <row r="263" spans="1:15" s="23" customFormat="1" hidden="1">
      <c r="A263" s="96" t="s">
        <v>527</v>
      </c>
      <c r="B263" s="96" t="s">
        <v>528</v>
      </c>
      <c r="C263" s="97">
        <v>0</v>
      </c>
      <c r="D263" s="97">
        <v>0</v>
      </c>
      <c r="E263" s="97">
        <v>0</v>
      </c>
      <c r="F263" s="97">
        <v>0</v>
      </c>
      <c r="G263" s="97">
        <v>0</v>
      </c>
      <c r="H263" s="97">
        <v>0</v>
      </c>
      <c r="I263" s="96"/>
      <c r="J263" s="96"/>
      <c r="K263" s="96"/>
      <c r="L263" s="96"/>
      <c r="M263" s="98"/>
      <c r="N263" s="100"/>
      <c r="O263" s="49"/>
    </row>
    <row r="264" spans="1:15" s="23" customFormat="1" hidden="1">
      <c r="A264" s="96" t="s">
        <v>529</v>
      </c>
      <c r="B264" s="96" t="s">
        <v>530</v>
      </c>
      <c r="C264" s="97">
        <v>0</v>
      </c>
      <c r="D264" s="97">
        <v>0</v>
      </c>
      <c r="E264" s="97">
        <v>0</v>
      </c>
      <c r="F264" s="97">
        <v>0</v>
      </c>
      <c r="G264" s="97">
        <v>0</v>
      </c>
      <c r="H264" s="97">
        <v>0</v>
      </c>
      <c r="I264" s="96"/>
      <c r="J264" s="96"/>
      <c r="K264" s="96"/>
      <c r="L264" s="96"/>
      <c r="M264" s="98"/>
      <c r="N264" s="100"/>
      <c r="O264" s="49"/>
    </row>
    <row r="265" spans="1:15" s="23" customFormat="1" hidden="1">
      <c r="A265" s="96" t="s">
        <v>531</v>
      </c>
      <c r="B265" s="96" t="s">
        <v>532</v>
      </c>
      <c r="C265" s="97">
        <v>0</v>
      </c>
      <c r="D265" s="97">
        <v>0</v>
      </c>
      <c r="E265" s="97">
        <v>0</v>
      </c>
      <c r="F265" s="97">
        <v>0</v>
      </c>
      <c r="G265" s="97">
        <v>0</v>
      </c>
      <c r="H265" s="97">
        <v>0</v>
      </c>
      <c r="I265" s="96"/>
      <c r="J265" s="96"/>
      <c r="K265" s="96"/>
      <c r="L265" s="96"/>
      <c r="M265" s="98"/>
      <c r="N265" s="100"/>
      <c r="O265" s="49"/>
    </row>
    <row r="266" spans="1:15" s="23" customFormat="1" hidden="1">
      <c r="A266" s="96" t="s">
        <v>533</v>
      </c>
      <c r="B266" s="96" t="s">
        <v>534</v>
      </c>
      <c r="C266" s="97">
        <v>0</v>
      </c>
      <c r="D266" s="97">
        <v>0</v>
      </c>
      <c r="E266" s="97">
        <v>0</v>
      </c>
      <c r="F266" s="97">
        <v>0</v>
      </c>
      <c r="G266" s="97">
        <v>0</v>
      </c>
      <c r="H266" s="97">
        <v>0</v>
      </c>
      <c r="I266" s="96"/>
      <c r="J266" s="96"/>
      <c r="K266" s="96"/>
      <c r="L266" s="96"/>
      <c r="M266" s="98"/>
      <c r="N266" s="100"/>
      <c r="O266" s="49"/>
    </row>
    <row r="267" spans="1:15" s="23" customFormat="1" hidden="1">
      <c r="A267" s="96" t="s">
        <v>535</v>
      </c>
      <c r="B267" s="96" t="s">
        <v>536</v>
      </c>
      <c r="C267" s="97">
        <v>0</v>
      </c>
      <c r="D267" s="97">
        <v>0</v>
      </c>
      <c r="E267" s="97">
        <v>0</v>
      </c>
      <c r="F267" s="97">
        <v>0</v>
      </c>
      <c r="G267" s="97">
        <v>0</v>
      </c>
      <c r="H267" s="97">
        <v>0</v>
      </c>
      <c r="I267" s="96"/>
      <c r="J267" s="96"/>
      <c r="K267" s="96"/>
      <c r="L267" s="96"/>
      <c r="M267" s="98"/>
      <c r="N267" s="100"/>
      <c r="O267" s="49"/>
    </row>
    <row r="268" spans="1:15" s="23" customFormat="1" hidden="1">
      <c r="A268" s="96" t="s">
        <v>537</v>
      </c>
      <c r="B268" s="96" t="s">
        <v>538</v>
      </c>
      <c r="C268" s="97">
        <v>0</v>
      </c>
      <c r="D268" s="97">
        <v>0</v>
      </c>
      <c r="E268" s="97">
        <v>0</v>
      </c>
      <c r="F268" s="97">
        <v>0</v>
      </c>
      <c r="G268" s="97">
        <v>0</v>
      </c>
      <c r="H268" s="97">
        <v>0</v>
      </c>
      <c r="I268" s="96"/>
      <c r="J268" s="96"/>
      <c r="K268" s="96"/>
      <c r="L268" s="96"/>
      <c r="M268" s="98"/>
      <c r="N268" s="100"/>
      <c r="O268" s="49"/>
    </row>
    <row r="269" spans="1:15" s="23" customFormat="1" hidden="1">
      <c r="A269" s="96" t="s">
        <v>539</v>
      </c>
      <c r="B269" s="96" t="s">
        <v>540</v>
      </c>
      <c r="C269" s="97">
        <v>0</v>
      </c>
      <c r="D269" s="97">
        <v>0</v>
      </c>
      <c r="E269" s="97">
        <v>0</v>
      </c>
      <c r="F269" s="97">
        <v>0</v>
      </c>
      <c r="G269" s="97">
        <v>0</v>
      </c>
      <c r="H269" s="97">
        <v>0</v>
      </c>
      <c r="I269" s="96"/>
      <c r="J269" s="96"/>
      <c r="K269" s="96"/>
      <c r="L269" s="96"/>
      <c r="M269" s="98"/>
      <c r="N269" s="100"/>
      <c r="O269" s="49"/>
    </row>
    <row r="270" spans="1:15" hidden="1">
      <c r="A270" s="85" t="s">
        <v>541</v>
      </c>
      <c r="B270" s="85" t="s">
        <v>542</v>
      </c>
      <c r="C270" s="206">
        <v>3</v>
      </c>
      <c r="D270" s="206">
        <v>0</v>
      </c>
      <c r="E270" s="206">
        <v>0</v>
      </c>
      <c r="F270" s="206">
        <v>0</v>
      </c>
      <c r="G270" s="206">
        <v>0</v>
      </c>
      <c r="H270" s="206">
        <v>3</v>
      </c>
      <c r="I270" s="85" t="s">
        <v>575</v>
      </c>
      <c r="J270" s="188" t="s">
        <v>576</v>
      </c>
      <c r="K270" s="85" t="s">
        <v>623</v>
      </c>
      <c r="L270" s="85" t="s">
        <v>681</v>
      </c>
      <c r="M270" s="93" t="s">
        <v>677</v>
      </c>
      <c r="N270" s="86"/>
      <c r="O270" s="87"/>
    </row>
    <row r="271" spans="1:15" s="23" customFormat="1" hidden="1">
      <c r="A271" s="96" t="s">
        <v>543</v>
      </c>
      <c r="B271" s="96" t="s">
        <v>544</v>
      </c>
      <c r="C271" s="97">
        <v>0</v>
      </c>
      <c r="D271" s="97">
        <v>0</v>
      </c>
      <c r="E271" s="97">
        <v>0</v>
      </c>
      <c r="F271" s="97">
        <v>0</v>
      </c>
      <c r="G271" s="97">
        <v>0</v>
      </c>
      <c r="H271" s="97">
        <v>0</v>
      </c>
      <c r="I271" s="96"/>
      <c r="J271" s="96"/>
      <c r="K271" s="96"/>
      <c r="L271" s="96"/>
      <c r="M271" s="98"/>
      <c r="N271" s="100"/>
      <c r="O271" s="49"/>
    </row>
    <row r="272" spans="1:15" s="23" customFormat="1" hidden="1">
      <c r="A272" s="96" t="s">
        <v>545</v>
      </c>
      <c r="B272" s="96" t="s">
        <v>546</v>
      </c>
      <c r="C272" s="97">
        <v>0</v>
      </c>
      <c r="D272" s="97">
        <v>0</v>
      </c>
      <c r="E272" s="97">
        <v>0</v>
      </c>
      <c r="F272" s="97">
        <v>0</v>
      </c>
      <c r="G272" s="97">
        <v>0</v>
      </c>
      <c r="H272" s="97">
        <v>0</v>
      </c>
      <c r="I272" s="96"/>
      <c r="J272" s="96"/>
      <c r="K272" s="96"/>
      <c r="L272" s="96"/>
      <c r="M272" s="98"/>
      <c r="N272" s="100"/>
      <c r="O272" s="49"/>
    </row>
    <row r="273" spans="1:15" s="23" customFormat="1" hidden="1">
      <c r="A273" s="96" t="s">
        <v>547</v>
      </c>
      <c r="B273" s="96" t="s">
        <v>548</v>
      </c>
      <c r="C273" s="97"/>
      <c r="D273" s="97"/>
      <c r="E273" s="97"/>
      <c r="F273" s="97"/>
      <c r="G273" s="97"/>
      <c r="H273" s="97">
        <v>0</v>
      </c>
      <c r="I273" s="96"/>
      <c r="J273" s="96"/>
      <c r="K273" s="96"/>
      <c r="L273" s="96"/>
      <c r="M273" s="98"/>
      <c r="N273" s="100"/>
      <c r="O273" s="49"/>
    </row>
    <row r="274" spans="1:15" s="23" customFormat="1" hidden="1">
      <c r="A274" s="96" t="s">
        <v>196</v>
      </c>
      <c r="B274" s="96" t="s">
        <v>197</v>
      </c>
      <c r="C274" s="97"/>
      <c r="D274" s="97"/>
      <c r="E274" s="97"/>
      <c r="F274" s="97">
        <v>0</v>
      </c>
      <c r="G274" s="97"/>
      <c r="H274" s="97">
        <v>0</v>
      </c>
      <c r="I274" s="96"/>
      <c r="J274" s="96"/>
      <c r="K274" s="96"/>
      <c r="L274" s="96"/>
      <c r="M274" s="98"/>
      <c r="N274" s="100"/>
      <c r="O274" s="49"/>
    </row>
    <row r="275" spans="1:15" s="23" customFormat="1" hidden="1">
      <c r="A275" s="96" t="s">
        <v>267</v>
      </c>
      <c r="B275" s="96" t="s">
        <v>268</v>
      </c>
      <c r="C275" s="97"/>
      <c r="D275" s="97"/>
      <c r="E275" s="97"/>
      <c r="F275" s="97">
        <v>0</v>
      </c>
      <c r="G275" s="97"/>
      <c r="H275" s="97">
        <v>0</v>
      </c>
      <c r="I275" s="96"/>
      <c r="J275" s="96"/>
      <c r="K275" s="96"/>
      <c r="L275" s="96"/>
      <c r="M275" s="98"/>
      <c r="N275" s="100"/>
      <c r="O275" s="49"/>
    </row>
    <row r="276" spans="1:15" s="23" customFormat="1" hidden="1">
      <c r="A276" s="96" t="s">
        <v>329</v>
      </c>
      <c r="B276" s="96" t="s">
        <v>330</v>
      </c>
      <c r="C276" s="97"/>
      <c r="D276" s="97"/>
      <c r="E276" s="97"/>
      <c r="F276" s="97">
        <v>0</v>
      </c>
      <c r="G276" s="97"/>
      <c r="H276" s="97">
        <v>0</v>
      </c>
      <c r="I276" s="96"/>
      <c r="J276" s="96"/>
      <c r="K276" s="96"/>
      <c r="L276" s="96"/>
      <c r="M276" s="98"/>
      <c r="N276" s="100"/>
      <c r="O276" s="49"/>
    </row>
    <row r="277" spans="1:15" s="23" customFormat="1" hidden="1">
      <c r="A277" s="96" t="s">
        <v>332</v>
      </c>
      <c r="B277" s="96" t="s">
        <v>333</v>
      </c>
      <c r="C277" s="97"/>
      <c r="D277" s="97"/>
      <c r="E277" s="97"/>
      <c r="F277" s="97">
        <v>0</v>
      </c>
      <c r="G277" s="97"/>
      <c r="H277" s="97">
        <v>0</v>
      </c>
      <c r="I277" s="96"/>
      <c r="J277" s="96"/>
      <c r="K277" s="96"/>
      <c r="L277" s="96"/>
      <c r="M277" s="98"/>
      <c r="N277" s="100"/>
      <c r="O277" s="49"/>
    </row>
    <row r="278" spans="1:15" hidden="1">
      <c r="A278" s="85" t="s">
        <v>682</v>
      </c>
      <c r="B278" s="85" t="s">
        <v>683</v>
      </c>
      <c r="C278" s="206"/>
      <c r="D278" s="206"/>
      <c r="E278" s="206"/>
      <c r="F278" s="206"/>
      <c r="G278" s="206"/>
      <c r="H278" s="206"/>
      <c r="I278" s="85" t="s">
        <v>572</v>
      </c>
      <c r="J278" s="85" t="s">
        <v>573</v>
      </c>
      <c r="K278" s="96"/>
      <c r="L278" s="85"/>
      <c r="M278" s="93"/>
      <c r="N278" s="86"/>
      <c r="O278" s="87"/>
    </row>
    <row r="279" spans="1:15" hidden="1">
      <c r="A279" s="85"/>
      <c r="B279" s="85" t="s">
        <v>684</v>
      </c>
      <c r="C279" s="206"/>
      <c r="D279" s="206"/>
      <c r="E279" s="206"/>
      <c r="F279" s="206"/>
      <c r="G279" s="206"/>
      <c r="H279" s="206"/>
      <c r="I279" s="85" t="s">
        <v>572</v>
      </c>
      <c r="J279" s="85" t="s">
        <v>573</v>
      </c>
      <c r="K279" s="96"/>
      <c r="L279" s="85"/>
      <c r="M279" s="93"/>
      <c r="N279" s="86"/>
      <c r="O279" s="87"/>
    </row>
    <row r="280" spans="1:15" hidden="1">
      <c r="A280" s="85"/>
      <c r="B280" s="85" t="s">
        <v>685</v>
      </c>
      <c r="C280" s="206"/>
      <c r="D280" s="206"/>
      <c r="E280" s="206"/>
      <c r="F280" s="206"/>
      <c r="G280" s="206"/>
      <c r="H280" s="206"/>
      <c r="I280" s="85" t="s">
        <v>572</v>
      </c>
      <c r="J280" s="85" t="s">
        <v>573</v>
      </c>
      <c r="K280" s="96"/>
      <c r="L280" s="85"/>
      <c r="M280" s="93"/>
      <c r="N280" s="86"/>
      <c r="O280" s="87"/>
    </row>
    <row r="281" spans="1:15" hidden="1">
      <c r="A281" s="85"/>
      <c r="B281" s="85" t="s">
        <v>686</v>
      </c>
      <c r="C281" s="206"/>
      <c r="D281" s="206"/>
      <c r="E281" s="206"/>
      <c r="F281" s="206"/>
      <c r="G281" s="206"/>
      <c r="H281" s="206"/>
      <c r="I281" s="85" t="s">
        <v>572</v>
      </c>
      <c r="J281" s="85" t="s">
        <v>573</v>
      </c>
      <c r="K281" s="96"/>
      <c r="L281" s="85"/>
      <c r="M281" s="93"/>
      <c r="N281" s="86"/>
      <c r="O281" s="87"/>
    </row>
    <row r="282" spans="1:15" hidden="1">
      <c r="A282" s="216"/>
      <c r="B282" s="216" t="s">
        <v>687</v>
      </c>
      <c r="C282" s="206"/>
      <c r="D282" s="206"/>
      <c r="E282" s="206"/>
      <c r="F282" s="206"/>
      <c r="G282" s="206"/>
      <c r="H282" s="217"/>
      <c r="I282" s="216" t="s">
        <v>572</v>
      </c>
      <c r="J282" s="216" t="s">
        <v>573</v>
      </c>
      <c r="K282" s="96"/>
      <c r="L282" s="216"/>
      <c r="M282" s="218"/>
      <c r="N282" s="219"/>
      <c r="O282" s="88"/>
    </row>
    <row r="283" spans="1:15" hidden="1">
      <c r="A283" s="85" t="s">
        <v>688</v>
      </c>
      <c r="B283" s="85" t="s">
        <v>689</v>
      </c>
      <c r="C283" s="214"/>
      <c r="D283" s="206"/>
      <c r="E283" s="206"/>
      <c r="F283" s="206"/>
      <c r="G283" s="213"/>
      <c r="H283" s="206"/>
      <c r="I283" s="85" t="s">
        <v>572</v>
      </c>
      <c r="J283" s="85" t="s">
        <v>573</v>
      </c>
      <c r="K283" s="215"/>
      <c r="L283" s="85"/>
      <c r="M283" s="85"/>
      <c r="N283" s="85"/>
      <c r="O283" s="85"/>
    </row>
    <row r="284" spans="1:15" hidden="1">
      <c r="A284" s="221"/>
      <c r="B284" s="221" t="s">
        <v>690</v>
      </c>
      <c r="C284" s="206"/>
      <c r="D284" s="206"/>
      <c r="E284" s="206"/>
      <c r="F284" s="206"/>
      <c r="G284" s="206"/>
      <c r="H284" s="222"/>
      <c r="I284" s="221" t="s">
        <v>572</v>
      </c>
      <c r="J284" s="221" t="s">
        <v>573</v>
      </c>
      <c r="K284" s="96"/>
      <c r="L284" s="221"/>
      <c r="M284" s="223"/>
      <c r="N284" s="224"/>
      <c r="O284" s="128"/>
    </row>
    <row r="285" spans="1:15" hidden="1">
      <c r="A285" s="85"/>
      <c r="B285" s="85" t="s">
        <v>691</v>
      </c>
      <c r="C285" s="206"/>
      <c r="D285" s="206"/>
      <c r="E285" s="206"/>
      <c r="F285" s="206"/>
      <c r="G285" s="206"/>
      <c r="H285" s="206"/>
      <c r="I285" s="85" t="s">
        <v>572</v>
      </c>
      <c r="J285" s="85" t="s">
        <v>573</v>
      </c>
      <c r="K285" s="96"/>
      <c r="L285" s="85"/>
      <c r="M285" s="93"/>
      <c r="N285" s="86"/>
      <c r="O285" s="87"/>
    </row>
    <row r="286" spans="1:15" hidden="1">
      <c r="A286" s="85"/>
      <c r="B286" s="85" t="s">
        <v>692</v>
      </c>
      <c r="C286" s="206"/>
      <c r="D286" s="206"/>
      <c r="E286" s="206"/>
      <c r="F286" s="206"/>
      <c r="G286" s="206"/>
      <c r="H286" s="206"/>
      <c r="I286" s="85" t="s">
        <v>572</v>
      </c>
      <c r="J286" s="85" t="s">
        <v>573</v>
      </c>
      <c r="K286" s="96"/>
      <c r="L286" s="85"/>
      <c r="M286" s="93"/>
      <c r="N286" s="86"/>
      <c r="O286" s="87"/>
    </row>
    <row r="287" spans="1:15" hidden="1">
      <c r="A287" s="85"/>
      <c r="B287" s="85" t="s">
        <v>693</v>
      </c>
      <c r="C287" s="206"/>
      <c r="D287" s="206"/>
      <c r="E287" s="206"/>
      <c r="F287" s="206"/>
      <c r="G287" s="206"/>
      <c r="H287" s="206"/>
      <c r="I287" s="85" t="s">
        <v>572</v>
      </c>
      <c r="J287" s="85" t="s">
        <v>573</v>
      </c>
      <c r="K287" s="96"/>
      <c r="L287" s="85"/>
      <c r="M287" s="93"/>
      <c r="N287" s="86"/>
      <c r="O287" s="87"/>
    </row>
    <row r="288" spans="1:15" hidden="1">
      <c r="A288" s="85"/>
      <c r="B288" s="85" t="s">
        <v>694</v>
      </c>
      <c r="C288" s="206"/>
      <c r="D288" s="206"/>
      <c r="E288" s="206"/>
      <c r="F288" s="206"/>
      <c r="G288" s="206"/>
      <c r="H288" s="206"/>
      <c r="I288" s="85" t="s">
        <v>572</v>
      </c>
      <c r="J288" s="85" t="s">
        <v>573</v>
      </c>
      <c r="K288" s="96"/>
      <c r="L288" s="85"/>
      <c r="M288" s="93"/>
      <c r="N288" s="86"/>
      <c r="O288" s="87"/>
    </row>
    <row r="289" spans="1:15" hidden="1">
      <c r="A289" s="85"/>
      <c r="B289" s="85" t="s">
        <v>695</v>
      </c>
      <c r="C289" s="206"/>
      <c r="D289" s="206"/>
      <c r="E289" s="206"/>
      <c r="F289" s="206"/>
      <c r="G289" s="206"/>
      <c r="H289" s="206"/>
      <c r="I289" s="85" t="s">
        <v>572</v>
      </c>
      <c r="J289" s="85" t="s">
        <v>573</v>
      </c>
      <c r="K289" s="96"/>
      <c r="L289" s="85"/>
      <c r="M289" s="93"/>
      <c r="N289" s="86"/>
      <c r="O289" s="87"/>
    </row>
    <row r="290" spans="1:15" hidden="1">
      <c r="A290" s="85"/>
      <c r="B290" s="85" t="s">
        <v>696</v>
      </c>
      <c r="C290" s="206"/>
      <c r="D290" s="206"/>
      <c r="E290" s="206"/>
      <c r="F290" s="206"/>
      <c r="G290" s="206"/>
      <c r="H290" s="206"/>
      <c r="I290" s="85" t="s">
        <v>572</v>
      </c>
      <c r="J290" s="85" t="s">
        <v>573</v>
      </c>
      <c r="K290" s="96"/>
      <c r="L290" s="85"/>
      <c r="M290" s="93"/>
      <c r="N290" s="86"/>
      <c r="O290" s="87"/>
    </row>
    <row r="291" spans="1:15" hidden="1">
      <c r="A291" s="220" t="s">
        <v>697</v>
      </c>
      <c r="B291" s="216" t="s">
        <v>698</v>
      </c>
      <c r="C291" s="206"/>
      <c r="D291" s="206"/>
      <c r="E291" s="206"/>
      <c r="F291" s="206"/>
      <c r="G291" s="206"/>
      <c r="H291" s="217"/>
      <c r="I291" s="216" t="s">
        <v>575</v>
      </c>
      <c r="J291" s="216" t="s">
        <v>573</v>
      </c>
      <c r="K291" s="85"/>
      <c r="L291" s="216"/>
      <c r="M291" s="218"/>
      <c r="N291" s="219"/>
      <c r="O291" s="88" t="s">
        <v>699</v>
      </c>
    </row>
    <row r="292" spans="1:15" hidden="1">
      <c r="A292" s="85" t="s">
        <v>700</v>
      </c>
      <c r="B292" s="85" t="s">
        <v>701</v>
      </c>
      <c r="C292" s="206">
        <v>0</v>
      </c>
      <c r="D292" s="206">
        <v>0</v>
      </c>
      <c r="E292" s="206">
        <v>0</v>
      </c>
      <c r="F292" s="206">
        <v>0</v>
      </c>
      <c r="G292" s="206">
        <v>0</v>
      </c>
      <c r="H292" s="206">
        <f>SUM(C292:G292)</f>
        <v>0</v>
      </c>
      <c r="I292" s="85" t="s">
        <v>575</v>
      </c>
      <c r="J292" s="85" t="s">
        <v>576</v>
      </c>
      <c r="L292" s="85"/>
      <c r="M292" s="85"/>
      <c r="N292" s="85"/>
      <c r="O292" s="85" t="s">
        <v>702</v>
      </c>
    </row>
    <row r="293" spans="1:15" hidden="1">
      <c r="A293" s="95" t="s">
        <v>703</v>
      </c>
      <c r="B293" s="85" t="s">
        <v>704</v>
      </c>
      <c r="C293" s="206">
        <v>13</v>
      </c>
      <c r="D293" s="206">
        <v>0</v>
      </c>
      <c r="E293" s="206">
        <v>0</v>
      </c>
      <c r="F293" s="206">
        <v>2</v>
      </c>
      <c r="G293" s="206">
        <v>0</v>
      </c>
      <c r="H293" s="206">
        <f t="shared" ref="H293:H301" si="0">SUM(C293:G293)</f>
        <v>15</v>
      </c>
      <c r="I293" s="85" t="s">
        <v>575</v>
      </c>
      <c r="J293" s="85" t="s">
        <v>573</v>
      </c>
      <c r="M293" s="85"/>
      <c r="N293" s="85"/>
      <c r="O293" s="85" t="s">
        <v>705</v>
      </c>
    </row>
    <row r="294" spans="1:15" hidden="1">
      <c r="A294" s="95" t="s">
        <v>706</v>
      </c>
      <c r="B294" s="85" t="s">
        <v>707</v>
      </c>
      <c r="C294" s="206">
        <v>26517</v>
      </c>
      <c r="D294" s="206">
        <v>0</v>
      </c>
      <c r="E294" s="206">
        <v>5032</v>
      </c>
      <c r="F294" s="206">
        <v>25</v>
      </c>
      <c r="G294" s="206">
        <v>2</v>
      </c>
      <c r="H294" s="206">
        <f t="shared" si="0"/>
        <v>31576</v>
      </c>
      <c r="I294" s="85" t="s">
        <v>575</v>
      </c>
      <c r="J294" s="85" t="s">
        <v>573</v>
      </c>
      <c r="L294" s="85"/>
      <c r="M294" s="85"/>
      <c r="N294" s="85"/>
      <c r="O294" s="85" t="s">
        <v>708</v>
      </c>
    </row>
    <row r="295" spans="1:15" ht="38.25" hidden="1">
      <c r="A295" s="85" t="s">
        <v>709</v>
      </c>
      <c r="B295" s="85" t="s">
        <v>710</v>
      </c>
      <c r="C295" s="206">
        <v>0</v>
      </c>
      <c r="D295" s="206">
        <v>0</v>
      </c>
      <c r="E295" s="206">
        <v>0</v>
      </c>
      <c r="F295" s="206">
        <v>0</v>
      </c>
      <c r="G295" s="206">
        <v>0</v>
      </c>
      <c r="H295" s="206">
        <f>SUM(C295:G295)</f>
        <v>0</v>
      </c>
      <c r="I295" s="85" t="s">
        <v>575</v>
      </c>
      <c r="J295" s="85" t="s">
        <v>576</v>
      </c>
      <c r="L295" s="141" t="s">
        <v>711</v>
      </c>
      <c r="M295" s="85"/>
      <c r="N295" s="85"/>
      <c r="O295" s="85"/>
    </row>
    <row r="296" spans="1:15" ht="38.25" hidden="1">
      <c r="A296" s="85" t="s">
        <v>712</v>
      </c>
      <c r="B296" s="85" t="s">
        <v>713</v>
      </c>
      <c r="C296" s="206">
        <v>0</v>
      </c>
      <c r="D296" s="206">
        <v>0</v>
      </c>
      <c r="E296" s="206">
        <v>0</v>
      </c>
      <c r="F296" s="206">
        <v>0</v>
      </c>
      <c r="G296" s="206">
        <v>0</v>
      </c>
      <c r="H296" s="206">
        <f>SUM(C296:G296)</f>
        <v>0</v>
      </c>
      <c r="I296" s="85" t="s">
        <v>575</v>
      </c>
      <c r="J296" s="85" t="s">
        <v>576</v>
      </c>
      <c r="L296" s="141" t="s">
        <v>711</v>
      </c>
      <c r="M296" s="85"/>
      <c r="N296" s="85"/>
      <c r="O296" s="85"/>
    </row>
    <row r="297" spans="1:15" ht="38.25" hidden="1">
      <c r="A297" s="85" t="s">
        <v>714</v>
      </c>
      <c r="B297" s="85" t="s">
        <v>715</v>
      </c>
      <c r="C297" s="206">
        <v>0</v>
      </c>
      <c r="D297" s="206">
        <v>0</v>
      </c>
      <c r="E297" s="206">
        <v>0</v>
      </c>
      <c r="F297" s="206">
        <v>0</v>
      </c>
      <c r="G297" s="206">
        <v>0</v>
      </c>
      <c r="H297" s="206">
        <f>SUM(C297:G297)</f>
        <v>0</v>
      </c>
      <c r="I297" s="85" t="s">
        <v>575</v>
      </c>
      <c r="J297" s="85" t="s">
        <v>576</v>
      </c>
      <c r="L297" s="141" t="s">
        <v>711</v>
      </c>
      <c r="M297" s="85"/>
      <c r="N297" s="85"/>
      <c r="O297" s="85"/>
    </row>
    <row r="298" spans="1:15" hidden="1">
      <c r="A298" s="95" t="s">
        <v>716</v>
      </c>
      <c r="B298" s="85" t="s">
        <v>717</v>
      </c>
      <c r="C298" s="206">
        <v>135</v>
      </c>
      <c r="D298" s="206">
        <v>1</v>
      </c>
      <c r="E298" s="206">
        <v>0</v>
      </c>
      <c r="F298" s="206">
        <v>6</v>
      </c>
      <c r="G298" s="206">
        <v>0</v>
      </c>
      <c r="H298" s="206">
        <f t="shared" si="0"/>
        <v>142</v>
      </c>
      <c r="I298" s="85" t="s">
        <v>575</v>
      </c>
      <c r="J298" s="85" t="s">
        <v>573</v>
      </c>
      <c r="L298" s="85"/>
      <c r="M298" s="85"/>
      <c r="N298" s="85"/>
      <c r="O298" s="85" t="s">
        <v>718</v>
      </c>
    </row>
    <row r="299" spans="1:15">
      <c r="A299" s="95" t="s">
        <v>719</v>
      </c>
      <c r="B299" s="85" t="s">
        <v>720</v>
      </c>
      <c r="C299" s="206">
        <v>1</v>
      </c>
      <c r="D299" s="206">
        <v>0</v>
      </c>
      <c r="E299" s="206">
        <v>0</v>
      </c>
      <c r="F299" s="206">
        <v>0</v>
      </c>
      <c r="G299" s="206">
        <v>0</v>
      </c>
      <c r="H299" s="206">
        <f>SUM(C299:G299)</f>
        <v>1</v>
      </c>
      <c r="I299" s="85" t="s">
        <v>575</v>
      </c>
      <c r="J299" s="85" t="s">
        <v>721</v>
      </c>
      <c r="L299" s="85"/>
      <c r="M299" s="85"/>
      <c r="N299" s="85"/>
      <c r="O299" s="85" t="s">
        <v>722</v>
      </c>
    </row>
    <row r="300" spans="1:15" hidden="1">
      <c r="A300" s="85" t="s">
        <v>723</v>
      </c>
      <c r="B300" s="85" t="s">
        <v>724</v>
      </c>
      <c r="C300" s="206">
        <v>0</v>
      </c>
      <c r="D300" s="206">
        <v>0</v>
      </c>
      <c r="E300" s="206">
        <v>0</v>
      </c>
      <c r="F300" s="206">
        <v>0</v>
      </c>
      <c r="G300" s="206">
        <v>0</v>
      </c>
      <c r="H300" s="206">
        <f>SUM(C300:G300)</f>
        <v>0</v>
      </c>
      <c r="I300" s="85" t="s">
        <v>725</v>
      </c>
      <c r="J300" s="85" t="s">
        <v>576</v>
      </c>
      <c r="L300" s="85"/>
      <c r="M300" s="85"/>
      <c r="N300" s="85"/>
      <c r="O300" s="85" t="s">
        <v>726</v>
      </c>
    </row>
    <row r="301" spans="1:15" ht="38.25" hidden="1">
      <c r="A301" s="85" t="s">
        <v>727</v>
      </c>
      <c r="B301" s="85" t="s">
        <v>728</v>
      </c>
      <c r="C301" s="206">
        <v>0</v>
      </c>
      <c r="D301" s="206">
        <v>0</v>
      </c>
      <c r="E301" s="206">
        <v>0</v>
      </c>
      <c r="F301" s="206">
        <v>0</v>
      </c>
      <c r="G301" s="206">
        <v>0</v>
      </c>
      <c r="H301" s="206">
        <f t="shared" si="0"/>
        <v>0</v>
      </c>
      <c r="I301" s="85" t="s">
        <v>725</v>
      </c>
      <c r="J301" s="85" t="s">
        <v>729</v>
      </c>
      <c r="L301" s="141" t="s">
        <v>730</v>
      </c>
      <c r="M301" s="85"/>
      <c r="N301" s="85"/>
      <c r="O301" s="85"/>
    </row>
    <row r="302" spans="1:15" ht="51">
      <c r="A302" s="85" t="s">
        <v>731</v>
      </c>
      <c r="B302" s="85" t="s">
        <v>732</v>
      </c>
      <c r="C302" s="206">
        <v>0</v>
      </c>
      <c r="D302" s="206">
        <v>0</v>
      </c>
      <c r="E302" s="206">
        <v>9</v>
      </c>
      <c r="F302" s="206">
        <v>7900</v>
      </c>
      <c r="G302" s="206">
        <v>0</v>
      </c>
      <c r="H302" s="206">
        <f>SUM(C302:G302)</f>
        <v>7909</v>
      </c>
      <c r="I302" s="85" t="s">
        <v>575</v>
      </c>
      <c r="J302" s="85" t="s">
        <v>721</v>
      </c>
      <c r="L302" s="85"/>
      <c r="M302" s="85"/>
      <c r="N302" s="85"/>
      <c r="O302" s="141" t="s">
        <v>733</v>
      </c>
    </row>
    <row r="303" spans="1:15">
      <c r="A303" s="284" t="s">
        <v>734</v>
      </c>
      <c r="B303" s="85"/>
      <c r="C303" s="206"/>
      <c r="D303" s="206"/>
      <c r="E303" s="206"/>
      <c r="F303" s="206"/>
      <c r="G303" s="206"/>
      <c r="H303" s="206"/>
      <c r="I303" s="85"/>
      <c r="J303" s="85"/>
      <c r="L303" s="85"/>
      <c r="M303" s="85"/>
      <c r="N303" s="85"/>
      <c r="O303" s="85"/>
    </row>
    <row r="304" spans="1:15" hidden="1">
      <c r="A304" s="95" t="s">
        <v>295</v>
      </c>
      <c r="B304" s="85"/>
      <c r="C304" s="206"/>
      <c r="D304" s="206"/>
      <c r="E304" s="206"/>
      <c r="F304" s="206"/>
      <c r="G304" s="206"/>
      <c r="H304" s="206"/>
      <c r="I304" s="85" t="s">
        <v>586</v>
      </c>
      <c r="J304" s="85" t="s">
        <v>637</v>
      </c>
      <c r="L304" s="85"/>
      <c r="M304" s="85"/>
      <c r="N304" s="85"/>
      <c r="O304" s="85"/>
    </row>
    <row r="305" spans="1:15" hidden="1">
      <c r="A305" s="95" t="s">
        <v>735</v>
      </c>
      <c r="B305" s="85" t="s">
        <v>736</v>
      </c>
      <c r="C305" s="214"/>
      <c r="D305" s="206"/>
      <c r="E305" s="206"/>
      <c r="F305" s="206"/>
      <c r="G305" s="206"/>
      <c r="H305" s="206"/>
      <c r="I305" s="85" t="s">
        <v>586</v>
      </c>
      <c r="J305" s="85" t="s">
        <v>573</v>
      </c>
      <c r="L305" s="85"/>
      <c r="M305" s="85"/>
      <c r="N305" s="85"/>
      <c r="O305" s="85"/>
    </row>
    <row r="306" spans="1:15" hidden="1">
      <c r="A306" s="95" t="s">
        <v>737</v>
      </c>
      <c r="B306" s="85"/>
      <c r="H306" s="206"/>
      <c r="I306" s="85" t="s">
        <v>586</v>
      </c>
      <c r="J306" s="85" t="s">
        <v>573</v>
      </c>
      <c r="L306" s="85"/>
      <c r="M306" s="85"/>
      <c r="N306" s="85"/>
      <c r="O306" s="85"/>
    </row>
    <row r="307" spans="1:15" ht="15" hidden="1">
      <c r="A307" s="301" t="s">
        <v>738</v>
      </c>
      <c r="B307" s="85"/>
      <c r="H307" s="206"/>
      <c r="I307" s="85" t="s">
        <v>586</v>
      </c>
      <c r="J307" s="85" t="s">
        <v>573</v>
      </c>
      <c r="L307" s="85"/>
      <c r="M307" s="85"/>
      <c r="N307" s="85"/>
      <c r="O307" s="85"/>
    </row>
    <row r="308" spans="1:15" hidden="1">
      <c r="A308" s="95" t="s">
        <v>739</v>
      </c>
      <c r="B308" s="85"/>
      <c r="H308" s="206"/>
      <c r="I308" s="85" t="s">
        <v>586</v>
      </c>
      <c r="J308" s="85" t="s">
        <v>573</v>
      </c>
      <c r="L308" s="85"/>
      <c r="M308" s="85"/>
      <c r="N308" s="85"/>
      <c r="O308" s="85"/>
    </row>
    <row r="309" spans="1:15" hidden="1">
      <c r="A309" s="95" t="s">
        <v>740</v>
      </c>
      <c r="B309" s="85"/>
      <c r="H309" s="206"/>
      <c r="I309" s="85" t="s">
        <v>586</v>
      </c>
      <c r="J309" s="85" t="s">
        <v>637</v>
      </c>
      <c r="L309" s="85" t="s">
        <v>741</v>
      </c>
      <c r="M309" s="85"/>
      <c r="N309" s="85"/>
      <c r="O309" s="85"/>
    </row>
    <row r="310" spans="1:15" hidden="1">
      <c r="A310" s="149" t="s">
        <v>523</v>
      </c>
      <c r="B310" s="85"/>
      <c r="H310" s="206"/>
      <c r="I310" s="85"/>
      <c r="J310" s="85" t="s">
        <v>573</v>
      </c>
      <c r="L310" s="85"/>
      <c r="M310" s="85"/>
      <c r="N310" s="85"/>
      <c r="O310" s="85"/>
    </row>
    <row r="311" spans="1:15" ht="15" hidden="1">
      <c r="A311" s="301" t="s">
        <v>742</v>
      </c>
      <c r="B311" s="85"/>
      <c r="H311" s="206"/>
      <c r="I311" s="85"/>
      <c r="J311" s="85" t="s">
        <v>573</v>
      </c>
      <c r="L311" s="85"/>
      <c r="M311" s="85"/>
      <c r="N311" s="85"/>
      <c r="O311" s="85"/>
    </row>
    <row r="312" spans="1:15">
      <c r="A312" s="85"/>
      <c r="B312" s="85"/>
      <c r="H312" s="206"/>
      <c r="I312" s="85"/>
      <c r="J312" s="85"/>
      <c r="L312" s="85"/>
      <c r="M312" s="85"/>
      <c r="N312" s="85"/>
      <c r="O312" s="85"/>
    </row>
    <row r="313" spans="1:15">
      <c r="A313" s="85"/>
      <c r="B313" s="85"/>
      <c r="H313" s="206"/>
      <c r="I313" s="85"/>
      <c r="J313" s="85"/>
      <c r="L313" s="85"/>
      <c r="M313" s="85"/>
      <c r="N313" s="85"/>
      <c r="O313" s="85"/>
    </row>
    <row r="314" spans="1:15">
      <c r="A314" s="85"/>
      <c r="B314" s="85"/>
      <c r="H314" s="206"/>
      <c r="I314" s="85"/>
      <c r="J314" s="85"/>
      <c r="L314" s="85"/>
      <c r="M314" s="85"/>
      <c r="N314" s="85"/>
      <c r="O314" s="85"/>
    </row>
    <row r="315" spans="1:15">
      <c r="A315" s="85"/>
      <c r="B315" s="85"/>
      <c r="H315" s="206"/>
      <c r="I315" s="85"/>
      <c r="J315" s="85"/>
      <c r="L315" s="85"/>
      <c r="M315" s="85"/>
      <c r="N315" s="85"/>
      <c r="O315" s="85"/>
    </row>
  </sheetData>
  <autoFilter ref="A1:N311" xr:uid="{EA3BE65A-1F62-4C06-A32B-0C9DF06ED571}">
    <filterColumn colId="7">
      <filters blank="1">
        <filter val="1"/>
        <filter val="1,348"/>
        <filter val="1,476,852"/>
        <filter val="1,636,376"/>
        <filter val="1,903,448"/>
        <filter val="1,925,775"/>
        <filter val="10,372"/>
        <filter val="10,661"/>
        <filter val="12,111,802"/>
        <filter val="12,655"/>
        <filter val="12,916"/>
        <filter val="13,011"/>
        <filter val="13,289"/>
        <filter val="13,403"/>
        <filter val="14,008,217"/>
        <filter val="142"/>
        <filter val="15"/>
        <filter val="15,363"/>
        <filter val="157,274"/>
        <filter val="16,470"/>
        <filter val="162,602"/>
        <filter val="169,869"/>
        <filter val="170"/>
        <filter val="18,792"/>
        <filter val="19,150"/>
        <filter val="19,406"/>
        <filter val="19,732,005"/>
        <filter val="190,414"/>
        <filter val="2,002"/>
        <filter val="2,109"/>
        <filter val="2,316,430"/>
        <filter val="2,394"/>
        <filter val="2,437,922"/>
        <filter val="2,543,652"/>
        <filter val="2,639,616"/>
        <filter val="2,769,078"/>
        <filter val="2,878,484"/>
        <filter val="231,590"/>
        <filter val="248,697"/>
        <filter val="25,759"/>
        <filter val="255,556"/>
        <filter val="260,340"/>
        <filter val="268,232"/>
        <filter val="268,250"/>
        <filter val="29,608,759"/>
        <filter val="299"/>
        <filter val="3"/>
        <filter val="3,748,126"/>
        <filter val="30,621,010"/>
        <filter val="31,576"/>
        <filter val="315"/>
        <filter val="338,796"/>
        <filter val="35,023"/>
        <filter val="351,008"/>
        <filter val="351,033"/>
        <filter val="357,221"/>
        <filter val="359"/>
        <filter val="380,784"/>
        <filter val="39,389"/>
        <filter val="4,387,298"/>
        <filter val="400,432"/>
        <filter val="400,493"/>
        <filter val="44,549"/>
        <filter val="444"/>
        <filter val="45,869"/>
        <filter val="5,946,115"/>
        <filter val="500,256"/>
        <filter val="567"/>
        <filter val="6,874,852"/>
        <filter val="6,882,747"/>
        <filter val="61"/>
        <filter val="65,033"/>
        <filter val="674"/>
        <filter val="68,023,350"/>
        <filter val="7"/>
        <filter val="7,151"/>
        <filter val="7,661"/>
        <filter val="7,819,158"/>
        <filter val="7,823"/>
        <filter val="7,909"/>
        <filter val="7,948"/>
        <filter val="704"/>
        <filter val="8,504,765"/>
        <filter val="81"/>
        <filter val="86,321"/>
        <filter val="872,379"/>
        <filter val="9,832"/>
        <filter val="94,636"/>
        <filter val="95,742"/>
        <filter val="964,334"/>
      </filters>
    </filterColumn>
    <filterColumn colId="9">
      <filters blank="1">
        <filter val="Design - For Review"/>
        <filter val="DEV - Ready"/>
      </filters>
    </filterColumn>
  </autoFilter>
  <hyperlinks>
    <hyperlink ref="A163" location="F1_BNDL!A1" display="F1_BNDL                       " xr:uid="{0CBE650B-D8DE-46D8-8E41-A140E2DA9711}"/>
    <hyperlink ref="A25" location="'C1_Usage'!A25" display="C1_USAGE                      " xr:uid="{F49E912A-6E1A-44B2-A7CC-F4F7BA34152E}"/>
    <hyperlink ref="A87" location="'CI_PREM'!A87" display="CI_PREM" xr:uid="{6408F572-47E0-480C-9332-A7FCCA1AA36F}"/>
    <hyperlink ref="A97" location="'CI_SP'!A97" display="CI_SP" xr:uid="{2D8721D8-19A2-4785-9849-9E43AE820D5D}"/>
    <hyperlink ref="A127" location="'D1_DVC'!A1" display="D1_DVC" xr:uid="{AE27CD3E-B740-48C7-B999-EBAE082CB3DC}"/>
    <hyperlink ref="A128" location="'D1_DVC_CFG'!A1" display="D1_DVC_CFG" xr:uid="{72EDF2CC-B53C-4E44-A8B1-5F6653142F38}"/>
    <hyperlink ref="A175" location="'F1_MIGR_DATA_ST'!A1" display="F1_MIGR_DATA_ST" xr:uid="{6759E4B2-B8E3-484E-B1CD-6CC99A0A266E}"/>
    <hyperlink ref="A177" location="'F1_MIGR_DATA_ST'!A1" display="F1_MIGR_TRANS                 " xr:uid="{F46E7F67-C888-4849-A8A8-1A3F52C095A7}"/>
    <hyperlink ref="A199" location="'W1_ASSET'!A1" display="W1_ASSET                      " xr:uid="{6D05EE42-FD3C-438F-9D78-C3F0A7A5EE9C}"/>
    <hyperlink ref="A237" location="'W1_NODE'!A1" display="W1_NODE                       " xr:uid="{43E25478-AFEF-4714-B44C-FEBE8E332F50}"/>
    <hyperlink ref="A135" location="'D1_INSTALL_EVT'!A1" display="D1_INSTALL_EVT                " xr:uid="{BB91DADB-B126-4B32-B75D-A5FE60D835C7}"/>
    <hyperlink ref="A133" location="'D1_INIT_MSRMT_DATA'!A1" display="D1_INIT_MSRMT_DATA            " xr:uid="{257D0BAA-0ABB-489C-A167-DD2FBE122CCC}"/>
    <hyperlink ref="A148" location="'D1_SP2'!A1" display="D1_SP" xr:uid="{3EEDCD1B-FA6B-4272-BA05-B89D2A061E17}"/>
    <hyperlink ref="A118" location="D1_ACTIVITY!A1" display="D1_ACTIVITY" xr:uid="{33BAE6E1-6FE1-468B-8C77-ED469BCDC22B}"/>
    <hyperlink ref="A291" location="'C1_REPRESENTATIVE (with ML)'!A1" display="C1_REPRESENTATIVE" xr:uid="{4C0F934A-62E1-42F8-9AD0-03F37AD1632D}"/>
    <hyperlink ref="A23" location="'C1_PA_RQST'!A1" display="C1_PA_RQST                    " xr:uid="{91A3E25D-4FA4-4020-B8BD-16A571ADFAFA}"/>
    <hyperlink ref="A33" location="CI_APPR_REQ!A1" display="CI_APPR_REQ                   " xr:uid="{5DFC7415-5C69-4027-8815-5EA8726F7CD7}"/>
    <hyperlink ref="A140" location="'D1_MEASR_COMP'!A1" display="D1_MEASR_COMP                 " xr:uid="{25F8969E-30F9-4D35-A459-69EBA7C8246A}"/>
    <hyperlink ref="A129" location="'D1_DVC_EVT'!A1" display="D1_DVC_EVT" xr:uid="{C69FBD01-DA09-4936-B407-91CB50168392}"/>
    <hyperlink ref="A145" location="'D1_MSRMT'!A1" display="D1_MSRMT                      " xr:uid="{F521BA9E-53D4-4AAF-9A2C-BC4AF8A5A2FB}"/>
    <hyperlink ref="A149" location="'D1_SP_MSRMT_CYC_SCHED_RTE'!A1" display="D1_SP_MSRMT_CYC_SCHED_RTE     " xr:uid="{847A3E68-FD44-436B-B6B6-380E3C949F9F}"/>
    <hyperlink ref="A156" location="'D1_USAGE'!A1" display="D1_USAGE                      " xr:uid="{EF8564E9-9095-4241-96EA-90DF19C69FF8}"/>
    <hyperlink ref="A146" location="'D1_MSRMT_LOG'!A1" display="D1_MSRMT_LOG             " xr:uid="{7512E9F0-DB47-446E-B2C7-9DD9A777ECFC}"/>
    <hyperlink ref="A157" location="'D1_USAGE_EXCP'!A1" display="D1_USAGE_EXCP" xr:uid="{0C291278-688A-44E3-9E1D-E276E6743D37}"/>
    <hyperlink ref="A39" location="CI_BILL!A1" display="CI_BILL                       " xr:uid="{D249C3EB-9F69-42D3-97A0-E848D35AFB8E}"/>
    <hyperlink ref="A63" location="CI_FT!A1" display="CI_FT                         " xr:uid="{9030055D-FA18-4495-B620-4C13ECDDE9DE}"/>
    <hyperlink ref="A293" location="CI_BILL_EXCP!A1" display="CI_BILL_EXCP" xr:uid="{31EC2615-C677-43A5-8852-F7CB79C33FEF}"/>
    <hyperlink ref="A294" location="CI_BSEG_EXCP!A1" display="CI_BSEG_EXCP" xr:uid="{555EEA4D-E38E-435D-8D16-6203DA031C74}"/>
    <hyperlink ref="A298" location="CI_PAY_EVT_EXCP!A1" display="CI_PAY_EVT_EXCP" xr:uid="{991F104B-B4FA-4CC1-B5D4-D26B8ADB463F}"/>
    <hyperlink ref="A299" location="CI_PAY_EXCP!A1" display="CI_PAY_EXCP" xr:uid="{B49942C0-590F-4909-B8BC-660944FE1331}"/>
    <hyperlink ref="A161" location="'D1_VEE_EXCP'!A1" display="D1_VEE_EXCP                   " xr:uid="{19793F4C-6B44-46EB-8D3F-072312084817}"/>
    <hyperlink ref="A155" location="'D1_US'!A1" display="D1_US                         " xr:uid="{86AD553A-5E60-4799-9E16-1551688976B3}"/>
    <hyperlink ref="A304" location="'Measurement'!A1" display="Measurement" xr:uid="{52C7B1F0-E64D-4C7B-9709-59B9CF969FE4}"/>
    <hyperlink ref="A305" location="'MDM Usage'!A1" display="MDM Usage" xr:uid="{A51C5AFC-6967-483B-B1BB-C53CD2C120A5}"/>
    <hyperlink ref="A306" location="'Total Consumption'!A1" display="Total Consumption" xr:uid="{0BA011F6-F330-4FAB-BF38-FF3CE4E8FE67}"/>
    <hyperlink ref="A307" location="'Meter Read Upload Req1'!A1" display="Meter Read Statistics Req 1" xr:uid="{DA297972-1B09-4DB0-9562-EEB557CADE2B}"/>
    <hyperlink ref="A308" location="'Meter Read Statistics_Req2'!A1" display="Meter Read Statistics Req 2" xr:uid="{2AFC6525-D9F6-4984-AECA-AE9F969A55F8}"/>
    <hyperlink ref="A309" location="'Customer Information'!A1" display="Customer Information" xr:uid="{75E33D03-57FB-440E-BAC8-5461706A66B5}"/>
    <hyperlink ref="A311" location="Customer!A1" display="Customer" xr:uid="{81CF0567-C408-46A6-8FD9-C5DD482279E6}"/>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80E34-449A-4847-990D-6EEB5D81FC20}">
  <dimension ref="A1:C14"/>
  <sheetViews>
    <sheetView workbookViewId="0">
      <pane xSplit="2" ySplit="1" topLeftCell="C2" activePane="bottomRight" state="frozen"/>
      <selection pane="bottomRight" activeCell="B11" sqref="B11"/>
      <selection pane="bottomLeft" activeCell="A2" sqref="A2"/>
      <selection pane="topRight" activeCell="C1" sqref="C1"/>
    </sheetView>
  </sheetViews>
  <sheetFormatPr defaultRowHeight="15"/>
  <cols>
    <col min="1" max="1" width="36.28515625" customWidth="1"/>
    <col min="2" max="2" width="29.28515625" customWidth="1"/>
    <col min="3" max="3" width="23.85546875" customWidth="1"/>
  </cols>
  <sheetData>
    <row r="1" spans="1:3">
      <c r="A1" s="164" t="s">
        <v>743</v>
      </c>
      <c r="B1" s="164" t="s">
        <v>744</v>
      </c>
      <c r="C1" s="164" t="s">
        <v>745</v>
      </c>
    </row>
    <row r="2" spans="1:3">
      <c r="A2" s="142" t="s">
        <v>746</v>
      </c>
      <c r="B2" s="124" t="s">
        <v>747</v>
      </c>
      <c r="C2" s="150" t="s">
        <v>748</v>
      </c>
    </row>
    <row r="3" spans="1:3">
      <c r="A3" s="142" t="s">
        <v>746</v>
      </c>
      <c r="B3" s="124" t="s">
        <v>749</v>
      </c>
      <c r="C3" s="150" t="s">
        <v>750</v>
      </c>
    </row>
    <row r="4" spans="1:3">
      <c r="A4" s="142" t="s">
        <v>746</v>
      </c>
      <c r="B4" s="124" t="s">
        <v>751</v>
      </c>
      <c r="C4" s="151" t="s">
        <v>752</v>
      </c>
    </row>
    <row r="5" spans="1:3">
      <c r="A5" s="142" t="s">
        <v>746</v>
      </c>
      <c r="B5" s="124" t="s">
        <v>753</v>
      </c>
      <c r="C5" s="151" t="s">
        <v>754</v>
      </c>
    </row>
    <row r="6" spans="1:3">
      <c r="A6" s="142" t="s">
        <v>755</v>
      </c>
      <c r="B6" s="124" t="s">
        <v>756</v>
      </c>
      <c r="C6" s="150" t="s">
        <v>757</v>
      </c>
    </row>
    <row r="7" spans="1:3">
      <c r="A7" s="142"/>
      <c r="B7" s="124"/>
      <c r="C7" s="150"/>
    </row>
    <row r="8" spans="1:3">
      <c r="A8" s="142"/>
      <c r="B8" s="143"/>
      <c r="C8" s="150"/>
    </row>
    <row r="9" spans="1:3">
      <c r="A9" s="142"/>
      <c r="B9" s="143"/>
      <c r="C9" s="150"/>
    </row>
    <row r="10" spans="1:3">
      <c r="A10" s="142"/>
      <c r="B10" s="143"/>
      <c r="C10" s="150"/>
    </row>
    <row r="11" spans="1:3">
      <c r="A11" s="142"/>
      <c r="B11" s="143"/>
      <c r="C11" s="150"/>
    </row>
    <row r="12" spans="1:3">
      <c r="A12" s="142"/>
      <c r="B12" s="143"/>
      <c r="C12" s="150"/>
    </row>
    <row r="13" spans="1:3">
      <c r="A13" s="142"/>
      <c r="B13" s="143"/>
      <c r="C13" s="150"/>
    </row>
    <row r="14" spans="1:3">
      <c r="A14" s="142"/>
      <c r="B14" s="143"/>
      <c r="C14" s="150"/>
    </row>
  </sheetData>
  <autoFilter ref="A1:C1" xr:uid="{1BD80E34-449A-4847-990D-6EEB5D81FC20}">
    <sortState xmlns:xlrd2="http://schemas.microsoft.com/office/spreadsheetml/2017/richdata2" ref="A2:C6">
      <sortCondition ref="B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CAE7-8D01-45E8-8FD4-D379A64C4EE8}">
  <dimension ref="A1"/>
  <sheetViews>
    <sheetView workbookViewId="0">
      <selection activeCell="A2" sqref="A2"/>
    </sheetView>
  </sheetViews>
  <sheetFormatPr defaultRowHeight="15"/>
  <sheetData>
    <row r="1" spans="1:1">
      <c r="A1" t="s">
        <v>758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EBEA-A0CB-424A-B6EB-9D06F790737F}">
  <dimension ref="A1:D18"/>
  <sheetViews>
    <sheetView workbookViewId="0">
      <pane ySplit="1" topLeftCell="B2" activePane="bottomLeft" state="frozen"/>
      <selection pane="bottomLeft" activeCell="B3" sqref="B3:C8"/>
    </sheetView>
  </sheetViews>
  <sheetFormatPr defaultRowHeight="15"/>
  <cols>
    <col min="1" max="1" width="19.28515625" bestFit="1" customWidth="1"/>
    <col min="2" max="2" width="22" bestFit="1" customWidth="1"/>
    <col min="3" max="3" width="40" customWidth="1"/>
    <col min="4" max="4" width="19" bestFit="1" customWidth="1"/>
  </cols>
  <sheetData>
    <row r="1" spans="1:4">
      <c r="A1" s="165" t="s">
        <v>743</v>
      </c>
      <c r="B1" s="165" t="s">
        <v>759</v>
      </c>
      <c r="C1" s="165" t="s">
        <v>760</v>
      </c>
      <c r="D1" s="165" t="s">
        <v>761</v>
      </c>
    </row>
    <row r="2" spans="1:4">
      <c r="A2" s="2" t="s">
        <v>674</v>
      </c>
      <c r="B2" s="2" t="s">
        <v>762</v>
      </c>
      <c r="C2" s="2" t="s">
        <v>725</v>
      </c>
      <c r="D2" s="2" t="s">
        <v>725</v>
      </c>
    </row>
    <row r="3" spans="1:4">
      <c r="A3" s="2" t="s">
        <v>678</v>
      </c>
      <c r="B3" s="2" t="s">
        <v>762</v>
      </c>
      <c r="C3" s="2" t="s">
        <v>725</v>
      </c>
      <c r="D3" s="2" t="s">
        <v>646</v>
      </c>
    </row>
    <row r="4" spans="1:4">
      <c r="A4" s="2" t="s">
        <v>646</v>
      </c>
      <c r="B4" s="2" t="s">
        <v>763</v>
      </c>
      <c r="C4" s="2" t="s">
        <v>755</v>
      </c>
      <c r="D4" s="2" t="s">
        <v>725</v>
      </c>
    </row>
    <row r="5" spans="1:4">
      <c r="A5" s="2" t="s">
        <v>621</v>
      </c>
      <c r="B5" s="2" t="s">
        <v>763</v>
      </c>
      <c r="C5" s="2" t="s">
        <v>746</v>
      </c>
      <c r="D5" s="2" t="s">
        <v>725</v>
      </c>
    </row>
    <row r="6" spans="1:4">
      <c r="A6" s="2" t="s">
        <v>580</v>
      </c>
      <c r="B6" s="2" t="s">
        <v>763</v>
      </c>
      <c r="C6" s="2" t="s">
        <v>764</v>
      </c>
      <c r="D6" s="2" t="s">
        <v>725</v>
      </c>
    </row>
    <row r="7" spans="1:4" ht="30">
      <c r="A7" s="2" t="s">
        <v>621</v>
      </c>
      <c r="B7" s="2" t="s">
        <v>763</v>
      </c>
      <c r="C7" s="191" t="s">
        <v>765</v>
      </c>
      <c r="D7" s="2" t="s">
        <v>725</v>
      </c>
    </row>
    <row r="8" spans="1:4">
      <c r="A8" s="2" t="s">
        <v>697</v>
      </c>
      <c r="B8" s="2" t="s">
        <v>763</v>
      </c>
      <c r="C8" s="2" t="s">
        <v>766</v>
      </c>
      <c r="D8" s="2" t="s">
        <v>725</v>
      </c>
    </row>
    <row r="9" spans="1:4">
      <c r="A9" s="2" t="s">
        <v>589</v>
      </c>
      <c r="B9" s="2" t="s">
        <v>763</v>
      </c>
      <c r="C9" s="2" t="s">
        <v>767</v>
      </c>
      <c r="D9" s="2" t="s">
        <v>725</v>
      </c>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sheetData>
  <autoFilter ref="A1:D1" xr:uid="{F9B8EBEA-A0CB-424A-B6EB-9D06F790737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D406-BA45-45B7-AF0C-D84E8AF9A0FA}">
  <dimension ref="A1:D18"/>
  <sheetViews>
    <sheetView workbookViewId="0">
      <pane ySplit="1" topLeftCell="A2" activePane="bottomLeft" state="frozen"/>
      <selection pane="bottomLeft" sqref="A1:D1"/>
    </sheetView>
  </sheetViews>
  <sheetFormatPr defaultRowHeight="15"/>
  <cols>
    <col min="1" max="1" width="14" style="140" bestFit="1" customWidth="1"/>
    <col min="2" max="2" width="13.85546875" style="140" customWidth="1"/>
    <col min="3" max="3" width="17.5703125" style="140" customWidth="1"/>
    <col min="4" max="4" width="18.85546875" style="140" customWidth="1"/>
  </cols>
  <sheetData>
    <row r="1" spans="1:4">
      <c r="A1" s="166" t="s">
        <v>549</v>
      </c>
      <c r="B1" s="166" t="s">
        <v>768</v>
      </c>
      <c r="C1" s="166" t="s">
        <v>743</v>
      </c>
      <c r="D1" s="166" t="s">
        <v>769</v>
      </c>
    </row>
    <row r="2" spans="1:4">
      <c r="A2" s="167" t="s">
        <v>558</v>
      </c>
      <c r="B2" s="167" t="s">
        <v>770</v>
      </c>
      <c r="C2" s="167" t="s">
        <v>621</v>
      </c>
      <c r="D2" s="227" t="s">
        <v>771</v>
      </c>
    </row>
    <row r="3" spans="1:4">
      <c r="A3" s="167" t="s">
        <v>558</v>
      </c>
      <c r="B3" s="167" t="s">
        <v>770</v>
      </c>
      <c r="C3" s="167" t="s">
        <v>621</v>
      </c>
      <c r="D3" s="227" t="s">
        <v>772</v>
      </c>
    </row>
    <row r="4" spans="1:4">
      <c r="A4" s="167"/>
      <c r="B4" s="167"/>
      <c r="C4" s="167"/>
      <c r="D4" s="167"/>
    </row>
    <row r="5" spans="1:4">
      <c r="A5" s="167"/>
      <c r="B5" s="167"/>
      <c r="C5" s="167"/>
      <c r="D5" s="167"/>
    </row>
    <row r="6" spans="1:4">
      <c r="A6" s="167"/>
      <c r="B6" s="167"/>
      <c r="C6" s="167"/>
      <c r="D6" s="167"/>
    </row>
    <row r="7" spans="1:4">
      <c r="A7" s="167"/>
      <c r="B7" s="167"/>
      <c r="C7" s="167"/>
      <c r="D7" s="167"/>
    </row>
    <row r="8" spans="1:4">
      <c r="A8" s="167"/>
      <c r="B8" s="167"/>
      <c r="C8" s="167"/>
      <c r="D8" s="167"/>
    </row>
    <row r="9" spans="1:4">
      <c r="A9" s="167"/>
      <c r="B9" s="167"/>
      <c r="C9" s="167"/>
      <c r="D9" s="167"/>
    </row>
    <row r="10" spans="1:4">
      <c r="A10" s="167"/>
      <c r="B10" s="167"/>
      <c r="C10" s="167"/>
      <c r="D10" s="167"/>
    </row>
    <row r="11" spans="1:4">
      <c r="A11" s="167"/>
      <c r="B11" s="167"/>
      <c r="C11" s="167"/>
      <c r="D11" s="167"/>
    </row>
    <row r="12" spans="1:4">
      <c r="A12" s="167"/>
      <c r="B12" s="167"/>
      <c r="C12" s="167"/>
      <c r="D12" s="167"/>
    </row>
    <row r="13" spans="1:4">
      <c r="A13" s="167"/>
      <c r="B13" s="167"/>
      <c r="C13" s="167"/>
      <c r="D13" s="167"/>
    </row>
    <row r="14" spans="1:4">
      <c r="A14" s="167"/>
      <c r="B14" s="167"/>
      <c r="C14" s="167"/>
      <c r="D14" s="167"/>
    </row>
    <row r="15" spans="1:4">
      <c r="A15" s="167"/>
      <c r="B15" s="167"/>
      <c r="C15" s="167"/>
      <c r="D15" s="167"/>
    </row>
    <row r="16" spans="1:4">
      <c r="A16" s="167"/>
      <c r="B16" s="167"/>
      <c r="C16" s="167"/>
      <c r="D16" s="167"/>
    </row>
    <row r="17" spans="1:4">
      <c r="A17" s="167"/>
      <c r="B17" s="167"/>
      <c r="C17" s="167"/>
      <c r="D17" s="167"/>
    </row>
    <row r="18" spans="1:4">
      <c r="A18" s="167"/>
      <c r="B18" s="167"/>
      <c r="C18" s="167"/>
      <c r="D18" s="167"/>
    </row>
  </sheetData>
  <autoFilter ref="A1:D1" xr:uid="{728DD406-BA45-45B7-AF0C-D84E8AF9A0F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8973-39DF-499B-90D9-158A382F90BA}">
  <dimension ref="A1:H60"/>
  <sheetViews>
    <sheetView zoomScaleNormal="100" workbookViewId="0">
      <pane xSplit="2" ySplit="5" topLeftCell="C21" activePane="bottomRight" state="frozen"/>
      <selection pane="bottomRight" activeCell="A19" sqref="A19:XFD23"/>
      <selection pane="bottomLeft" activeCell="B4" sqref="B4"/>
      <selection pane="topRight" activeCell="B4" sqref="B4"/>
    </sheetView>
  </sheetViews>
  <sheetFormatPr defaultColWidth="9.140625" defaultRowHeight="12.75"/>
  <cols>
    <col min="1" max="1" width="16.85546875" style="29" customWidth="1"/>
    <col min="2" max="2" width="24.140625" style="29" customWidth="1"/>
    <col min="3" max="3" width="20.140625" style="29" customWidth="1"/>
    <col min="4" max="4" width="33.5703125" style="29" customWidth="1"/>
    <col min="5" max="5" width="32" style="29" customWidth="1"/>
    <col min="6" max="6" width="28.140625" style="29" customWidth="1"/>
    <col min="7" max="7" width="30.42578125" style="29" customWidth="1"/>
    <col min="8" max="8" width="25.5703125" style="29" customWidth="1"/>
    <col min="9" max="16384" width="9.140625" style="29"/>
  </cols>
  <sheetData>
    <row r="1" spans="1:8">
      <c r="B1" s="28" t="s">
        <v>773</v>
      </c>
    </row>
    <row r="2" spans="1:8">
      <c r="B2" s="30" t="s">
        <v>774</v>
      </c>
      <c r="C2" s="316"/>
      <c r="D2" s="316"/>
      <c r="E2" s="316"/>
      <c r="F2" s="316"/>
      <c r="G2" s="316"/>
      <c r="H2" s="316"/>
    </row>
    <row r="3" spans="1:8">
      <c r="B3" s="30" t="s">
        <v>571</v>
      </c>
      <c r="C3" s="317" t="str">
        <f>Summary!O118</f>
        <v>This table records information about Field Activities. It is useful for Clients as it allows them to easily access and extract FA-related data via reports.</v>
      </c>
      <c r="D3" s="317"/>
      <c r="E3" s="317"/>
      <c r="F3" s="317"/>
      <c r="G3" s="317"/>
      <c r="H3" s="317"/>
    </row>
    <row r="4" spans="1:8">
      <c r="B4" s="30" t="s">
        <v>566</v>
      </c>
      <c r="C4" s="29" t="s">
        <v>575</v>
      </c>
    </row>
    <row r="5" spans="1:8">
      <c r="A5" s="31" t="s">
        <v>550</v>
      </c>
      <c r="B5" s="31" t="s">
        <v>775</v>
      </c>
      <c r="C5" s="168" t="s">
        <v>776</v>
      </c>
      <c r="D5" s="31" t="s">
        <v>777</v>
      </c>
      <c r="E5" s="31" t="s">
        <v>778</v>
      </c>
      <c r="F5" s="32" t="s">
        <v>779</v>
      </c>
      <c r="G5" s="32" t="s">
        <v>568</v>
      </c>
      <c r="H5" s="32" t="s">
        <v>780</v>
      </c>
    </row>
    <row r="6" spans="1:8">
      <c r="A6" s="142" t="s">
        <v>239</v>
      </c>
      <c r="B6" s="33" t="s">
        <v>781</v>
      </c>
      <c r="C6" s="156" t="s">
        <v>782</v>
      </c>
      <c r="D6" s="33" t="s">
        <v>725</v>
      </c>
      <c r="E6" s="33"/>
      <c r="F6" s="34" t="s">
        <v>725</v>
      </c>
      <c r="G6" s="35"/>
      <c r="H6" s="48"/>
    </row>
    <row r="7" spans="1:8">
      <c r="A7" s="142" t="s">
        <v>239</v>
      </c>
      <c r="B7" s="33" t="s">
        <v>783</v>
      </c>
      <c r="C7" s="156" t="s">
        <v>784</v>
      </c>
      <c r="D7" s="33" t="s">
        <v>785</v>
      </c>
      <c r="E7" s="33"/>
      <c r="F7" s="34" t="s">
        <v>786</v>
      </c>
      <c r="G7" s="35"/>
      <c r="H7" s="35"/>
    </row>
    <row r="8" spans="1:8">
      <c r="A8" s="142" t="s">
        <v>239</v>
      </c>
      <c r="B8" s="33" t="s">
        <v>787</v>
      </c>
      <c r="C8" s="156" t="s">
        <v>564</v>
      </c>
      <c r="D8" s="33" t="s">
        <v>788</v>
      </c>
      <c r="E8" s="33"/>
      <c r="F8" s="34" t="s">
        <v>786</v>
      </c>
      <c r="G8" s="35"/>
      <c r="H8" s="35"/>
    </row>
    <row r="9" spans="1:8" ht="25.5">
      <c r="A9" s="142" t="s">
        <v>239</v>
      </c>
      <c r="B9" s="33" t="s">
        <v>789</v>
      </c>
      <c r="C9" s="156" t="s">
        <v>790</v>
      </c>
      <c r="D9" s="34" t="s">
        <v>791</v>
      </c>
      <c r="E9" s="34" t="s">
        <v>792</v>
      </c>
      <c r="F9" s="34" t="s">
        <v>786</v>
      </c>
      <c r="G9" s="35"/>
      <c r="H9" s="35"/>
    </row>
    <row r="10" spans="1:8">
      <c r="A10" s="142" t="s">
        <v>239</v>
      </c>
      <c r="B10" s="33" t="s">
        <v>793</v>
      </c>
      <c r="C10" s="156" t="s">
        <v>794</v>
      </c>
      <c r="D10" s="33" t="s">
        <v>725</v>
      </c>
      <c r="E10" s="33"/>
      <c r="F10" s="34" t="s">
        <v>725</v>
      </c>
      <c r="G10" s="35"/>
      <c r="H10" s="35"/>
    </row>
    <row r="11" spans="1:8">
      <c r="A11" s="142" t="s">
        <v>239</v>
      </c>
      <c r="B11" s="33" t="s">
        <v>795</v>
      </c>
      <c r="C11" s="156" t="s">
        <v>796</v>
      </c>
      <c r="D11" s="33" t="s">
        <v>725</v>
      </c>
      <c r="E11" s="33"/>
      <c r="F11" s="34" t="s">
        <v>725</v>
      </c>
      <c r="G11" s="35"/>
      <c r="H11" s="35"/>
    </row>
    <row r="12" spans="1:8">
      <c r="A12" s="142" t="s">
        <v>239</v>
      </c>
      <c r="B12" s="33" t="s">
        <v>797</v>
      </c>
      <c r="C12" s="156" t="s">
        <v>798</v>
      </c>
      <c r="D12" s="33" t="s">
        <v>725</v>
      </c>
      <c r="E12" s="33"/>
      <c r="F12" s="34" t="s">
        <v>725</v>
      </c>
      <c r="G12" s="35"/>
      <c r="H12" s="35"/>
    </row>
    <row r="13" spans="1:8">
      <c r="A13" s="142" t="s">
        <v>239</v>
      </c>
      <c r="B13" s="33" t="s">
        <v>799</v>
      </c>
      <c r="C13" s="156" t="s">
        <v>800</v>
      </c>
      <c r="D13" s="33" t="s">
        <v>725</v>
      </c>
      <c r="E13" s="33"/>
      <c r="F13" s="34" t="s">
        <v>725</v>
      </c>
      <c r="G13" s="35"/>
      <c r="H13" s="35"/>
    </row>
    <row r="14" spans="1:8">
      <c r="A14" s="142" t="s">
        <v>239</v>
      </c>
      <c r="B14" s="33" t="s">
        <v>801</v>
      </c>
      <c r="C14" s="156" t="s">
        <v>802</v>
      </c>
      <c r="D14" s="33" t="s">
        <v>803</v>
      </c>
      <c r="E14" s="33"/>
      <c r="F14" s="34" t="s">
        <v>804</v>
      </c>
      <c r="G14" s="35"/>
      <c r="H14" s="35"/>
    </row>
    <row r="15" spans="1:8">
      <c r="A15" s="142" t="s">
        <v>239</v>
      </c>
      <c r="B15" s="33" t="s">
        <v>805</v>
      </c>
      <c r="C15" s="156" t="s">
        <v>806</v>
      </c>
      <c r="D15" s="33" t="s">
        <v>725</v>
      </c>
      <c r="E15" s="33"/>
      <c r="F15" s="34" t="s">
        <v>725</v>
      </c>
      <c r="G15" s="35"/>
      <c r="H15" s="35"/>
    </row>
    <row r="16" spans="1:8">
      <c r="A16" s="142" t="s">
        <v>239</v>
      </c>
      <c r="B16" s="33" t="s">
        <v>807</v>
      </c>
      <c r="C16" s="156" t="s">
        <v>808</v>
      </c>
      <c r="D16" s="33" t="s">
        <v>725</v>
      </c>
      <c r="E16" s="33"/>
      <c r="F16" s="34" t="s">
        <v>725</v>
      </c>
      <c r="G16" s="35"/>
      <c r="H16" s="35"/>
    </row>
    <row r="17" spans="1:8" ht="34.5" customHeight="1">
      <c r="A17" s="142" t="s">
        <v>239</v>
      </c>
      <c r="B17" s="33" t="s">
        <v>809</v>
      </c>
      <c r="C17" s="156" t="s">
        <v>810</v>
      </c>
      <c r="D17" s="34" t="s">
        <v>811</v>
      </c>
      <c r="E17" s="34" t="s">
        <v>812</v>
      </c>
      <c r="F17" s="34" t="s">
        <v>786</v>
      </c>
      <c r="G17" s="35"/>
      <c r="H17" s="35"/>
    </row>
    <row r="18" spans="1:8" s="23" customFormat="1" ht="51">
      <c r="A18" s="142" t="s">
        <v>239</v>
      </c>
      <c r="B18" s="24" t="s">
        <v>813</v>
      </c>
      <c r="C18" s="169" t="s">
        <v>814</v>
      </c>
      <c r="D18" s="25" t="s">
        <v>815</v>
      </c>
      <c r="E18" s="25" t="s">
        <v>816</v>
      </c>
      <c r="F18" s="50" t="s">
        <v>804</v>
      </c>
      <c r="G18" s="49"/>
      <c r="H18" s="49"/>
    </row>
    <row r="24" spans="1:8" s="23" customFormat="1">
      <c r="A24" s="142" t="s">
        <v>239</v>
      </c>
      <c r="B24" s="24" t="s">
        <v>817</v>
      </c>
      <c r="C24" s="169" t="s">
        <v>818</v>
      </c>
      <c r="D24" s="24" t="s">
        <v>819</v>
      </c>
      <c r="E24" s="24"/>
      <c r="F24" s="50" t="s">
        <v>725</v>
      </c>
      <c r="G24" s="49"/>
      <c r="H24" s="49"/>
    </row>
    <row r="25" spans="1:8" s="23" customFormat="1">
      <c r="A25" s="142" t="s">
        <v>239</v>
      </c>
      <c r="B25" s="24" t="s">
        <v>820</v>
      </c>
      <c r="C25" s="169" t="s">
        <v>821</v>
      </c>
      <c r="D25" s="24" t="s">
        <v>819</v>
      </c>
      <c r="E25" s="24"/>
      <c r="F25" s="50" t="s">
        <v>725</v>
      </c>
      <c r="G25" s="49"/>
      <c r="H25" s="49"/>
    </row>
    <row r="26" spans="1:8" s="23" customFormat="1">
      <c r="A26" s="142" t="s">
        <v>239</v>
      </c>
      <c r="B26" s="24" t="s">
        <v>822</v>
      </c>
      <c r="C26" s="169" t="s">
        <v>823</v>
      </c>
      <c r="D26" s="24" t="s">
        <v>819</v>
      </c>
      <c r="E26" s="24"/>
      <c r="F26" s="50" t="s">
        <v>725</v>
      </c>
      <c r="G26" s="49"/>
      <c r="H26" s="49"/>
    </row>
    <row r="27" spans="1:8" s="23" customFormat="1" ht="63.75">
      <c r="A27" s="142" t="s">
        <v>239</v>
      </c>
      <c r="B27" s="24" t="s">
        <v>824</v>
      </c>
      <c r="C27" s="169" t="s">
        <v>825</v>
      </c>
      <c r="D27" s="25" t="s">
        <v>826</v>
      </c>
      <c r="E27" s="25" t="s">
        <v>827</v>
      </c>
      <c r="F27" s="50" t="s">
        <v>828</v>
      </c>
      <c r="G27" s="49"/>
      <c r="H27" s="49"/>
    </row>
    <row r="28" spans="1:8" s="23" customFormat="1" ht="100.5" customHeight="1">
      <c r="A28" s="142" t="s">
        <v>239</v>
      </c>
      <c r="B28" s="24" t="s">
        <v>829</v>
      </c>
      <c r="C28" s="169" t="s">
        <v>830</v>
      </c>
      <c r="D28" s="24" t="s">
        <v>831</v>
      </c>
      <c r="E28" s="24"/>
      <c r="F28" s="50" t="s">
        <v>832</v>
      </c>
      <c r="G28" s="49"/>
      <c r="H28" s="49"/>
    </row>
    <row r="29" spans="1:8" s="23" customFormat="1" ht="25.5">
      <c r="A29" s="25" t="s">
        <v>833</v>
      </c>
      <c r="B29" s="24" t="s">
        <v>834</v>
      </c>
      <c r="C29" s="169" t="s">
        <v>835</v>
      </c>
      <c r="D29" s="25" t="s">
        <v>836</v>
      </c>
      <c r="E29" s="25" t="s">
        <v>837</v>
      </c>
      <c r="F29" s="50" t="s">
        <v>828</v>
      </c>
      <c r="G29" s="49"/>
      <c r="H29" s="49"/>
    </row>
    <row r="30" spans="1:8" s="23" customFormat="1" ht="25.5">
      <c r="A30" s="96" t="s">
        <v>646</v>
      </c>
      <c r="B30" s="24" t="s">
        <v>646</v>
      </c>
      <c r="C30" s="169" t="s">
        <v>838</v>
      </c>
      <c r="D30" s="25" t="s">
        <v>839</v>
      </c>
      <c r="E30" s="25" t="s">
        <v>840</v>
      </c>
      <c r="F30" s="50" t="s">
        <v>786</v>
      </c>
      <c r="G30" s="49"/>
      <c r="H30" s="49"/>
    </row>
    <row r="31" spans="1:8" s="23" customFormat="1" ht="25.5">
      <c r="A31" s="96" t="s">
        <v>646</v>
      </c>
      <c r="B31" s="26" t="s">
        <v>841</v>
      </c>
      <c r="C31" s="170" t="s">
        <v>842</v>
      </c>
      <c r="D31" s="64" t="s">
        <v>843</v>
      </c>
      <c r="E31" s="56"/>
      <c r="F31" s="57" t="s">
        <v>786</v>
      </c>
      <c r="G31" s="58"/>
      <c r="H31" s="49"/>
    </row>
    <row r="32" spans="1:8" s="23" customFormat="1" ht="100.5" customHeight="1">
      <c r="A32" s="96" t="s">
        <v>646</v>
      </c>
      <c r="B32" s="24" t="s">
        <v>844</v>
      </c>
      <c r="C32" s="171" t="s">
        <v>845</v>
      </c>
      <c r="D32" s="62" t="s">
        <v>831</v>
      </c>
      <c r="E32" s="62"/>
      <c r="F32" s="63" t="s">
        <v>832</v>
      </c>
      <c r="G32" s="58"/>
      <c r="H32" s="55"/>
    </row>
    <row r="33" spans="1:8" s="23" customFormat="1" ht="100.5" customHeight="1">
      <c r="A33" s="96" t="s">
        <v>646</v>
      </c>
      <c r="B33" s="24" t="s">
        <v>846</v>
      </c>
      <c r="C33" s="172" t="s">
        <v>847</v>
      </c>
      <c r="D33" s="53" t="s">
        <v>831</v>
      </c>
      <c r="E33" s="53"/>
      <c r="F33" s="54" t="s">
        <v>832</v>
      </c>
      <c r="G33" s="49"/>
      <c r="H33" s="55"/>
    </row>
    <row r="34" spans="1:8" s="23" customFormat="1" ht="38.25">
      <c r="A34" s="96" t="s">
        <v>646</v>
      </c>
      <c r="B34" s="24" t="s">
        <v>848</v>
      </c>
      <c r="C34" s="172" t="s">
        <v>752</v>
      </c>
      <c r="D34" s="53" t="s">
        <v>831</v>
      </c>
      <c r="E34" s="53"/>
      <c r="F34" s="54" t="s">
        <v>832</v>
      </c>
      <c r="G34" s="49"/>
      <c r="H34" s="55"/>
    </row>
    <row r="35" spans="1:8" s="23" customFormat="1" ht="38.25">
      <c r="A35" s="96" t="s">
        <v>646</v>
      </c>
      <c r="B35" s="24" t="s">
        <v>849</v>
      </c>
      <c r="C35" s="173" t="s">
        <v>850</v>
      </c>
      <c r="D35" s="59" t="s">
        <v>831</v>
      </c>
      <c r="E35" s="59"/>
      <c r="F35" s="60" t="s">
        <v>832</v>
      </c>
      <c r="G35" s="61"/>
      <c r="H35" s="49"/>
    </row>
    <row r="36" spans="1:8" s="23" customFormat="1" ht="38.25">
      <c r="A36" s="96" t="s">
        <v>646</v>
      </c>
      <c r="B36" s="24" t="s">
        <v>851</v>
      </c>
      <c r="C36" s="169" t="s">
        <v>852</v>
      </c>
      <c r="D36" s="24" t="s">
        <v>831</v>
      </c>
      <c r="E36" s="24"/>
      <c r="F36" s="50" t="s">
        <v>832</v>
      </c>
      <c r="G36" s="49"/>
      <c r="H36" s="49"/>
    </row>
    <row r="37" spans="1:8" s="23" customFormat="1" ht="38.25">
      <c r="A37" s="96" t="s">
        <v>646</v>
      </c>
      <c r="B37" s="24" t="s">
        <v>853</v>
      </c>
      <c r="C37" s="169" t="s">
        <v>854</v>
      </c>
      <c r="D37" s="25" t="s">
        <v>855</v>
      </c>
      <c r="E37" s="25" t="s">
        <v>856</v>
      </c>
      <c r="F37" s="50" t="s">
        <v>828</v>
      </c>
      <c r="G37" s="49"/>
      <c r="H37" s="49"/>
    </row>
    <row r="38" spans="1:8" s="23" customFormat="1" ht="38.25">
      <c r="A38" s="96" t="s">
        <v>646</v>
      </c>
      <c r="B38" s="24" t="s">
        <v>857</v>
      </c>
      <c r="C38" s="169" t="s">
        <v>858</v>
      </c>
      <c r="D38" s="24" t="s">
        <v>831</v>
      </c>
      <c r="E38" s="24"/>
      <c r="F38" s="50" t="s">
        <v>832</v>
      </c>
      <c r="G38" s="49"/>
      <c r="H38" s="49"/>
    </row>
    <row r="39" spans="1:8" s="23" customFormat="1" ht="38.25">
      <c r="A39" s="96" t="s">
        <v>646</v>
      </c>
      <c r="B39" s="24" t="s">
        <v>859</v>
      </c>
      <c r="C39" s="169" t="s">
        <v>860</v>
      </c>
      <c r="D39" s="24" t="s">
        <v>831</v>
      </c>
      <c r="E39" s="24"/>
      <c r="F39" s="50" t="s">
        <v>832</v>
      </c>
      <c r="G39" s="49"/>
      <c r="H39" s="49"/>
    </row>
    <row r="40" spans="1:8" s="23" customFormat="1" ht="38.25">
      <c r="A40" s="96" t="s">
        <v>646</v>
      </c>
      <c r="B40" s="24" t="s">
        <v>861</v>
      </c>
      <c r="C40" s="169" t="s">
        <v>862</v>
      </c>
      <c r="D40" s="25" t="s">
        <v>863</v>
      </c>
      <c r="E40" s="25" t="s">
        <v>864</v>
      </c>
      <c r="F40" s="50" t="s">
        <v>828</v>
      </c>
      <c r="G40" s="49"/>
      <c r="H40" s="49"/>
    </row>
    <row r="41" spans="1:8" s="23" customFormat="1" ht="38.25">
      <c r="A41" s="96" t="s">
        <v>646</v>
      </c>
      <c r="B41" s="26" t="s">
        <v>865</v>
      </c>
      <c r="C41" s="174" t="s">
        <v>866</v>
      </c>
      <c r="D41" s="27" t="s">
        <v>867</v>
      </c>
      <c r="E41" s="26"/>
      <c r="F41" s="51" t="s">
        <v>828</v>
      </c>
      <c r="G41" s="49"/>
      <c r="H41" s="49"/>
    </row>
    <row r="42" spans="1:8" s="23" customFormat="1" ht="38.25">
      <c r="A42" s="96" t="s">
        <v>646</v>
      </c>
      <c r="B42" s="26" t="s">
        <v>868</v>
      </c>
      <c r="C42" s="174" t="s">
        <v>869</v>
      </c>
      <c r="D42" s="27" t="s">
        <v>870</v>
      </c>
      <c r="E42" s="27" t="s">
        <v>871</v>
      </c>
      <c r="F42" s="51" t="s">
        <v>828</v>
      </c>
      <c r="G42" s="49"/>
      <c r="H42" s="49"/>
    </row>
    <row r="43" spans="1:8" s="23" customFormat="1" ht="38.25">
      <c r="A43" s="96" t="s">
        <v>646</v>
      </c>
      <c r="B43" s="24" t="s">
        <v>872</v>
      </c>
      <c r="C43" s="169" t="s">
        <v>873</v>
      </c>
      <c r="D43" s="25" t="s">
        <v>855</v>
      </c>
      <c r="E43" s="25" t="s">
        <v>856</v>
      </c>
      <c r="F43" s="50" t="s">
        <v>828</v>
      </c>
      <c r="G43" s="49"/>
      <c r="H43" s="49"/>
    </row>
    <row r="44" spans="1:8" s="23" customFormat="1">
      <c r="A44" s="96" t="s">
        <v>646</v>
      </c>
      <c r="B44" s="24" t="s">
        <v>874</v>
      </c>
      <c r="C44" s="175" t="s">
        <v>875</v>
      </c>
      <c r="D44" s="25" t="s">
        <v>876</v>
      </c>
      <c r="E44" s="25" t="s">
        <v>877</v>
      </c>
      <c r="F44" s="50" t="s">
        <v>828</v>
      </c>
      <c r="G44" s="49"/>
      <c r="H44" s="49"/>
    </row>
    <row r="45" spans="1:8" ht="38.25">
      <c r="A45" s="96" t="s">
        <v>646</v>
      </c>
      <c r="B45" s="33" t="s">
        <v>878</v>
      </c>
      <c r="C45" s="176" t="s">
        <v>879</v>
      </c>
      <c r="D45" s="33" t="s">
        <v>831</v>
      </c>
      <c r="E45" s="33"/>
      <c r="F45" s="228" t="s">
        <v>880</v>
      </c>
      <c r="G45" s="35"/>
      <c r="H45" s="35"/>
    </row>
    <row r="46" spans="1:8">
      <c r="A46" s="96" t="s">
        <v>646</v>
      </c>
      <c r="B46" s="36" t="s">
        <v>881</v>
      </c>
      <c r="C46" s="177" t="s">
        <v>882</v>
      </c>
      <c r="D46" s="36" t="s">
        <v>646</v>
      </c>
      <c r="E46" s="36"/>
      <c r="F46" s="37" t="s">
        <v>786</v>
      </c>
      <c r="G46" s="35" t="s">
        <v>883</v>
      </c>
      <c r="H46" s="35"/>
    </row>
    <row r="47" spans="1:8">
      <c r="A47" s="96" t="s">
        <v>646</v>
      </c>
      <c r="B47" s="36" t="s">
        <v>884</v>
      </c>
      <c r="C47" s="177" t="s">
        <v>885</v>
      </c>
      <c r="D47" s="36" t="s">
        <v>646</v>
      </c>
      <c r="E47" s="36"/>
      <c r="F47" s="37" t="s">
        <v>786</v>
      </c>
      <c r="G47" s="35" t="s">
        <v>883</v>
      </c>
      <c r="H47" s="35"/>
    </row>
    <row r="48" spans="1:8">
      <c r="A48" s="96" t="s">
        <v>646</v>
      </c>
      <c r="B48" s="36" t="s">
        <v>886</v>
      </c>
      <c r="C48" s="177" t="s">
        <v>887</v>
      </c>
      <c r="D48" s="36" t="s">
        <v>646</v>
      </c>
      <c r="E48" s="36"/>
      <c r="F48" s="37" t="s">
        <v>786</v>
      </c>
      <c r="G48" s="35" t="s">
        <v>883</v>
      </c>
      <c r="H48" s="35"/>
    </row>
    <row r="49" spans="1:8">
      <c r="A49" s="96" t="s">
        <v>646</v>
      </c>
      <c r="B49" s="36" t="s">
        <v>888</v>
      </c>
      <c r="C49" s="177" t="s">
        <v>889</v>
      </c>
      <c r="D49" s="36" t="s">
        <v>646</v>
      </c>
      <c r="E49" s="36"/>
      <c r="F49" s="37" t="s">
        <v>786</v>
      </c>
      <c r="G49" s="35" t="s">
        <v>883</v>
      </c>
      <c r="H49" s="35"/>
    </row>
    <row r="50" spans="1:8">
      <c r="A50" s="96" t="s">
        <v>646</v>
      </c>
      <c r="B50" s="36" t="s">
        <v>890</v>
      </c>
      <c r="C50" s="177" t="s">
        <v>891</v>
      </c>
      <c r="D50" s="36" t="s">
        <v>646</v>
      </c>
      <c r="E50" s="36"/>
      <c r="F50" s="37" t="s">
        <v>786</v>
      </c>
      <c r="G50" s="35" t="s">
        <v>883</v>
      </c>
      <c r="H50" s="35"/>
    </row>
    <row r="51" spans="1:8">
      <c r="A51" s="96" t="s">
        <v>646</v>
      </c>
      <c r="B51" s="36" t="s">
        <v>892</v>
      </c>
      <c r="C51" s="177" t="s">
        <v>893</v>
      </c>
      <c r="D51" s="36" t="s">
        <v>646</v>
      </c>
      <c r="E51" s="36"/>
      <c r="F51" s="37" t="s">
        <v>786</v>
      </c>
      <c r="G51" s="35" t="s">
        <v>883</v>
      </c>
      <c r="H51" s="35"/>
    </row>
    <row r="52" spans="1:8">
      <c r="A52" s="96" t="s">
        <v>646</v>
      </c>
      <c r="B52" s="36" t="s">
        <v>894</v>
      </c>
      <c r="C52" s="177" t="s">
        <v>895</v>
      </c>
      <c r="D52" s="36" t="s">
        <v>646</v>
      </c>
      <c r="E52" s="36"/>
      <c r="F52" s="37" t="s">
        <v>786</v>
      </c>
      <c r="G52" s="35" t="s">
        <v>883</v>
      </c>
      <c r="H52" s="35"/>
    </row>
    <row r="53" spans="1:8">
      <c r="A53" s="96" t="s">
        <v>646</v>
      </c>
      <c r="B53" s="36" t="s">
        <v>896</v>
      </c>
      <c r="C53" s="177" t="s">
        <v>897</v>
      </c>
      <c r="D53" s="36" t="s">
        <v>646</v>
      </c>
      <c r="E53" s="36"/>
      <c r="F53" s="37" t="s">
        <v>786</v>
      </c>
      <c r="G53" s="35" t="s">
        <v>883</v>
      </c>
      <c r="H53" s="35"/>
    </row>
    <row r="54" spans="1:8" ht="38.25">
      <c r="A54" s="96" t="s">
        <v>646</v>
      </c>
      <c r="B54" s="38" t="s">
        <v>898</v>
      </c>
      <c r="C54" s="178" t="s">
        <v>899</v>
      </c>
      <c r="D54" s="38" t="s">
        <v>831</v>
      </c>
      <c r="E54" s="38"/>
      <c r="F54" s="228" t="s">
        <v>880</v>
      </c>
      <c r="G54" s="35"/>
      <c r="H54" s="35"/>
    </row>
    <row r="55" spans="1:8" ht="38.25">
      <c r="A55" s="96" t="s">
        <v>646</v>
      </c>
      <c r="B55" s="38" t="s">
        <v>900</v>
      </c>
      <c r="C55" s="178" t="s">
        <v>901</v>
      </c>
      <c r="D55" s="38" t="s">
        <v>831</v>
      </c>
      <c r="E55" s="38"/>
      <c r="F55" s="228" t="s">
        <v>880</v>
      </c>
      <c r="G55" s="35"/>
      <c r="H55" s="35"/>
    </row>
    <row r="56" spans="1:8" ht="38.25">
      <c r="A56" s="96" t="s">
        <v>646</v>
      </c>
      <c r="B56" s="38" t="s">
        <v>902</v>
      </c>
      <c r="C56" s="178" t="s">
        <v>903</v>
      </c>
      <c r="D56" s="38" t="s">
        <v>831</v>
      </c>
      <c r="E56" s="38"/>
      <c r="F56" s="228" t="s">
        <v>880</v>
      </c>
      <c r="G56" s="35"/>
      <c r="H56" s="35"/>
    </row>
    <row r="57" spans="1:8" ht="38.25">
      <c r="A57" s="96" t="s">
        <v>646</v>
      </c>
      <c r="B57" s="38" t="s">
        <v>904</v>
      </c>
      <c r="C57" s="178" t="s">
        <v>905</v>
      </c>
      <c r="D57" s="38" t="s">
        <v>831</v>
      </c>
      <c r="E57" s="38"/>
      <c r="F57" s="228" t="s">
        <v>880</v>
      </c>
      <c r="G57" s="35"/>
      <c r="H57" s="35"/>
    </row>
    <row r="58" spans="1:8" ht="38.25">
      <c r="A58" s="96" t="s">
        <v>646</v>
      </c>
      <c r="B58" s="38" t="s">
        <v>906</v>
      </c>
      <c r="C58" s="178" t="s">
        <v>907</v>
      </c>
      <c r="D58" s="38" t="s">
        <v>831</v>
      </c>
      <c r="E58" s="38"/>
      <c r="F58" s="228" t="s">
        <v>880</v>
      </c>
      <c r="G58" s="35"/>
      <c r="H58" s="35"/>
    </row>
    <row r="59" spans="1:8" ht="38.25">
      <c r="A59" s="96" t="s">
        <v>646</v>
      </c>
      <c r="B59" s="38" t="s">
        <v>908</v>
      </c>
      <c r="C59" s="178" t="s">
        <v>909</v>
      </c>
      <c r="D59" s="38" t="s">
        <v>831</v>
      </c>
      <c r="E59" s="38"/>
      <c r="F59" s="228" t="s">
        <v>880</v>
      </c>
      <c r="G59" s="35"/>
      <c r="H59" s="35"/>
    </row>
    <row r="60" spans="1:8" ht="38.25">
      <c r="A60" s="96" t="s">
        <v>646</v>
      </c>
      <c r="B60" s="38" t="s">
        <v>910</v>
      </c>
      <c r="C60" s="178" t="s">
        <v>911</v>
      </c>
      <c r="D60" s="38" t="s">
        <v>831</v>
      </c>
      <c r="E60" s="38"/>
      <c r="F60" s="228" t="s">
        <v>880</v>
      </c>
      <c r="G60" s="35"/>
      <c r="H60" s="35"/>
    </row>
  </sheetData>
  <autoFilter ref="A5:H5" xr:uid="{8F398973-39DF-499B-90D9-158A382F90BA}"/>
  <mergeCells count="2">
    <mergeCell ref="C2:H2"/>
    <mergeCell ref="C3:H3"/>
  </mergeCells>
  <hyperlinks>
    <hyperlink ref="B1" location="Summary!A1" display="Summary" xr:uid="{56372300-169D-4CFD-9FB5-40BEEFB684B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2180-2655-449E-85D9-4BDAAE5D3D16}">
  <dimension ref="A1:I74"/>
  <sheetViews>
    <sheetView zoomScaleNormal="100" workbookViewId="0">
      <pane xSplit="2" ySplit="5" topLeftCell="C32" activePane="bottomRight" state="frozen"/>
      <selection pane="bottomRight" activeCell="C61" sqref="C61"/>
      <selection pane="bottomLeft" activeCell="A6" sqref="A6"/>
      <selection pane="topRight" activeCell="C1" sqref="C1"/>
    </sheetView>
  </sheetViews>
  <sheetFormatPr defaultColWidth="9.140625" defaultRowHeight="12.75"/>
  <cols>
    <col min="1" max="1" width="16.42578125" style="82" customWidth="1"/>
    <col min="2" max="2" width="23.28515625" style="82" customWidth="1"/>
    <col min="3" max="3" width="34.5703125" style="82" bestFit="1" customWidth="1"/>
    <col min="4" max="4" width="42.140625" style="82" bestFit="1" customWidth="1"/>
    <col min="5" max="5" width="26.42578125" style="82" customWidth="1"/>
    <col min="6" max="6" width="18.5703125" style="82" customWidth="1"/>
    <col min="7" max="7" width="17.7109375" style="82" customWidth="1"/>
    <col min="8" max="8" width="80.42578125" style="82" customWidth="1"/>
    <col min="9" max="16384" width="9.140625" style="82"/>
  </cols>
  <sheetData>
    <row r="1" spans="1:9">
      <c r="B1" s="106" t="s">
        <v>773</v>
      </c>
    </row>
    <row r="2" spans="1:9">
      <c r="B2" s="107" t="s">
        <v>774</v>
      </c>
      <c r="C2" s="317"/>
      <c r="D2" s="317"/>
      <c r="E2" s="317"/>
      <c r="F2" s="317"/>
      <c r="G2" s="317"/>
      <c r="H2" s="317"/>
      <c r="I2" s="317"/>
    </row>
    <row r="3" spans="1:9">
      <c r="B3" s="107" t="s">
        <v>571</v>
      </c>
      <c r="C3" s="318" t="str">
        <f>Summary!O118</f>
        <v>This table records information about Field Activities. It is useful for Clients as it allows them to easily access and extract FA-related data via reports.</v>
      </c>
      <c r="D3" s="318"/>
      <c r="E3" s="318"/>
      <c r="F3" s="318"/>
      <c r="G3" s="318"/>
      <c r="H3" s="318"/>
      <c r="I3" s="318"/>
    </row>
    <row r="4" spans="1:9">
      <c r="B4" s="107"/>
    </row>
    <row r="5" spans="1:9">
      <c r="A5" s="108" t="s">
        <v>550</v>
      </c>
      <c r="B5" s="108" t="s">
        <v>775</v>
      </c>
      <c r="C5" s="109" t="s">
        <v>776</v>
      </c>
      <c r="D5" s="108" t="s">
        <v>777</v>
      </c>
      <c r="E5" s="108" t="s">
        <v>778</v>
      </c>
      <c r="F5" s="110" t="s">
        <v>779</v>
      </c>
      <c r="G5" s="90" t="s">
        <v>568</v>
      </c>
      <c r="H5" s="90" t="s">
        <v>780</v>
      </c>
    </row>
    <row r="6" spans="1:9">
      <c r="A6" s="85" t="s">
        <v>621</v>
      </c>
      <c r="B6" s="91" t="s">
        <v>781</v>
      </c>
      <c r="C6" s="111" t="s">
        <v>782</v>
      </c>
      <c r="D6" s="91" t="s">
        <v>725</v>
      </c>
      <c r="E6" s="91"/>
      <c r="F6" s="112" t="s">
        <v>725</v>
      </c>
      <c r="G6" s="87"/>
      <c r="H6" s="87"/>
    </row>
    <row r="7" spans="1:9">
      <c r="A7" s="85" t="s">
        <v>621</v>
      </c>
      <c r="B7" s="91" t="s">
        <v>783</v>
      </c>
      <c r="C7" s="111" t="s">
        <v>784</v>
      </c>
      <c r="D7" s="91" t="s">
        <v>912</v>
      </c>
      <c r="E7" s="91"/>
      <c r="F7" s="112" t="s">
        <v>786</v>
      </c>
      <c r="G7" s="87"/>
      <c r="H7" s="87"/>
    </row>
    <row r="8" spans="1:9">
      <c r="A8" s="85" t="s">
        <v>621</v>
      </c>
      <c r="B8" s="91" t="s">
        <v>787</v>
      </c>
      <c r="C8" s="111" t="s">
        <v>564</v>
      </c>
      <c r="D8" s="91" t="s">
        <v>913</v>
      </c>
      <c r="E8" s="91"/>
      <c r="F8" s="112" t="s">
        <v>786</v>
      </c>
      <c r="G8" s="87"/>
      <c r="H8" s="87"/>
    </row>
    <row r="9" spans="1:9" ht="25.5">
      <c r="A9" s="85" t="s">
        <v>621</v>
      </c>
      <c r="B9" s="91" t="s">
        <v>789</v>
      </c>
      <c r="C9" s="111" t="s">
        <v>790</v>
      </c>
      <c r="D9" s="92" t="s">
        <v>914</v>
      </c>
      <c r="E9" s="92" t="s">
        <v>792</v>
      </c>
      <c r="F9" s="112" t="s">
        <v>786</v>
      </c>
      <c r="G9" s="87"/>
      <c r="H9" s="87"/>
    </row>
    <row r="10" spans="1:9">
      <c r="A10" s="85" t="s">
        <v>621</v>
      </c>
      <c r="B10" s="91" t="s">
        <v>793</v>
      </c>
      <c r="C10" s="111" t="s">
        <v>794</v>
      </c>
      <c r="D10" s="91" t="s">
        <v>725</v>
      </c>
      <c r="E10" s="91"/>
      <c r="F10" s="112" t="s">
        <v>725</v>
      </c>
      <c r="G10" s="87"/>
      <c r="H10" s="87"/>
    </row>
    <row r="11" spans="1:9">
      <c r="A11" s="85" t="s">
        <v>621</v>
      </c>
      <c r="B11" s="91" t="s">
        <v>795</v>
      </c>
      <c r="C11" s="111" t="s">
        <v>796</v>
      </c>
      <c r="D11" s="91" t="s">
        <v>725</v>
      </c>
      <c r="E11" s="91"/>
      <c r="F11" s="112" t="s">
        <v>725</v>
      </c>
      <c r="G11" s="87"/>
      <c r="H11" s="87"/>
    </row>
    <row r="12" spans="1:9">
      <c r="A12" s="85" t="s">
        <v>621</v>
      </c>
      <c r="B12" s="91" t="s">
        <v>797</v>
      </c>
      <c r="C12" s="111" t="s">
        <v>798</v>
      </c>
      <c r="D12" s="91" t="s">
        <v>725</v>
      </c>
      <c r="E12" s="91"/>
      <c r="F12" s="112" t="s">
        <v>725</v>
      </c>
      <c r="G12" s="87"/>
      <c r="H12" s="87"/>
    </row>
    <row r="13" spans="1:9">
      <c r="A13" s="85" t="s">
        <v>621</v>
      </c>
      <c r="B13" s="91" t="s">
        <v>799</v>
      </c>
      <c r="C13" s="111" t="s">
        <v>800</v>
      </c>
      <c r="D13" s="91" t="s">
        <v>725</v>
      </c>
      <c r="E13" s="91"/>
      <c r="F13" s="112" t="s">
        <v>725</v>
      </c>
      <c r="G13" s="87"/>
      <c r="H13" s="87"/>
    </row>
    <row r="14" spans="1:9">
      <c r="A14" s="85" t="s">
        <v>621</v>
      </c>
      <c r="B14" s="91" t="s">
        <v>801</v>
      </c>
      <c r="C14" s="111" t="s">
        <v>802</v>
      </c>
      <c r="D14" s="91" t="s">
        <v>915</v>
      </c>
      <c r="E14" s="91"/>
      <c r="F14" s="112" t="s">
        <v>804</v>
      </c>
      <c r="G14" s="87"/>
      <c r="H14" s="87"/>
    </row>
    <row r="15" spans="1:9">
      <c r="A15" s="85" t="s">
        <v>621</v>
      </c>
      <c r="B15" s="91" t="s">
        <v>805</v>
      </c>
      <c r="C15" s="111" t="s">
        <v>806</v>
      </c>
      <c r="D15" s="91" t="s">
        <v>725</v>
      </c>
      <c r="E15" s="91"/>
      <c r="F15" s="112" t="s">
        <v>725</v>
      </c>
      <c r="G15" s="87"/>
      <c r="H15" s="87"/>
    </row>
    <row r="16" spans="1:9">
      <c r="A16" s="85" t="s">
        <v>621</v>
      </c>
      <c r="B16" s="91" t="s">
        <v>807</v>
      </c>
      <c r="C16" s="111" t="s">
        <v>808</v>
      </c>
      <c r="D16" s="91" t="s">
        <v>725</v>
      </c>
      <c r="E16" s="91"/>
      <c r="F16" s="112" t="s">
        <v>725</v>
      </c>
      <c r="G16" s="87"/>
      <c r="H16" s="87"/>
    </row>
    <row r="17" spans="1:8" ht="25.5">
      <c r="A17" s="85" t="s">
        <v>621</v>
      </c>
      <c r="B17" s="91" t="s">
        <v>809</v>
      </c>
      <c r="C17" s="111" t="s">
        <v>810</v>
      </c>
      <c r="D17" s="92" t="s">
        <v>916</v>
      </c>
      <c r="E17" s="92" t="s">
        <v>812</v>
      </c>
      <c r="F17" s="112" t="s">
        <v>786</v>
      </c>
      <c r="G17" s="87"/>
      <c r="H17" s="87"/>
    </row>
    <row r="18" spans="1:8" ht="25.5">
      <c r="A18" s="85" t="s">
        <v>621</v>
      </c>
      <c r="B18" s="91" t="s">
        <v>813</v>
      </c>
      <c r="C18" s="111" t="s">
        <v>814</v>
      </c>
      <c r="D18" s="92" t="s">
        <v>916</v>
      </c>
      <c r="E18" s="92" t="s">
        <v>816</v>
      </c>
      <c r="F18" s="112" t="s">
        <v>828</v>
      </c>
      <c r="G18" s="87"/>
      <c r="H18" s="87"/>
    </row>
    <row r="19" spans="1:8">
      <c r="A19" s="85" t="s">
        <v>621</v>
      </c>
      <c r="B19" s="91" t="s">
        <v>817</v>
      </c>
      <c r="C19" s="111" t="s">
        <v>818</v>
      </c>
      <c r="D19" s="91" t="s">
        <v>819</v>
      </c>
      <c r="E19" s="91"/>
      <c r="F19" s="112" t="s">
        <v>725</v>
      </c>
      <c r="G19" s="87"/>
      <c r="H19" s="87"/>
    </row>
    <row r="20" spans="1:8">
      <c r="A20" s="85" t="s">
        <v>621</v>
      </c>
      <c r="B20" s="91" t="s">
        <v>820</v>
      </c>
      <c r="C20" s="111" t="s">
        <v>821</v>
      </c>
      <c r="D20" s="91" t="s">
        <v>819</v>
      </c>
      <c r="E20" s="91"/>
      <c r="F20" s="112" t="s">
        <v>725</v>
      </c>
      <c r="G20" s="87"/>
      <c r="H20" s="87"/>
    </row>
    <row r="21" spans="1:8">
      <c r="A21" s="85" t="s">
        <v>621</v>
      </c>
      <c r="B21" s="91" t="s">
        <v>822</v>
      </c>
      <c r="C21" s="111" t="s">
        <v>823</v>
      </c>
      <c r="D21" s="91" t="s">
        <v>819</v>
      </c>
      <c r="E21" s="91"/>
      <c r="F21" s="112" t="s">
        <v>725</v>
      </c>
      <c r="G21" s="87"/>
      <c r="H21" s="87"/>
    </row>
    <row r="22" spans="1:8" ht="25.5">
      <c r="A22" s="85" t="s">
        <v>621</v>
      </c>
      <c r="B22" s="91" t="s">
        <v>824</v>
      </c>
      <c r="C22" s="111" t="s">
        <v>825</v>
      </c>
      <c r="D22" s="92" t="s">
        <v>916</v>
      </c>
      <c r="E22" s="92" t="s">
        <v>827</v>
      </c>
      <c r="F22" s="112" t="s">
        <v>828</v>
      </c>
      <c r="G22" s="87"/>
      <c r="H22" s="87"/>
    </row>
    <row r="23" spans="1:8" ht="67.5" customHeight="1">
      <c r="A23" s="85" t="s">
        <v>621</v>
      </c>
      <c r="B23" s="91" t="s">
        <v>829</v>
      </c>
      <c r="C23" s="111" t="s">
        <v>830</v>
      </c>
      <c r="D23" s="91" t="s">
        <v>831</v>
      </c>
      <c r="E23" s="91"/>
      <c r="F23" s="112" t="s">
        <v>832</v>
      </c>
      <c r="G23" s="87"/>
      <c r="H23" s="87"/>
    </row>
    <row r="24" spans="1:8" ht="25.5">
      <c r="A24" s="85" t="s">
        <v>621</v>
      </c>
      <c r="B24" s="91" t="s">
        <v>834</v>
      </c>
      <c r="C24" s="111" t="s">
        <v>835</v>
      </c>
      <c r="D24" s="92" t="s">
        <v>836</v>
      </c>
      <c r="E24" s="92" t="s">
        <v>837</v>
      </c>
      <c r="F24" s="112" t="s">
        <v>828</v>
      </c>
      <c r="G24" s="87"/>
      <c r="H24" s="87"/>
    </row>
    <row r="25" spans="1:8" ht="38.25">
      <c r="A25" s="85"/>
      <c r="B25" s="91" t="s">
        <v>646</v>
      </c>
      <c r="C25" s="111" t="s">
        <v>838</v>
      </c>
      <c r="D25" s="92" t="s">
        <v>839</v>
      </c>
      <c r="E25" s="92" t="s">
        <v>840</v>
      </c>
      <c r="F25" s="112" t="s">
        <v>786</v>
      </c>
      <c r="G25" s="87"/>
      <c r="H25" s="87"/>
    </row>
    <row r="26" spans="1:8" ht="25.5">
      <c r="A26" s="85"/>
      <c r="B26" s="113" t="s">
        <v>841</v>
      </c>
      <c r="C26" s="114" t="s">
        <v>842</v>
      </c>
      <c r="D26" s="115" t="s">
        <v>843</v>
      </c>
      <c r="E26" s="116"/>
      <c r="F26" s="117" t="s">
        <v>786</v>
      </c>
      <c r="G26" s="88"/>
      <c r="H26" s="87"/>
    </row>
    <row r="27" spans="1:8" ht="63" customHeight="1">
      <c r="A27" s="141" t="s">
        <v>746</v>
      </c>
      <c r="B27" s="91" t="s">
        <v>844</v>
      </c>
      <c r="C27" s="118" t="s">
        <v>845</v>
      </c>
      <c r="D27" s="119" t="s">
        <v>831</v>
      </c>
      <c r="E27" s="119"/>
      <c r="F27" s="120" t="s">
        <v>828</v>
      </c>
      <c r="G27" s="88"/>
      <c r="H27" s="121"/>
    </row>
    <row r="28" spans="1:8" ht="63" customHeight="1">
      <c r="A28" s="85"/>
      <c r="B28" s="91" t="s">
        <v>846</v>
      </c>
      <c r="C28" s="122" t="s">
        <v>847</v>
      </c>
      <c r="D28" s="123" t="s">
        <v>831</v>
      </c>
      <c r="E28" s="123"/>
      <c r="F28" s="124" t="s">
        <v>832</v>
      </c>
      <c r="G28" s="87"/>
      <c r="H28" s="121"/>
    </row>
    <row r="29" spans="1:8" ht="63.75">
      <c r="A29" s="85"/>
      <c r="B29" s="91" t="s">
        <v>848</v>
      </c>
      <c r="C29" s="122" t="s">
        <v>752</v>
      </c>
      <c r="D29" s="123" t="s">
        <v>831</v>
      </c>
      <c r="E29" s="123"/>
      <c r="F29" s="124" t="s">
        <v>832</v>
      </c>
      <c r="G29" s="87"/>
      <c r="H29" s="121"/>
    </row>
    <row r="30" spans="1:8" ht="63.75">
      <c r="A30" s="85"/>
      <c r="B30" s="91" t="s">
        <v>849</v>
      </c>
      <c r="C30" s="125" t="s">
        <v>850</v>
      </c>
      <c r="D30" s="126" t="s">
        <v>831</v>
      </c>
      <c r="E30" s="126"/>
      <c r="F30" s="127" t="s">
        <v>832</v>
      </c>
      <c r="G30" s="128"/>
      <c r="H30" s="87"/>
    </row>
    <row r="31" spans="1:8" ht="63.75">
      <c r="A31" s="85"/>
      <c r="B31" s="91" t="s">
        <v>851</v>
      </c>
      <c r="C31" s="111" t="s">
        <v>852</v>
      </c>
      <c r="D31" s="91" t="s">
        <v>831</v>
      </c>
      <c r="E31" s="91"/>
      <c r="F31" s="112" t="s">
        <v>832</v>
      </c>
      <c r="G31" s="87"/>
      <c r="H31" s="87"/>
    </row>
    <row r="32" spans="1:8" ht="51">
      <c r="A32" s="85"/>
      <c r="B32" s="91" t="s">
        <v>853</v>
      </c>
      <c r="C32" s="111" t="s">
        <v>854</v>
      </c>
      <c r="D32" s="92" t="s">
        <v>855</v>
      </c>
      <c r="E32" s="92" t="s">
        <v>856</v>
      </c>
      <c r="F32" s="112" t="s">
        <v>828</v>
      </c>
      <c r="G32" s="87"/>
      <c r="H32" s="87"/>
    </row>
    <row r="33" spans="1:8" ht="63.75">
      <c r="A33" s="85"/>
      <c r="B33" s="91" t="s">
        <v>857</v>
      </c>
      <c r="C33" s="111" t="s">
        <v>858</v>
      </c>
      <c r="D33" s="91" t="s">
        <v>831</v>
      </c>
      <c r="E33" s="91"/>
      <c r="F33" s="112" t="s">
        <v>832</v>
      </c>
      <c r="G33" s="87"/>
      <c r="H33" s="87"/>
    </row>
    <row r="34" spans="1:8" ht="63.75">
      <c r="A34" s="85"/>
      <c r="B34" s="91" t="s">
        <v>859</v>
      </c>
      <c r="C34" s="111" t="s">
        <v>860</v>
      </c>
      <c r="D34" s="91" t="s">
        <v>831</v>
      </c>
      <c r="E34" s="91"/>
      <c r="F34" s="112" t="s">
        <v>832</v>
      </c>
      <c r="G34" s="87"/>
      <c r="H34" s="87"/>
    </row>
    <row r="35" spans="1:8" ht="38.25">
      <c r="A35" s="85"/>
      <c r="B35" s="91" t="s">
        <v>861</v>
      </c>
      <c r="C35" s="111" t="s">
        <v>862</v>
      </c>
      <c r="D35" s="92" t="s">
        <v>863</v>
      </c>
      <c r="E35" s="92" t="s">
        <v>864</v>
      </c>
      <c r="F35" s="112" t="s">
        <v>828</v>
      </c>
      <c r="G35" s="87"/>
      <c r="H35" s="87"/>
    </row>
    <row r="36" spans="1:8" ht="38.25">
      <c r="A36" s="85"/>
      <c r="B36" s="113" t="s">
        <v>865</v>
      </c>
      <c r="C36" s="129" t="s">
        <v>866</v>
      </c>
      <c r="D36" s="130" t="s">
        <v>867</v>
      </c>
      <c r="E36" s="113"/>
      <c r="F36" s="131" t="s">
        <v>828</v>
      </c>
      <c r="G36" s="87"/>
      <c r="H36" s="87"/>
    </row>
    <row r="37" spans="1:8" ht="38.25">
      <c r="A37" s="85"/>
      <c r="B37" s="113" t="s">
        <v>868</v>
      </c>
      <c r="C37" s="129" t="s">
        <v>869</v>
      </c>
      <c r="D37" s="130" t="s">
        <v>870</v>
      </c>
      <c r="E37" s="130" t="s">
        <v>871</v>
      </c>
      <c r="F37" s="131" t="s">
        <v>828</v>
      </c>
      <c r="G37" s="87"/>
      <c r="H37" s="87"/>
    </row>
    <row r="38" spans="1:8" ht="51">
      <c r="A38" s="85"/>
      <c r="B38" s="91" t="s">
        <v>872</v>
      </c>
      <c r="C38" s="111" t="s">
        <v>873</v>
      </c>
      <c r="D38" s="92" t="s">
        <v>855</v>
      </c>
      <c r="E38" s="92" t="s">
        <v>856</v>
      </c>
      <c r="F38" s="112" t="s">
        <v>828</v>
      </c>
      <c r="G38" s="87"/>
      <c r="H38" s="87"/>
    </row>
    <row r="39" spans="1:8">
      <c r="A39" s="85"/>
      <c r="B39" s="91" t="s">
        <v>872</v>
      </c>
      <c r="C39" s="132" t="s">
        <v>875</v>
      </c>
      <c r="D39" s="92" t="s">
        <v>876</v>
      </c>
      <c r="E39" s="92" t="s">
        <v>877</v>
      </c>
      <c r="F39" s="112" t="s">
        <v>828</v>
      </c>
      <c r="G39" s="87"/>
      <c r="H39" s="87"/>
    </row>
    <row r="40" spans="1:8" ht="63.75">
      <c r="A40" s="85"/>
      <c r="B40" s="91" t="s">
        <v>878</v>
      </c>
      <c r="C40" s="132" t="s">
        <v>879</v>
      </c>
      <c r="D40" s="91" t="s">
        <v>831</v>
      </c>
      <c r="E40" s="91"/>
      <c r="F40" s="112" t="s">
        <v>832</v>
      </c>
      <c r="G40" s="87"/>
      <c r="H40" s="87"/>
    </row>
    <row r="41" spans="1:8">
      <c r="A41" s="85"/>
      <c r="B41" s="113" t="s">
        <v>881</v>
      </c>
      <c r="C41" s="129" t="s">
        <v>882</v>
      </c>
      <c r="D41" s="113" t="s">
        <v>646</v>
      </c>
      <c r="E41" s="113"/>
      <c r="F41" s="131" t="s">
        <v>786</v>
      </c>
      <c r="G41" s="87"/>
      <c r="H41" s="87"/>
    </row>
    <row r="42" spans="1:8">
      <c r="A42" s="85"/>
      <c r="B42" s="113" t="s">
        <v>884</v>
      </c>
      <c r="C42" s="129" t="s">
        <v>885</v>
      </c>
      <c r="D42" s="113" t="s">
        <v>646</v>
      </c>
      <c r="E42" s="113"/>
      <c r="F42" s="131" t="s">
        <v>786</v>
      </c>
      <c r="G42" s="87"/>
      <c r="H42" s="87"/>
    </row>
    <row r="43" spans="1:8">
      <c r="A43" s="85"/>
      <c r="B43" s="113" t="s">
        <v>886</v>
      </c>
      <c r="C43" s="129" t="s">
        <v>887</v>
      </c>
      <c r="D43" s="113" t="s">
        <v>646</v>
      </c>
      <c r="E43" s="113"/>
      <c r="F43" s="131" t="s">
        <v>786</v>
      </c>
      <c r="G43" s="87"/>
      <c r="H43" s="87"/>
    </row>
    <row r="44" spans="1:8">
      <c r="A44" s="85"/>
      <c r="B44" s="113" t="s">
        <v>888</v>
      </c>
      <c r="C44" s="129" t="s">
        <v>889</v>
      </c>
      <c r="D44" s="113" t="s">
        <v>646</v>
      </c>
      <c r="E44" s="113"/>
      <c r="F44" s="131" t="s">
        <v>786</v>
      </c>
      <c r="G44" s="87"/>
      <c r="H44" s="87"/>
    </row>
    <row r="45" spans="1:8">
      <c r="A45" s="85"/>
      <c r="B45" s="113" t="s">
        <v>890</v>
      </c>
      <c r="C45" s="129" t="s">
        <v>891</v>
      </c>
      <c r="D45" s="113" t="s">
        <v>646</v>
      </c>
      <c r="E45" s="113"/>
      <c r="F45" s="131" t="s">
        <v>786</v>
      </c>
      <c r="G45" s="87"/>
      <c r="H45" s="87"/>
    </row>
    <row r="46" spans="1:8">
      <c r="A46" s="85"/>
      <c r="B46" s="113" t="s">
        <v>892</v>
      </c>
      <c r="C46" s="129" t="s">
        <v>893</v>
      </c>
      <c r="D46" s="113" t="s">
        <v>646</v>
      </c>
      <c r="E46" s="113"/>
      <c r="F46" s="131" t="s">
        <v>786</v>
      </c>
      <c r="G46" s="87"/>
      <c r="H46" s="87"/>
    </row>
    <row r="47" spans="1:8">
      <c r="A47" s="85"/>
      <c r="B47" s="113" t="s">
        <v>894</v>
      </c>
      <c r="C47" s="129" t="s">
        <v>895</v>
      </c>
      <c r="D47" s="113" t="s">
        <v>646</v>
      </c>
      <c r="E47" s="113"/>
      <c r="F47" s="131" t="s">
        <v>786</v>
      </c>
      <c r="G47" s="87"/>
      <c r="H47" s="87"/>
    </row>
    <row r="48" spans="1:8">
      <c r="A48" s="85"/>
      <c r="B48" s="113" t="s">
        <v>896</v>
      </c>
      <c r="C48" s="129" t="s">
        <v>897</v>
      </c>
      <c r="D48" s="113" t="s">
        <v>646</v>
      </c>
      <c r="E48" s="113"/>
      <c r="F48" s="131" t="s">
        <v>786</v>
      </c>
      <c r="G48" s="87"/>
      <c r="H48" s="87"/>
    </row>
    <row r="49" spans="1:8" ht="63.75">
      <c r="A49" s="85"/>
      <c r="B49" s="133" t="s">
        <v>898</v>
      </c>
      <c r="C49" s="134" t="s">
        <v>899</v>
      </c>
      <c r="D49" s="135" t="s">
        <v>831</v>
      </c>
      <c r="E49" s="135"/>
      <c r="F49" s="112" t="s">
        <v>832</v>
      </c>
      <c r="G49" s="87"/>
      <c r="H49" s="87"/>
    </row>
    <row r="50" spans="1:8" ht="63.75">
      <c r="A50" s="85"/>
      <c r="B50" s="133" t="s">
        <v>900</v>
      </c>
      <c r="C50" s="134" t="s">
        <v>901</v>
      </c>
      <c r="D50" s="135" t="s">
        <v>831</v>
      </c>
      <c r="E50" s="135"/>
      <c r="F50" s="112" t="s">
        <v>832</v>
      </c>
      <c r="G50" s="87"/>
      <c r="H50" s="87"/>
    </row>
    <row r="51" spans="1:8" ht="63.75">
      <c r="A51" s="85"/>
      <c r="B51" s="133" t="s">
        <v>902</v>
      </c>
      <c r="C51" s="136" t="s">
        <v>903</v>
      </c>
      <c r="D51" s="135" t="s">
        <v>831</v>
      </c>
      <c r="E51" s="135"/>
      <c r="F51" s="112" t="s">
        <v>832</v>
      </c>
      <c r="G51" s="87"/>
      <c r="H51" s="87"/>
    </row>
    <row r="52" spans="1:8" ht="63.75">
      <c r="A52" s="85"/>
      <c r="B52" s="133" t="s">
        <v>904</v>
      </c>
      <c r="C52" s="136" t="s">
        <v>905</v>
      </c>
      <c r="D52" s="135" t="s">
        <v>831</v>
      </c>
      <c r="E52" s="135"/>
      <c r="F52" s="112" t="s">
        <v>832</v>
      </c>
      <c r="G52" s="87"/>
      <c r="H52" s="87"/>
    </row>
    <row r="53" spans="1:8" ht="63.75">
      <c r="A53" s="85"/>
      <c r="B53" s="133" t="s">
        <v>906</v>
      </c>
      <c r="C53" s="136" t="s">
        <v>907</v>
      </c>
      <c r="D53" s="135" t="s">
        <v>831</v>
      </c>
      <c r="E53" s="135"/>
      <c r="F53" s="112" t="s">
        <v>832</v>
      </c>
      <c r="G53" s="87"/>
      <c r="H53" s="87"/>
    </row>
    <row r="54" spans="1:8" ht="63.75">
      <c r="A54" s="85"/>
      <c r="B54" s="133" t="s">
        <v>908</v>
      </c>
      <c r="C54" s="136" t="s">
        <v>909</v>
      </c>
      <c r="D54" s="135" t="s">
        <v>831</v>
      </c>
      <c r="E54" s="135"/>
      <c r="F54" s="112" t="s">
        <v>832</v>
      </c>
      <c r="G54" s="87"/>
      <c r="H54" s="87"/>
    </row>
    <row r="55" spans="1:8" ht="63.75">
      <c r="A55" s="85"/>
      <c r="B55" s="133" t="s">
        <v>910</v>
      </c>
      <c r="C55" s="134" t="s">
        <v>911</v>
      </c>
      <c r="D55" s="133" t="s">
        <v>831</v>
      </c>
      <c r="E55" s="133"/>
      <c r="F55" s="112" t="s">
        <v>832</v>
      </c>
      <c r="G55" s="87"/>
      <c r="H55" s="87"/>
    </row>
    <row r="65" spans="2:2">
      <c r="B65" s="138"/>
    </row>
    <row r="66" spans="2:2">
      <c r="B66" s="138"/>
    </row>
    <row r="67" spans="2:2">
      <c r="B67" s="138"/>
    </row>
    <row r="68" spans="2:2">
      <c r="B68" s="138"/>
    </row>
    <row r="69" spans="2:2">
      <c r="B69" s="138"/>
    </row>
    <row r="70" spans="2:2">
      <c r="B70" s="138"/>
    </row>
    <row r="71" spans="2:2">
      <c r="B71" s="138"/>
    </row>
    <row r="72" spans="2:2">
      <c r="B72" s="138"/>
    </row>
    <row r="73" spans="2:2">
      <c r="B73" s="138"/>
    </row>
    <row r="74" spans="2:2">
      <c r="B74" s="138"/>
    </row>
  </sheetData>
  <autoFilter ref="A5:I5" xr:uid="{138F2180-2655-449E-85D9-4BDAAE5D3D16}"/>
  <mergeCells count="2">
    <mergeCell ref="C2:I2"/>
    <mergeCell ref="C3:I3"/>
  </mergeCells>
  <hyperlinks>
    <hyperlink ref="B1" location="Summary!A1" display="Summary" xr:uid="{1605B407-4C6B-42C9-8581-E003B2F38CA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34EAF-8009-4067-BDE5-084555B3DD6A}">
  <dimension ref="A1:I102"/>
  <sheetViews>
    <sheetView tabSelected="1" zoomScaleNormal="100" workbookViewId="0">
      <pane xSplit="2" ySplit="6" topLeftCell="C68" activePane="bottomRight" state="frozen"/>
      <selection pane="bottomRight" activeCell="C109" sqref="C109"/>
      <selection pane="bottomLeft" activeCell="A6" sqref="A6"/>
      <selection pane="topRight" activeCell="C1" sqref="C1"/>
    </sheetView>
  </sheetViews>
  <sheetFormatPr defaultColWidth="9.140625" defaultRowHeight="12.75"/>
  <cols>
    <col min="1" max="1" width="16.5703125" style="82" customWidth="1"/>
    <col min="2" max="2" width="23.28515625" style="82" customWidth="1"/>
    <col min="3" max="3" width="34.5703125" style="82" bestFit="1" customWidth="1"/>
    <col min="4" max="4" width="42.140625" style="82" bestFit="1" customWidth="1"/>
    <col min="5" max="5" width="26.42578125" style="82" customWidth="1"/>
    <col min="6" max="6" width="18.5703125" style="82" customWidth="1"/>
    <col min="7" max="7" width="17.7109375" style="82" customWidth="1"/>
    <col min="8" max="8" width="80.42578125" style="82" customWidth="1"/>
    <col min="9" max="16384" width="9.140625" style="82"/>
  </cols>
  <sheetData>
    <row r="1" spans="1:9">
      <c r="B1" s="106" t="s">
        <v>773</v>
      </c>
    </row>
    <row r="2" spans="1:9">
      <c r="B2" s="107" t="s">
        <v>774</v>
      </c>
      <c r="C2" s="317"/>
      <c r="D2" s="317"/>
      <c r="E2" s="317"/>
      <c r="F2" s="317"/>
      <c r="G2" s="317"/>
      <c r="H2" s="317"/>
      <c r="I2" s="317"/>
    </row>
    <row r="3" spans="1:9">
      <c r="B3" s="107" t="s">
        <v>917</v>
      </c>
      <c r="C3" s="138"/>
      <c r="D3" s="138"/>
      <c r="E3" s="138"/>
      <c r="F3" s="138"/>
      <c r="G3" s="138"/>
      <c r="H3" s="138"/>
      <c r="I3" s="138"/>
    </row>
    <row r="4" spans="1:9">
      <c r="B4" s="107" t="s">
        <v>571</v>
      </c>
      <c r="C4" s="318" t="str">
        <f>Summary!O118</f>
        <v>This table records information about Field Activities. It is useful for Clients as it allows them to easily access and extract FA-related data via reports.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ht="25.5">
      <c r="A7" s="142" t="s">
        <v>239</v>
      </c>
      <c r="B7" s="124" t="s">
        <v>919</v>
      </c>
      <c r="C7" s="123" t="s">
        <v>790</v>
      </c>
      <c r="D7" s="123" t="s">
        <v>920</v>
      </c>
      <c r="E7" s="124" t="s">
        <v>921</v>
      </c>
      <c r="F7" s="124" t="s">
        <v>804</v>
      </c>
      <c r="G7" s="87"/>
      <c r="H7" s="87"/>
    </row>
    <row r="8" spans="1:9">
      <c r="A8" s="142" t="s">
        <v>239</v>
      </c>
      <c r="B8" s="124" t="s">
        <v>922</v>
      </c>
      <c r="C8" s="123" t="s">
        <v>923</v>
      </c>
      <c r="D8" s="123" t="s">
        <v>725</v>
      </c>
      <c r="E8" s="124"/>
      <c r="F8" s="124" t="s">
        <v>725</v>
      </c>
      <c r="G8" s="87"/>
      <c r="H8" s="87"/>
    </row>
    <row r="9" spans="1:9">
      <c r="A9" s="142" t="s">
        <v>239</v>
      </c>
      <c r="B9" s="124" t="s">
        <v>924</v>
      </c>
      <c r="C9" s="123" t="s">
        <v>564</v>
      </c>
      <c r="D9" s="123" t="s">
        <v>925</v>
      </c>
      <c r="E9" s="124"/>
      <c r="F9" s="124" t="s">
        <v>786</v>
      </c>
      <c r="G9" s="87"/>
      <c r="H9" s="87"/>
    </row>
    <row r="10" spans="1:9">
      <c r="A10" s="142" t="s">
        <v>239</v>
      </c>
      <c r="B10" s="124" t="s">
        <v>926</v>
      </c>
      <c r="C10" s="123" t="s">
        <v>802</v>
      </c>
      <c r="D10" s="124" t="s">
        <v>927</v>
      </c>
      <c r="E10" s="124"/>
      <c r="F10" s="124" t="s">
        <v>804</v>
      </c>
      <c r="G10" s="87"/>
      <c r="H10" s="87"/>
    </row>
    <row r="11" spans="1:9">
      <c r="A11" s="142" t="s">
        <v>239</v>
      </c>
      <c r="B11" s="124" t="s">
        <v>928</v>
      </c>
      <c r="C11" s="123" t="s">
        <v>784</v>
      </c>
      <c r="D11" s="123" t="s">
        <v>929</v>
      </c>
      <c r="E11" s="124"/>
      <c r="F11" s="124" t="s">
        <v>786</v>
      </c>
      <c r="G11" s="87"/>
      <c r="H11" s="87"/>
    </row>
    <row r="12" spans="1:9" ht="25.5">
      <c r="A12" s="142" t="s">
        <v>239</v>
      </c>
      <c r="B12" s="124" t="s">
        <v>930</v>
      </c>
      <c r="C12" s="123" t="s">
        <v>814</v>
      </c>
      <c r="D12" s="123" t="s">
        <v>931</v>
      </c>
      <c r="E12" s="124" t="s">
        <v>932</v>
      </c>
      <c r="F12" s="124" t="s">
        <v>828</v>
      </c>
      <c r="G12" s="87"/>
      <c r="H12" s="87"/>
    </row>
    <row r="13" spans="1:9">
      <c r="A13" s="142" t="s">
        <v>239</v>
      </c>
      <c r="B13" s="124" t="s">
        <v>933</v>
      </c>
      <c r="C13" s="123" t="s">
        <v>798</v>
      </c>
      <c r="D13" s="123" t="s">
        <v>725</v>
      </c>
      <c r="E13" s="124"/>
      <c r="F13" s="124" t="s">
        <v>725</v>
      </c>
      <c r="G13" s="87"/>
      <c r="H13" s="87"/>
    </row>
    <row r="14" spans="1:9">
      <c r="A14" s="142" t="s">
        <v>239</v>
      </c>
      <c r="B14" s="124" t="s">
        <v>934</v>
      </c>
      <c r="C14" s="123" t="s">
        <v>782</v>
      </c>
      <c r="D14" s="123" t="s">
        <v>725</v>
      </c>
      <c r="E14" s="124"/>
      <c r="F14" s="124" t="s">
        <v>725</v>
      </c>
      <c r="G14" s="87"/>
      <c r="H14" s="87"/>
    </row>
    <row r="15" spans="1:9">
      <c r="A15" s="142" t="s">
        <v>239</v>
      </c>
      <c r="B15" s="124" t="s">
        <v>935</v>
      </c>
      <c r="C15" s="123" t="s">
        <v>808</v>
      </c>
      <c r="D15" s="123" t="s">
        <v>725</v>
      </c>
      <c r="E15" s="124"/>
      <c r="F15" s="124" t="s">
        <v>725</v>
      </c>
      <c r="G15" s="87"/>
      <c r="H15" s="87"/>
    </row>
    <row r="16" spans="1:9">
      <c r="A16" s="142" t="s">
        <v>239</v>
      </c>
      <c r="B16" s="124" t="s">
        <v>936</v>
      </c>
      <c r="C16" s="123" t="s">
        <v>796</v>
      </c>
      <c r="D16" s="123" t="s">
        <v>725</v>
      </c>
      <c r="E16" s="124"/>
      <c r="F16" s="124" t="s">
        <v>725</v>
      </c>
      <c r="G16" s="87"/>
      <c r="H16" s="87"/>
    </row>
    <row r="17" spans="1:8" ht="25.5">
      <c r="A17" s="142" t="s">
        <v>239</v>
      </c>
      <c r="B17" s="124" t="s">
        <v>937</v>
      </c>
      <c r="C17" s="123" t="s">
        <v>810</v>
      </c>
      <c r="D17" s="123" t="s">
        <v>931</v>
      </c>
      <c r="E17" s="124" t="s">
        <v>938</v>
      </c>
      <c r="F17" s="124" t="s">
        <v>828</v>
      </c>
      <c r="G17" s="87"/>
      <c r="H17" s="87"/>
    </row>
    <row r="18" spans="1:8">
      <c r="A18" s="142" t="s">
        <v>239</v>
      </c>
      <c r="B18" s="124" t="s">
        <v>939</v>
      </c>
      <c r="C18" s="123" t="s">
        <v>821</v>
      </c>
      <c r="D18" s="124" t="s">
        <v>725</v>
      </c>
      <c r="E18" s="124"/>
      <c r="F18" s="124" t="s">
        <v>725</v>
      </c>
      <c r="G18" s="87"/>
      <c r="H18" s="87"/>
    </row>
    <row r="19" spans="1:8">
      <c r="A19" s="142" t="s">
        <v>239</v>
      </c>
      <c r="B19" s="124" t="s">
        <v>940</v>
      </c>
      <c r="C19" s="123" t="s">
        <v>818</v>
      </c>
      <c r="D19" s="124" t="s">
        <v>725</v>
      </c>
      <c r="E19" s="124"/>
      <c r="F19" s="124" t="s">
        <v>725</v>
      </c>
      <c r="G19" s="87"/>
      <c r="H19" s="87"/>
    </row>
    <row r="20" spans="1:8" ht="25.5">
      <c r="A20" s="142" t="s">
        <v>239</v>
      </c>
      <c r="B20" s="124" t="s">
        <v>941</v>
      </c>
      <c r="C20" s="123" t="s">
        <v>825</v>
      </c>
      <c r="D20" s="123" t="s">
        <v>931</v>
      </c>
      <c r="E20" s="124" t="s">
        <v>942</v>
      </c>
      <c r="F20" s="124" t="s">
        <v>828</v>
      </c>
      <c r="G20" s="87"/>
      <c r="H20" s="87"/>
    </row>
    <row r="21" spans="1:8">
      <c r="A21" s="142" t="s">
        <v>239</v>
      </c>
      <c r="B21" s="124" t="s">
        <v>943</v>
      </c>
      <c r="C21" s="123" t="s">
        <v>823</v>
      </c>
      <c r="D21" s="123" t="s">
        <v>725</v>
      </c>
      <c r="E21" s="124"/>
      <c r="F21" s="124" t="s">
        <v>725</v>
      </c>
      <c r="G21" s="87"/>
      <c r="H21" s="87"/>
    </row>
    <row r="22" spans="1:8">
      <c r="A22" s="142" t="s">
        <v>239</v>
      </c>
      <c r="B22" s="124" t="s">
        <v>944</v>
      </c>
      <c r="C22" s="123" t="s">
        <v>794</v>
      </c>
      <c r="D22" s="123" t="s">
        <v>725</v>
      </c>
      <c r="E22" s="124"/>
      <c r="F22" s="124" t="s">
        <v>725</v>
      </c>
      <c r="G22" s="87"/>
      <c r="H22" s="87"/>
    </row>
    <row r="23" spans="1:8">
      <c r="A23" s="142" t="s">
        <v>239</v>
      </c>
      <c r="B23" s="124" t="s">
        <v>945</v>
      </c>
      <c r="C23" s="123" t="s">
        <v>800</v>
      </c>
      <c r="D23" s="124" t="s">
        <v>725</v>
      </c>
      <c r="E23" s="124"/>
      <c r="F23" s="124" t="s">
        <v>725</v>
      </c>
      <c r="G23" s="87"/>
      <c r="H23" s="87"/>
    </row>
    <row r="24" spans="1:8" ht="67.5" customHeight="1">
      <c r="A24" s="142" t="s">
        <v>239</v>
      </c>
      <c r="B24" s="124" t="s">
        <v>946</v>
      </c>
      <c r="C24" s="123" t="s">
        <v>806</v>
      </c>
      <c r="D24" s="123" t="s">
        <v>725</v>
      </c>
      <c r="E24" s="124"/>
      <c r="F24" s="124" t="s">
        <v>725</v>
      </c>
      <c r="G24" s="87"/>
      <c r="H24" s="87"/>
    </row>
    <row r="25" spans="1:8" ht="38.25">
      <c r="A25" s="142" t="s">
        <v>947</v>
      </c>
      <c r="B25" s="124" t="s">
        <v>948</v>
      </c>
      <c r="C25" s="123" t="s">
        <v>949</v>
      </c>
      <c r="D25" s="124"/>
      <c r="E25" s="124" t="s">
        <v>950</v>
      </c>
      <c r="F25" s="124" t="s">
        <v>828</v>
      </c>
      <c r="G25" s="87"/>
      <c r="H25" s="87"/>
    </row>
    <row r="26" spans="1:8" ht="25.5">
      <c r="A26" s="142" t="s">
        <v>947</v>
      </c>
      <c r="B26" s="124" t="s">
        <v>934</v>
      </c>
      <c r="C26" s="123" t="s">
        <v>782</v>
      </c>
      <c r="D26" s="124" t="s">
        <v>725</v>
      </c>
      <c r="E26" s="124"/>
      <c r="F26" s="124" t="s">
        <v>725</v>
      </c>
      <c r="G26" s="87"/>
      <c r="H26" s="87"/>
    </row>
    <row r="27" spans="1:8" ht="25.5">
      <c r="A27" s="142" t="s">
        <v>947</v>
      </c>
      <c r="B27" s="124" t="s">
        <v>951</v>
      </c>
      <c r="C27" s="123" t="s">
        <v>952</v>
      </c>
      <c r="D27" s="124" t="s">
        <v>621</v>
      </c>
      <c r="E27" s="124"/>
      <c r="F27" s="124" t="s">
        <v>953</v>
      </c>
      <c r="G27" s="87"/>
      <c r="H27" s="87"/>
    </row>
    <row r="28" spans="1:8" ht="63" customHeight="1">
      <c r="A28" s="142" t="s">
        <v>947</v>
      </c>
      <c r="B28" s="124" t="s">
        <v>946</v>
      </c>
      <c r="C28" s="123" t="s">
        <v>806</v>
      </c>
      <c r="D28" s="123" t="s">
        <v>725</v>
      </c>
      <c r="E28" s="124"/>
      <c r="F28" s="124" t="s">
        <v>725</v>
      </c>
      <c r="G28" s="87"/>
      <c r="H28" s="87"/>
    </row>
    <row r="29" spans="1:8" ht="63" customHeight="1">
      <c r="A29" s="142" t="s">
        <v>954</v>
      </c>
      <c r="B29" s="124" t="s">
        <v>955</v>
      </c>
      <c r="C29" s="123" t="s">
        <v>956</v>
      </c>
      <c r="D29" s="123" t="s">
        <v>725</v>
      </c>
      <c r="E29" s="124" t="s">
        <v>957</v>
      </c>
      <c r="F29" s="124" t="s">
        <v>953</v>
      </c>
      <c r="G29" s="87"/>
      <c r="H29" s="87"/>
    </row>
    <row r="30" spans="1:8" ht="38.25">
      <c r="A30" s="142" t="s">
        <v>954</v>
      </c>
      <c r="B30" s="124" t="s">
        <v>934</v>
      </c>
      <c r="C30" s="123" t="s">
        <v>782</v>
      </c>
      <c r="D30" s="123" t="s">
        <v>621</v>
      </c>
      <c r="E30" s="124"/>
      <c r="F30" s="124" t="s">
        <v>953</v>
      </c>
      <c r="G30" s="87"/>
      <c r="H30" s="87"/>
    </row>
    <row r="31" spans="1:8" ht="38.25">
      <c r="A31" s="142" t="s">
        <v>954</v>
      </c>
      <c r="B31" s="124" t="s">
        <v>958</v>
      </c>
      <c r="C31" s="123" t="s">
        <v>959</v>
      </c>
      <c r="D31" s="123" t="s">
        <v>960</v>
      </c>
      <c r="E31" s="124" t="s">
        <v>961</v>
      </c>
      <c r="F31" s="124" t="s">
        <v>786</v>
      </c>
      <c r="G31" s="87"/>
      <c r="H31" s="87"/>
    </row>
    <row r="32" spans="1:8" ht="38.25">
      <c r="A32" s="142" t="s">
        <v>954</v>
      </c>
      <c r="B32" s="124" t="s">
        <v>962</v>
      </c>
      <c r="C32" s="123" t="s">
        <v>963</v>
      </c>
      <c r="D32" s="123" t="s">
        <v>725</v>
      </c>
      <c r="E32" s="124"/>
      <c r="F32" s="124" t="s">
        <v>725</v>
      </c>
      <c r="G32" s="87"/>
      <c r="H32" s="87"/>
    </row>
    <row r="33" spans="1:8" ht="38.25">
      <c r="A33" s="142" t="s">
        <v>954</v>
      </c>
      <c r="B33" s="124" t="s">
        <v>964</v>
      </c>
      <c r="C33" s="123" t="s">
        <v>965</v>
      </c>
      <c r="D33" s="124" t="s">
        <v>725</v>
      </c>
      <c r="E33" s="124"/>
      <c r="F33" s="124" t="s">
        <v>725</v>
      </c>
      <c r="G33" s="87"/>
      <c r="H33" s="87"/>
    </row>
    <row r="34" spans="1:8" ht="38.25">
      <c r="A34" s="142" t="s">
        <v>954</v>
      </c>
      <c r="B34" s="124" t="s">
        <v>966</v>
      </c>
      <c r="C34" s="123" t="s">
        <v>967</v>
      </c>
      <c r="D34" s="123" t="s">
        <v>725</v>
      </c>
      <c r="E34" s="124"/>
      <c r="F34" s="124" t="s">
        <v>725</v>
      </c>
      <c r="G34" s="87"/>
      <c r="H34" s="87"/>
    </row>
    <row r="35" spans="1:8" ht="38.25">
      <c r="A35" s="142" t="s">
        <v>954</v>
      </c>
      <c r="B35" s="124" t="s">
        <v>968</v>
      </c>
      <c r="C35" s="123" t="s">
        <v>969</v>
      </c>
      <c r="D35" s="123" t="s">
        <v>725</v>
      </c>
      <c r="E35" s="124"/>
      <c r="F35" s="124" t="s">
        <v>725</v>
      </c>
      <c r="G35" s="87"/>
      <c r="H35" s="87"/>
    </row>
    <row r="36" spans="1:8" ht="38.25">
      <c r="A36" s="142" t="s">
        <v>954</v>
      </c>
      <c r="B36" s="124" t="s">
        <v>970</v>
      </c>
      <c r="C36" s="123" t="s">
        <v>971</v>
      </c>
      <c r="D36" s="124" t="s">
        <v>725</v>
      </c>
      <c r="E36" s="124"/>
      <c r="F36" s="124" t="s">
        <v>725</v>
      </c>
      <c r="G36" s="87"/>
      <c r="H36" s="87"/>
    </row>
    <row r="37" spans="1:8" ht="38.25">
      <c r="A37" s="142" t="s">
        <v>954</v>
      </c>
      <c r="B37" s="124" t="s">
        <v>946</v>
      </c>
      <c r="C37" s="123" t="s">
        <v>806</v>
      </c>
      <c r="D37" s="124" t="s">
        <v>725</v>
      </c>
      <c r="E37" s="124"/>
      <c r="F37" s="124" t="s">
        <v>725</v>
      </c>
      <c r="G37" s="87"/>
      <c r="H37" s="87"/>
    </row>
    <row r="38" spans="1:8" ht="25.5">
      <c r="A38" s="142" t="s">
        <v>746</v>
      </c>
      <c r="B38" s="124" t="s">
        <v>747</v>
      </c>
      <c r="C38" s="123" t="s">
        <v>748</v>
      </c>
      <c r="D38" s="124" t="s">
        <v>725</v>
      </c>
      <c r="E38" s="124"/>
      <c r="F38" s="124" t="s">
        <v>725</v>
      </c>
      <c r="G38" s="87"/>
      <c r="H38" s="87"/>
    </row>
    <row r="39" spans="1:8" ht="25.5">
      <c r="A39" s="142" t="s">
        <v>746</v>
      </c>
      <c r="B39" s="124" t="s">
        <v>749</v>
      </c>
      <c r="C39" s="123" t="s">
        <v>972</v>
      </c>
      <c r="D39" s="124" t="s">
        <v>725</v>
      </c>
      <c r="E39" s="124"/>
      <c r="F39" s="124" t="s">
        <v>725</v>
      </c>
      <c r="G39" s="87"/>
      <c r="H39" s="87"/>
    </row>
    <row r="40" spans="1:8" ht="25.5">
      <c r="A40" s="142" t="s">
        <v>746</v>
      </c>
      <c r="B40" s="124" t="s">
        <v>751</v>
      </c>
      <c r="C40" s="87" t="s">
        <v>752</v>
      </c>
      <c r="D40" s="124" t="s">
        <v>725</v>
      </c>
      <c r="E40" s="124"/>
      <c r="F40" s="124" t="s">
        <v>725</v>
      </c>
      <c r="G40" s="87"/>
      <c r="H40" s="87"/>
    </row>
    <row r="41" spans="1:8" ht="25.5">
      <c r="A41" s="142" t="s">
        <v>746</v>
      </c>
      <c r="B41" s="124" t="s">
        <v>753</v>
      </c>
      <c r="C41" s="87" t="s">
        <v>850</v>
      </c>
      <c r="D41" s="123" t="s">
        <v>725</v>
      </c>
      <c r="E41" s="124"/>
      <c r="F41" s="124" t="s">
        <v>725</v>
      </c>
      <c r="G41" s="87"/>
      <c r="H41" s="87"/>
    </row>
    <row r="42" spans="1:8" ht="25.5">
      <c r="A42" s="142" t="s">
        <v>746</v>
      </c>
      <c r="B42" s="124" t="s">
        <v>846</v>
      </c>
      <c r="C42" s="123" t="s">
        <v>973</v>
      </c>
      <c r="D42" s="123" t="s">
        <v>725</v>
      </c>
      <c r="E42" s="124"/>
      <c r="F42" s="124" t="s">
        <v>725</v>
      </c>
      <c r="G42" s="87"/>
      <c r="H42" s="87"/>
    </row>
    <row r="43" spans="1:8" ht="25.5">
      <c r="A43" s="142" t="s">
        <v>746</v>
      </c>
      <c r="B43" s="124" t="s">
        <v>844</v>
      </c>
      <c r="C43" s="123" t="s">
        <v>974</v>
      </c>
      <c r="D43" s="123" t="s">
        <v>725</v>
      </c>
      <c r="E43" s="124"/>
      <c r="F43" s="124" t="s">
        <v>725</v>
      </c>
      <c r="G43" s="87"/>
      <c r="H43" s="87"/>
    </row>
    <row r="44" spans="1:8" ht="25.5">
      <c r="A44" s="142" t="s">
        <v>746</v>
      </c>
      <c r="B44" s="124" t="s">
        <v>857</v>
      </c>
      <c r="C44" s="123" t="s">
        <v>858</v>
      </c>
      <c r="D44" s="123" t="s">
        <v>725</v>
      </c>
      <c r="E44" s="124"/>
      <c r="F44" s="124" t="s">
        <v>725</v>
      </c>
      <c r="G44" s="87"/>
      <c r="H44" s="87"/>
    </row>
    <row r="45" spans="1:8" ht="25.5">
      <c r="A45" s="142" t="s">
        <v>746</v>
      </c>
      <c r="B45" s="124" t="s">
        <v>975</v>
      </c>
      <c r="C45" s="123" t="s">
        <v>976</v>
      </c>
      <c r="D45" s="123" t="s">
        <v>977</v>
      </c>
      <c r="E45" s="124"/>
      <c r="F45" s="124" t="s">
        <v>725</v>
      </c>
      <c r="G45" s="87"/>
      <c r="H45" s="87"/>
    </row>
    <row r="46" spans="1:8" ht="25.5">
      <c r="A46" s="142" t="s">
        <v>746</v>
      </c>
      <c r="B46" s="124" t="s">
        <v>781</v>
      </c>
      <c r="C46" s="123" t="s">
        <v>782</v>
      </c>
      <c r="D46" s="123" t="s">
        <v>725</v>
      </c>
      <c r="E46" s="124"/>
      <c r="F46" s="124" t="s">
        <v>953</v>
      </c>
      <c r="G46" s="87"/>
      <c r="H46" s="87"/>
    </row>
    <row r="47" spans="1:8" ht="25.5">
      <c r="A47" s="142" t="s">
        <v>746</v>
      </c>
      <c r="B47" s="124" t="s">
        <v>906</v>
      </c>
      <c r="C47" s="123" t="s">
        <v>907</v>
      </c>
      <c r="D47" s="123" t="s">
        <v>725</v>
      </c>
      <c r="E47" s="124"/>
      <c r="F47" s="124" t="s">
        <v>725</v>
      </c>
      <c r="G47" s="87"/>
      <c r="H47" s="87"/>
    </row>
    <row r="48" spans="1:8" ht="25.5">
      <c r="A48" s="142" t="s">
        <v>746</v>
      </c>
      <c r="B48" s="124" t="s">
        <v>898</v>
      </c>
      <c r="C48" s="123" t="s">
        <v>978</v>
      </c>
      <c r="D48" s="123" t="s">
        <v>725</v>
      </c>
      <c r="E48" s="124"/>
      <c r="F48" s="124" t="s">
        <v>725</v>
      </c>
      <c r="G48" s="87"/>
      <c r="H48" s="87"/>
    </row>
    <row r="49" spans="1:8" ht="25.5">
      <c r="A49" s="142" t="s">
        <v>746</v>
      </c>
      <c r="B49" s="124" t="s">
        <v>902</v>
      </c>
      <c r="C49" s="123" t="s">
        <v>903</v>
      </c>
      <c r="D49" s="123" t="s">
        <v>725</v>
      </c>
      <c r="E49" s="124"/>
      <c r="F49" s="124" t="s">
        <v>725</v>
      </c>
      <c r="G49" s="87"/>
      <c r="H49" s="87"/>
    </row>
    <row r="50" spans="1:8" ht="25.5">
      <c r="A50" s="142" t="s">
        <v>746</v>
      </c>
      <c r="B50" s="143" t="s">
        <v>900</v>
      </c>
      <c r="C50" s="123" t="s">
        <v>901</v>
      </c>
      <c r="D50" s="144" t="s">
        <v>725</v>
      </c>
      <c r="E50" s="143"/>
      <c r="F50" s="124" t="s">
        <v>725</v>
      </c>
      <c r="G50" s="87"/>
      <c r="H50" s="87"/>
    </row>
    <row r="51" spans="1:8" ht="25.5">
      <c r="A51" s="142" t="s">
        <v>746</v>
      </c>
      <c r="B51" s="143" t="s">
        <v>859</v>
      </c>
      <c r="C51" s="123" t="s">
        <v>860</v>
      </c>
      <c r="D51" s="144" t="s">
        <v>725</v>
      </c>
      <c r="E51" s="143"/>
      <c r="F51" s="124" t="s">
        <v>725</v>
      </c>
      <c r="G51" s="87"/>
      <c r="H51" s="87"/>
    </row>
    <row r="52" spans="1:8" ht="25.5">
      <c r="A52" s="142" t="s">
        <v>746</v>
      </c>
      <c r="B52" s="143" t="s">
        <v>904</v>
      </c>
      <c r="C52" s="123" t="s">
        <v>905</v>
      </c>
      <c r="D52" s="144" t="s">
        <v>725</v>
      </c>
      <c r="E52" s="143"/>
      <c r="F52" s="124" t="s">
        <v>725</v>
      </c>
      <c r="G52" s="87"/>
      <c r="H52" s="87"/>
    </row>
    <row r="53" spans="1:8" ht="25.5">
      <c r="A53" s="142" t="s">
        <v>746</v>
      </c>
      <c r="B53" s="143" t="s">
        <v>908</v>
      </c>
      <c r="C53" s="123" t="s">
        <v>979</v>
      </c>
      <c r="D53" s="144" t="s">
        <v>725</v>
      </c>
      <c r="E53" s="143"/>
      <c r="F53" s="124" t="s">
        <v>725</v>
      </c>
      <c r="G53" s="87"/>
      <c r="H53" s="87"/>
    </row>
    <row r="54" spans="1:8" ht="25.5">
      <c r="A54" s="142" t="s">
        <v>746</v>
      </c>
      <c r="B54" s="143" t="s">
        <v>829</v>
      </c>
      <c r="C54" s="123" t="s">
        <v>980</v>
      </c>
      <c r="D54" s="144" t="s">
        <v>725</v>
      </c>
      <c r="E54" s="143"/>
      <c r="F54" s="124" t="s">
        <v>725</v>
      </c>
      <c r="G54" s="87"/>
      <c r="H54" s="87"/>
    </row>
    <row r="55" spans="1:8" ht="25.5">
      <c r="A55" s="142" t="s">
        <v>746</v>
      </c>
      <c r="B55" s="143" t="s">
        <v>878</v>
      </c>
      <c r="C55" s="123" t="s">
        <v>879</v>
      </c>
      <c r="D55" s="144" t="s">
        <v>725</v>
      </c>
      <c r="E55" s="143"/>
      <c r="F55" s="124" t="s">
        <v>725</v>
      </c>
      <c r="G55" s="87"/>
      <c r="H55" s="87"/>
    </row>
    <row r="56" spans="1:8" ht="25.5">
      <c r="A56" s="142" t="s">
        <v>746</v>
      </c>
      <c r="B56" s="143" t="s">
        <v>910</v>
      </c>
      <c r="C56" s="123" t="s">
        <v>981</v>
      </c>
      <c r="D56" s="184" t="s">
        <v>725</v>
      </c>
      <c r="E56" s="185"/>
      <c r="F56" s="184" t="s">
        <v>725</v>
      </c>
      <c r="G56" s="87"/>
      <c r="H56" s="87"/>
    </row>
    <row r="57" spans="1:8" ht="25.5">
      <c r="A57" s="142" t="s">
        <v>746</v>
      </c>
      <c r="B57" s="143" t="s">
        <v>982</v>
      </c>
      <c r="C57" s="123" t="s">
        <v>983</v>
      </c>
      <c r="D57" s="184" t="s">
        <v>725</v>
      </c>
      <c r="E57" s="185"/>
      <c r="F57" s="184" t="s">
        <v>725</v>
      </c>
      <c r="G57" s="87"/>
      <c r="H57" s="87"/>
    </row>
    <row r="58" spans="1:8">
      <c r="A58" s="142" t="s">
        <v>300</v>
      </c>
      <c r="B58" s="142" t="s">
        <v>984</v>
      </c>
      <c r="C58" s="87" t="s">
        <v>985</v>
      </c>
      <c r="D58" s="153" t="s">
        <v>986</v>
      </c>
      <c r="E58" s="152"/>
      <c r="F58" s="153" t="s">
        <v>804</v>
      </c>
      <c r="G58" s="87"/>
      <c r="H58" s="87"/>
    </row>
    <row r="59" spans="1:8">
      <c r="A59" s="142" t="s">
        <v>300</v>
      </c>
      <c r="B59" s="142" t="s">
        <v>987</v>
      </c>
      <c r="C59" s="87" t="s">
        <v>882</v>
      </c>
      <c r="D59" s="153" t="s">
        <v>725</v>
      </c>
      <c r="E59" s="152"/>
      <c r="F59" s="153" t="s">
        <v>725</v>
      </c>
      <c r="G59" s="87"/>
      <c r="H59" s="87"/>
    </row>
    <row r="60" spans="1:8">
      <c r="A60" s="142" t="s">
        <v>300</v>
      </c>
      <c r="B60" s="142" t="s">
        <v>988</v>
      </c>
      <c r="C60" s="87" t="s">
        <v>989</v>
      </c>
      <c r="D60" s="153" t="s">
        <v>725</v>
      </c>
      <c r="E60" s="152"/>
      <c r="F60" s="153" t="s">
        <v>725</v>
      </c>
      <c r="G60" s="87"/>
      <c r="H60" s="87"/>
    </row>
    <row r="61" spans="1:8">
      <c r="A61" s="142" t="s">
        <v>300</v>
      </c>
      <c r="B61" s="142" t="s">
        <v>990</v>
      </c>
      <c r="C61" s="87" t="s">
        <v>991</v>
      </c>
      <c r="D61" s="153" t="s">
        <v>725</v>
      </c>
      <c r="E61" s="152"/>
      <c r="F61" s="153" t="s">
        <v>725</v>
      </c>
      <c r="G61" s="87"/>
      <c r="H61" s="87"/>
    </row>
    <row r="62" spans="1:8">
      <c r="A62" s="142" t="s">
        <v>300</v>
      </c>
      <c r="B62" s="142" t="s">
        <v>992</v>
      </c>
      <c r="C62" s="87" t="s">
        <v>993</v>
      </c>
      <c r="D62" s="153" t="s">
        <v>725</v>
      </c>
      <c r="E62" s="152"/>
      <c r="F62" s="153" t="s">
        <v>725</v>
      </c>
      <c r="G62" s="87"/>
      <c r="H62" s="87"/>
    </row>
    <row r="63" spans="1:8">
      <c r="A63" s="142" t="s">
        <v>300</v>
      </c>
      <c r="B63" s="142" t="s">
        <v>994</v>
      </c>
      <c r="C63" s="87" t="s">
        <v>995</v>
      </c>
      <c r="D63" s="153" t="s">
        <v>725</v>
      </c>
      <c r="E63" s="152"/>
      <c r="F63" s="153" t="s">
        <v>725</v>
      </c>
      <c r="G63" s="87"/>
      <c r="H63" s="87"/>
    </row>
    <row r="64" spans="1:8">
      <c r="A64" s="142" t="s">
        <v>300</v>
      </c>
      <c r="B64" s="142" t="s">
        <v>922</v>
      </c>
      <c r="C64" s="87" t="s">
        <v>923</v>
      </c>
      <c r="D64" s="153" t="s">
        <v>725</v>
      </c>
      <c r="E64" s="152"/>
      <c r="F64" s="153" t="s">
        <v>725</v>
      </c>
      <c r="G64" s="87"/>
      <c r="H64" s="87"/>
    </row>
    <row r="65" spans="1:8">
      <c r="A65" s="142" t="s">
        <v>300</v>
      </c>
      <c r="B65" s="142" t="s">
        <v>924</v>
      </c>
      <c r="C65" s="87" t="s">
        <v>564</v>
      </c>
      <c r="D65" s="184" t="s">
        <v>925</v>
      </c>
      <c r="E65" s="152"/>
      <c r="F65" s="153" t="s">
        <v>786</v>
      </c>
      <c r="G65" s="87"/>
      <c r="H65" s="87"/>
    </row>
    <row r="66" spans="1:8">
      <c r="A66" s="142" t="s">
        <v>300</v>
      </c>
      <c r="B66" s="142" t="s">
        <v>926</v>
      </c>
      <c r="C66" s="87" t="s">
        <v>802</v>
      </c>
      <c r="D66" s="185" t="s">
        <v>927</v>
      </c>
      <c r="E66" s="152"/>
      <c r="F66" s="153" t="s">
        <v>804</v>
      </c>
      <c r="G66" s="87"/>
      <c r="H66" s="87"/>
    </row>
    <row r="67" spans="1:8">
      <c r="A67" s="142" t="s">
        <v>300</v>
      </c>
      <c r="B67" s="142" t="s">
        <v>928</v>
      </c>
      <c r="C67" s="87" t="s">
        <v>784</v>
      </c>
      <c r="D67" s="184" t="s">
        <v>929</v>
      </c>
      <c r="E67" s="152"/>
      <c r="F67" s="153" t="s">
        <v>786</v>
      </c>
      <c r="G67" s="87"/>
      <c r="H67" s="87"/>
    </row>
    <row r="68" spans="1:8">
      <c r="A68" s="142" t="s">
        <v>300</v>
      </c>
      <c r="B68" s="142" t="s">
        <v>996</v>
      </c>
      <c r="C68" s="87" t="s">
        <v>885</v>
      </c>
      <c r="D68" s="153" t="s">
        <v>725</v>
      </c>
      <c r="E68" s="152"/>
      <c r="F68" s="153" t="s">
        <v>725</v>
      </c>
      <c r="G68" s="87"/>
      <c r="H68" s="87"/>
    </row>
    <row r="69" spans="1:8">
      <c r="A69" s="142" t="s">
        <v>300</v>
      </c>
      <c r="B69" s="142" t="s">
        <v>997</v>
      </c>
      <c r="C69" s="87" t="s">
        <v>998</v>
      </c>
      <c r="D69" s="153" t="s">
        <v>725</v>
      </c>
      <c r="E69" s="152"/>
      <c r="F69" s="153" t="s">
        <v>725</v>
      </c>
      <c r="G69" s="87"/>
      <c r="H69" s="87"/>
    </row>
    <row r="70" spans="1:8">
      <c r="A70" s="142" t="s">
        <v>300</v>
      </c>
      <c r="B70" s="142" t="s">
        <v>999</v>
      </c>
      <c r="C70" s="87" t="s">
        <v>893</v>
      </c>
      <c r="D70" s="153" t="s">
        <v>725</v>
      </c>
      <c r="E70" s="152"/>
      <c r="F70" s="153" t="s">
        <v>725</v>
      </c>
      <c r="G70" s="87"/>
      <c r="H70" s="87"/>
    </row>
    <row r="71" spans="1:8">
      <c r="A71" s="142" t="s">
        <v>300</v>
      </c>
      <c r="B71" s="142" t="s">
        <v>1000</v>
      </c>
      <c r="C71" s="87" t="s">
        <v>887</v>
      </c>
      <c r="D71" s="153" t="s">
        <v>725</v>
      </c>
      <c r="E71" s="152"/>
      <c r="F71" s="153" t="s">
        <v>725</v>
      </c>
      <c r="G71" s="87"/>
      <c r="H71" s="87"/>
    </row>
    <row r="72" spans="1:8">
      <c r="A72" s="142" t="s">
        <v>300</v>
      </c>
      <c r="B72" s="142" t="s">
        <v>933</v>
      </c>
      <c r="C72" s="87" t="s">
        <v>798</v>
      </c>
      <c r="D72" s="153" t="s">
        <v>725</v>
      </c>
      <c r="E72" s="152"/>
      <c r="F72" s="153" t="s">
        <v>725</v>
      </c>
      <c r="G72" s="87"/>
      <c r="H72" s="87"/>
    </row>
    <row r="73" spans="1:8">
      <c r="A73" s="142" t="s">
        <v>300</v>
      </c>
      <c r="B73" s="142" t="s">
        <v>1001</v>
      </c>
      <c r="C73" s="87" t="s">
        <v>1002</v>
      </c>
      <c r="D73" s="153" t="s">
        <v>725</v>
      </c>
      <c r="E73" s="152"/>
      <c r="F73" s="153" t="s">
        <v>725</v>
      </c>
      <c r="G73" s="87"/>
      <c r="H73" s="87"/>
    </row>
    <row r="74" spans="1:8">
      <c r="A74" s="142" t="s">
        <v>300</v>
      </c>
      <c r="B74" s="142" t="s">
        <v>1003</v>
      </c>
      <c r="C74" s="87" t="s">
        <v>895</v>
      </c>
      <c r="D74" s="153" t="s">
        <v>725</v>
      </c>
      <c r="E74" s="152"/>
      <c r="F74" s="153" t="s">
        <v>725</v>
      </c>
      <c r="G74" s="87"/>
      <c r="H74" s="87"/>
    </row>
    <row r="75" spans="1:8">
      <c r="A75" s="142" t="s">
        <v>300</v>
      </c>
      <c r="B75" s="142" t="s">
        <v>1004</v>
      </c>
      <c r="C75" s="87" t="s">
        <v>897</v>
      </c>
      <c r="D75" s="153" t="s">
        <v>725</v>
      </c>
      <c r="E75" s="152"/>
      <c r="F75" s="153" t="s">
        <v>725</v>
      </c>
      <c r="G75" s="87"/>
      <c r="H75" s="87"/>
    </row>
    <row r="76" spans="1:8">
      <c r="A76" s="142" t="s">
        <v>300</v>
      </c>
      <c r="B76" s="142" t="s">
        <v>1005</v>
      </c>
      <c r="C76" s="87" t="s">
        <v>1006</v>
      </c>
      <c r="D76" s="153" t="s">
        <v>725</v>
      </c>
      <c r="E76" s="152"/>
      <c r="F76" s="153" t="s">
        <v>725</v>
      </c>
      <c r="G76" s="87"/>
      <c r="H76" s="87"/>
    </row>
    <row r="77" spans="1:8">
      <c r="A77" s="142" t="s">
        <v>300</v>
      </c>
      <c r="B77" s="142" t="s">
        <v>1007</v>
      </c>
      <c r="C77" s="87" t="s">
        <v>1008</v>
      </c>
      <c r="D77" s="153" t="s">
        <v>725</v>
      </c>
      <c r="E77" s="152"/>
      <c r="F77" s="153" t="s">
        <v>725</v>
      </c>
      <c r="G77" s="87"/>
      <c r="H77" s="87"/>
    </row>
    <row r="78" spans="1:8">
      <c r="A78" s="142" t="s">
        <v>300</v>
      </c>
      <c r="B78" s="142" t="s">
        <v>1009</v>
      </c>
      <c r="C78" s="87" t="s">
        <v>1010</v>
      </c>
      <c r="D78" s="153" t="s">
        <v>725</v>
      </c>
      <c r="E78" s="152"/>
      <c r="F78" s="153" t="s">
        <v>725</v>
      </c>
      <c r="G78" s="87"/>
      <c r="H78" s="87"/>
    </row>
    <row r="79" spans="1:8">
      <c r="A79" s="152" t="s">
        <v>300</v>
      </c>
      <c r="B79" s="152" t="s">
        <v>1011</v>
      </c>
      <c r="C79" s="153" t="s">
        <v>1012</v>
      </c>
      <c r="D79" s="152" t="s">
        <v>1013</v>
      </c>
      <c r="E79" s="152"/>
      <c r="F79" s="153" t="s">
        <v>804</v>
      </c>
      <c r="G79" s="87"/>
      <c r="H79" s="87"/>
    </row>
    <row r="80" spans="1:8">
      <c r="A80" s="142" t="s">
        <v>300</v>
      </c>
      <c r="B80" s="142" t="s">
        <v>1014</v>
      </c>
      <c r="C80" s="87" t="s">
        <v>842</v>
      </c>
      <c r="D80" s="153" t="s">
        <v>1015</v>
      </c>
      <c r="E80" s="152"/>
      <c r="F80" s="153" t="s">
        <v>786</v>
      </c>
      <c r="G80" s="87"/>
      <c r="H80" s="87"/>
    </row>
    <row r="81" spans="1:8" ht="25.5">
      <c r="A81" s="142" t="s">
        <v>300</v>
      </c>
      <c r="B81" s="142" t="s">
        <v>1016</v>
      </c>
      <c r="C81" s="87" t="s">
        <v>1017</v>
      </c>
      <c r="D81" s="153" t="s">
        <v>1018</v>
      </c>
      <c r="E81" s="152" t="s">
        <v>1019</v>
      </c>
      <c r="F81" s="153" t="s">
        <v>804</v>
      </c>
      <c r="G81" s="87"/>
      <c r="H81" s="87"/>
    </row>
    <row r="82" spans="1:8">
      <c r="A82" s="142" t="s">
        <v>300</v>
      </c>
      <c r="B82" s="142" t="s">
        <v>1020</v>
      </c>
      <c r="C82" s="87" t="s">
        <v>1021</v>
      </c>
      <c r="D82" s="153" t="s">
        <v>725</v>
      </c>
      <c r="E82" s="152"/>
      <c r="F82" s="153" t="s">
        <v>725</v>
      </c>
      <c r="G82" s="87"/>
      <c r="H82" s="87"/>
    </row>
    <row r="83" spans="1:8">
      <c r="A83" s="142" t="s">
        <v>300</v>
      </c>
      <c r="B83" s="142" t="s">
        <v>1022</v>
      </c>
      <c r="C83" s="87" t="s">
        <v>1023</v>
      </c>
      <c r="D83" s="153" t="s">
        <v>725</v>
      </c>
      <c r="E83" s="152"/>
      <c r="F83" s="153" t="s">
        <v>725</v>
      </c>
      <c r="G83" s="87"/>
      <c r="H83" s="87"/>
    </row>
    <row r="84" spans="1:8">
      <c r="A84" s="142" t="s">
        <v>300</v>
      </c>
      <c r="B84" s="142" t="s">
        <v>1024</v>
      </c>
      <c r="C84" s="87" t="s">
        <v>1025</v>
      </c>
      <c r="D84" s="153" t="s">
        <v>725</v>
      </c>
      <c r="E84" s="152"/>
      <c r="F84" s="153" t="s">
        <v>725</v>
      </c>
      <c r="G84" s="87"/>
      <c r="H84" s="87"/>
    </row>
    <row r="85" spans="1:8">
      <c r="A85" s="142" t="s">
        <v>300</v>
      </c>
      <c r="B85" s="142" t="s">
        <v>1026</v>
      </c>
      <c r="C85" s="87" t="s">
        <v>1027</v>
      </c>
      <c r="D85" s="153" t="s">
        <v>725</v>
      </c>
      <c r="E85" s="152"/>
      <c r="F85" s="153" t="s">
        <v>725</v>
      </c>
      <c r="G85" s="87"/>
      <c r="H85" s="87"/>
    </row>
    <row r="86" spans="1:8">
      <c r="A86" s="142" t="s">
        <v>300</v>
      </c>
      <c r="B86" s="142" t="s">
        <v>1028</v>
      </c>
      <c r="C86" s="87" t="s">
        <v>1029</v>
      </c>
      <c r="D86" s="153" t="s">
        <v>1030</v>
      </c>
      <c r="E86" s="152"/>
      <c r="F86" s="153" t="s">
        <v>804</v>
      </c>
      <c r="G86" s="87"/>
      <c r="H86" s="87"/>
    </row>
    <row r="87" spans="1:8">
      <c r="A87" s="142" t="s">
        <v>300</v>
      </c>
      <c r="B87" s="142" t="s">
        <v>1031</v>
      </c>
      <c r="C87" s="87" t="s">
        <v>1032</v>
      </c>
      <c r="D87" s="153" t="s">
        <v>1033</v>
      </c>
      <c r="E87" s="152"/>
      <c r="F87" s="153" t="s">
        <v>804</v>
      </c>
      <c r="G87" s="87"/>
      <c r="H87" s="87"/>
    </row>
    <row r="88" spans="1:8">
      <c r="A88" s="142" t="s">
        <v>300</v>
      </c>
      <c r="B88" s="142" t="s">
        <v>1034</v>
      </c>
      <c r="C88" s="87" t="s">
        <v>1035</v>
      </c>
      <c r="D88" s="153" t="s">
        <v>1036</v>
      </c>
      <c r="E88" s="152"/>
      <c r="F88" s="153" t="s">
        <v>804</v>
      </c>
      <c r="G88" s="87"/>
      <c r="H88" s="87"/>
    </row>
    <row r="89" spans="1:8">
      <c r="A89" s="142" t="s">
        <v>300</v>
      </c>
      <c r="B89" s="142" t="s">
        <v>1037</v>
      </c>
      <c r="C89" s="87" t="s">
        <v>1038</v>
      </c>
      <c r="D89" s="153" t="s">
        <v>725</v>
      </c>
      <c r="E89" s="152"/>
      <c r="F89" s="153" t="s">
        <v>725</v>
      </c>
      <c r="G89" s="87"/>
      <c r="H89" s="87"/>
    </row>
    <row r="90" spans="1:8">
      <c r="A90" s="142" t="s">
        <v>300</v>
      </c>
      <c r="B90" s="142" t="s">
        <v>1039</v>
      </c>
      <c r="C90" s="87" t="s">
        <v>1040</v>
      </c>
      <c r="D90" s="153" t="s">
        <v>725</v>
      </c>
      <c r="E90" s="152"/>
      <c r="F90" s="153" t="s">
        <v>725</v>
      </c>
      <c r="G90" s="87"/>
      <c r="H90" s="87"/>
    </row>
    <row r="91" spans="1:8">
      <c r="A91" s="142" t="s">
        <v>300</v>
      </c>
      <c r="B91" s="142" t="s">
        <v>1041</v>
      </c>
      <c r="C91" s="87" t="s">
        <v>1042</v>
      </c>
      <c r="D91" s="153" t="s">
        <v>725</v>
      </c>
      <c r="E91" s="152"/>
      <c r="F91" s="153" t="s">
        <v>725</v>
      </c>
      <c r="G91" s="87"/>
      <c r="H91" s="87"/>
    </row>
    <row r="92" spans="1:8">
      <c r="A92" s="142" t="s">
        <v>300</v>
      </c>
      <c r="B92" s="142" t="s">
        <v>1043</v>
      </c>
      <c r="C92" s="87" t="s">
        <v>889</v>
      </c>
      <c r="D92" s="153" t="s">
        <v>725</v>
      </c>
      <c r="E92" s="152"/>
      <c r="F92" s="153" t="s">
        <v>725</v>
      </c>
      <c r="G92" s="87"/>
      <c r="H92" s="87"/>
    </row>
    <row r="93" spans="1:8">
      <c r="A93" s="142" t="s">
        <v>300</v>
      </c>
      <c r="B93" s="142" t="s">
        <v>1044</v>
      </c>
      <c r="C93" s="87" t="s">
        <v>1045</v>
      </c>
      <c r="D93" s="153" t="s">
        <v>1018</v>
      </c>
      <c r="E93" s="152" t="s">
        <v>1046</v>
      </c>
      <c r="F93" s="153" t="s">
        <v>786</v>
      </c>
      <c r="G93" s="87"/>
      <c r="H93" s="87"/>
    </row>
    <row r="94" spans="1:8">
      <c r="A94" s="142" t="s">
        <v>300</v>
      </c>
      <c r="B94" s="142" t="s">
        <v>1047</v>
      </c>
      <c r="C94" s="87" t="s">
        <v>891</v>
      </c>
      <c r="D94" s="153" t="s">
        <v>1048</v>
      </c>
      <c r="E94" s="152"/>
      <c r="F94" s="153" t="s">
        <v>786</v>
      </c>
      <c r="G94" s="87"/>
      <c r="H94" s="87"/>
    </row>
    <row r="95" spans="1:8">
      <c r="A95" s="142" t="s">
        <v>300</v>
      </c>
      <c r="B95" s="142" t="s">
        <v>945</v>
      </c>
      <c r="C95" s="87" t="s">
        <v>800</v>
      </c>
      <c r="D95" s="153" t="s">
        <v>725</v>
      </c>
      <c r="E95" s="152"/>
      <c r="F95" s="153" t="s">
        <v>725</v>
      </c>
      <c r="G95" s="87"/>
      <c r="H95" s="87"/>
    </row>
    <row r="96" spans="1:8">
      <c r="A96" s="181" t="s">
        <v>300</v>
      </c>
      <c r="B96" s="181" t="s">
        <v>1049</v>
      </c>
      <c r="C96" s="88" t="s">
        <v>1050</v>
      </c>
      <c r="D96" s="186" t="s">
        <v>1051</v>
      </c>
      <c r="E96" s="187"/>
      <c r="F96" s="186" t="s">
        <v>786</v>
      </c>
      <c r="G96" s="87"/>
      <c r="H96" s="87"/>
    </row>
    <row r="97" spans="1:8">
      <c r="A97" s="141" t="s">
        <v>300</v>
      </c>
      <c r="B97" s="141" t="s">
        <v>946</v>
      </c>
      <c r="C97" s="85" t="s">
        <v>806</v>
      </c>
      <c r="D97" s="188" t="s">
        <v>725</v>
      </c>
      <c r="E97" s="189"/>
      <c r="F97" s="188" t="s">
        <v>725</v>
      </c>
      <c r="G97" s="121"/>
      <c r="H97" s="87"/>
    </row>
    <row r="98" spans="1:8" s="29" customFormat="1" ht="127.5">
      <c r="A98" s="154" t="s">
        <v>746</v>
      </c>
      <c r="B98" s="36" t="s">
        <v>982</v>
      </c>
      <c r="C98" s="36" t="s">
        <v>1052</v>
      </c>
      <c r="D98" s="37" t="s">
        <v>1053</v>
      </c>
      <c r="E98" s="37" t="s">
        <v>1054</v>
      </c>
      <c r="F98" s="37" t="s">
        <v>1055</v>
      </c>
      <c r="G98" s="176" t="s">
        <v>1056</v>
      </c>
      <c r="H98" s="35"/>
    </row>
    <row r="99" spans="1:8" s="29" customFormat="1" ht="38.25">
      <c r="A99" s="35" t="s">
        <v>1057</v>
      </c>
      <c r="B99" s="179" t="s">
        <v>1058</v>
      </c>
      <c r="C99" s="179" t="s">
        <v>1059</v>
      </c>
      <c r="D99" s="180" t="s">
        <v>1060</v>
      </c>
      <c r="E99" s="180" t="s">
        <v>1061</v>
      </c>
      <c r="F99" s="180" t="s">
        <v>804</v>
      </c>
      <c r="G99" s="176" t="s">
        <v>1056</v>
      </c>
      <c r="H99" s="35"/>
    </row>
    <row r="100" spans="1:8" s="29" customFormat="1" ht="51">
      <c r="A100" s="35" t="s">
        <v>1057</v>
      </c>
      <c r="B100" s="179" t="s">
        <v>1062</v>
      </c>
      <c r="C100" s="179" t="s">
        <v>1063</v>
      </c>
      <c r="D100" s="180" t="s">
        <v>1064</v>
      </c>
      <c r="E100" s="180" t="s">
        <v>1065</v>
      </c>
      <c r="F100" s="180" t="s">
        <v>804</v>
      </c>
      <c r="G100" s="176" t="s">
        <v>1056</v>
      </c>
      <c r="H100" s="35"/>
    </row>
    <row r="101" spans="1:8" s="29" customFormat="1" ht="48" customHeight="1">
      <c r="A101" s="35" t="s">
        <v>1057</v>
      </c>
      <c r="B101" s="179" t="s">
        <v>1066</v>
      </c>
      <c r="C101" s="182" t="s">
        <v>698</v>
      </c>
      <c r="D101" s="180" t="s">
        <v>1067</v>
      </c>
      <c r="E101" s="180" t="s">
        <v>1068</v>
      </c>
      <c r="F101" s="180" t="s">
        <v>804</v>
      </c>
      <c r="G101" s="176" t="s">
        <v>1056</v>
      </c>
      <c r="H101" s="35"/>
    </row>
    <row r="102" spans="1:8" s="29" customFormat="1" ht="100.5" customHeight="1">
      <c r="A102" s="35" t="s">
        <v>1057</v>
      </c>
      <c r="B102" s="36" t="s">
        <v>1069</v>
      </c>
      <c r="C102" s="183" t="s">
        <v>1070</v>
      </c>
      <c r="D102" s="37" t="s">
        <v>1071</v>
      </c>
      <c r="E102" s="37" t="s">
        <v>1072</v>
      </c>
      <c r="F102" s="37" t="s">
        <v>1073</v>
      </c>
      <c r="G102" s="176" t="s">
        <v>1056</v>
      </c>
      <c r="H102" s="35"/>
    </row>
  </sheetData>
  <autoFilter ref="A6:I97" xr:uid="{138F2180-2655-449E-85D9-4BDAAE5D3D16}"/>
  <mergeCells count="2">
    <mergeCell ref="C2:I2"/>
    <mergeCell ref="C4:I4"/>
  </mergeCells>
  <hyperlinks>
    <hyperlink ref="B1" location="Summary!A1" display="Summary" xr:uid="{C39D2FBF-33D1-47CE-8B9C-C378BBA7540F}"/>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69F6-99A6-40C5-9BE7-8FE4B0B0B1BC}">
  <dimension ref="A1:N159"/>
  <sheetViews>
    <sheetView workbookViewId="0">
      <selection activeCell="D5" sqref="D5"/>
    </sheetView>
  </sheetViews>
  <sheetFormatPr defaultRowHeight="15"/>
  <cols>
    <col min="1" max="1" width="18.7109375" bestFit="1" customWidth="1"/>
    <col min="2" max="2" width="28.28515625" bestFit="1" customWidth="1"/>
    <col min="3" max="3" width="26.28515625" bestFit="1" customWidth="1"/>
    <col min="4" max="4" width="29.140625" customWidth="1"/>
    <col min="5" max="5" width="40.42578125" customWidth="1"/>
    <col min="6" max="6" width="30.28515625" customWidth="1"/>
    <col min="7" max="8" width="26.42578125" customWidth="1"/>
  </cols>
  <sheetData>
    <row r="1" spans="1:14">
      <c r="B1" s="47" t="s">
        <v>773</v>
      </c>
      <c r="C1" s="44"/>
      <c r="D1" s="44"/>
      <c r="E1" s="44"/>
      <c r="F1" s="44"/>
      <c r="G1" s="44"/>
      <c r="H1" s="44"/>
    </row>
    <row r="2" spans="1:14">
      <c r="B2" s="40" t="s">
        <v>1074</v>
      </c>
      <c r="C2" s="44"/>
      <c r="D2" s="44"/>
      <c r="E2" s="44"/>
      <c r="F2" s="44"/>
      <c r="G2" s="44"/>
      <c r="H2" s="44"/>
    </row>
    <row r="3" spans="1:14">
      <c r="B3" s="40" t="s">
        <v>1075</v>
      </c>
      <c r="C3" s="44" t="str">
        <f>Summary!O127</f>
        <v>This table records information about a Device. It is useful for Clients as it allows them to view information of existing Device in C2M. Where they're located or if they're installed at a Service Point.</v>
      </c>
      <c r="D3" s="44"/>
      <c r="E3" s="44"/>
      <c r="F3" s="44"/>
      <c r="G3" s="44"/>
      <c r="H3" s="44"/>
      <c r="L3" s="243" t="s">
        <v>1076</v>
      </c>
    </row>
    <row r="4" spans="1:14">
      <c r="B4" s="40" t="s">
        <v>1077</v>
      </c>
      <c r="C4" s="44" t="str">
        <f>Summary!I127</f>
        <v>Lennice</v>
      </c>
      <c r="D4" s="44"/>
      <c r="E4" s="44"/>
      <c r="F4" s="44"/>
      <c r="G4" s="44"/>
      <c r="H4" s="44"/>
      <c r="L4" s="243" t="s">
        <v>1078</v>
      </c>
      <c r="N4" t="s">
        <v>1079</v>
      </c>
    </row>
    <row r="5" spans="1:14">
      <c r="B5" s="44"/>
      <c r="C5" s="44"/>
      <c r="D5" s="44"/>
      <c r="E5" s="44"/>
      <c r="F5" s="44"/>
      <c r="G5" s="44"/>
      <c r="H5" s="44"/>
      <c r="L5" s="243" t="s">
        <v>1080</v>
      </c>
      <c r="N5" t="s">
        <v>1079</v>
      </c>
    </row>
    <row r="6" spans="1:14">
      <c r="A6" s="229" t="s">
        <v>550</v>
      </c>
      <c r="B6" s="65" t="s">
        <v>775</v>
      </c>
      <c r="C6" s="65" t="s">
        <v>776</v>
      </c>
      <c r="D6" s="73" t="s">
        <v>1081</v>
      </c>
      <c r="E6" s="66" t="s">
        <v>778</v>
      </c>
      <c r="F6" s="66" t="s">
        <v>779</v>
      </c>
      <c r="G6" s="66" t="s">
        <v>568</v>
      </c>
      <c r="H6" s="66" t="s">
        <v>780</v>
      </c>
      <c r="L6" s="243" t="s">
        <v>1082</v>
      </c>
      <c r="N6" t="s">
        <v>1079</v>
      </c>
    </row>
    <row r="7" spans="1:14">
      <c r="A7" s="3" t="s">
        <v>629</v>
      </c>
      <c r="B7" s="137" t="s">
        <v>1083</v>
      </c>
      <c r="C7" s="25" t="s">
        <v>862</v>
      </c>
      <c r="D7" s="25" t="s">
        <v>725</v>
      </c>
      <c r="E7" s="25"/>
      <c r="F7" s="25" t="s">
        <v>725</v>
      </c>
      <c r="G7" s="25"/>
      <c r="H7" s="25"/>
      <c r="L7" s="243" t="s">
        <v>1084</v>
      </c>
      <c r="N7" t="s">
        <v>1079</v>
      </c>
    </row>
    <row r="8" spans="1:14" ht="25.5">
      <c r="A8" s="3" t="s">
        <v>629</v>
      </c>
      <c r="B8" s="137" t="s">
        <v>1085</v>
      </c>
      <c r="C8" s="25" t="s">
        <v>866</v>
      </c>
      <c r="D8" s="25" t="s">
        <v>1086</v>
      </c>
      <c r="E8" s="25"/>
      <c r="F8" s="25" t="s">
        <v>786</v>
      </c>
      <c r="G8" s="25"/>
      <c r="H8" s="25"/>
      <c r="L8" s="243" t="s">
        <v>1087</v>
      </c>
      <c r="N8" t="s">
        <v>1079</v>
      </c>
    </row>
    <row r="9" spans="1:14">
      <c r="A9" s="3" t="s">
        <v>629</v>
      </c>
      <c r="B9" s="137" t="s">
        <v>928</v>
      </c>
      <c r="C9" s="25" t="s">
        <v>784</v>
      </c>
      <c r="D9" s="25" t="s">
        <v>912</v>
      </c>
      <c r="E9" s="25"/>
      <c r="F9" s="25" t="s">
        <v>786</v>
      </c>
      <c r="G9" s="25"/>
      <c r="H9" s="25"/>
      <c r="L9" s="243" t="s">
        <v>1088</v>
      </c>
    </row>
    <row r="10" spans="1:14">
      <c r="A10" s="3" t="s">
        <v>629</v>
      </c>
      <c r="B10" s="137" t="s">
        <v>1089</v>
      </c>
      <c r="C10" s="25" t="s">
        <v>1090</v>
      </c>
      <c r="D10" s="25" t="s">
        <v>1091</v>
      </c>
      <c r="E10" s="25"/>
      <c r="F10" s="25" t="s">
        <v>828</v>
      </c>
      <c r="G10" s="25"/>
      <c r="H10" s="25"/>
      <c r="L10" s="243" t="s">
        <v>1092</v>
      </c>
    </row>
    <row r="11" spans="1:14">
      <c r="A11" s="3" t="s">
        <v>629</v>
      </c>
      <c r="B11" s="137" t="s">
        <v>1093</v>
      </c>
      <c r="C11" s="25" t="s">
        <v>1094</v>
      </c>
      <c r="D11" s="25" t="s">
        <v>1095</v>
      </c>
      <c r="E11" s="25"/>
      <c r="F11" s="25" t="s">
        <v>828</v>
      </c>
      <c r="G11" s="25"/>
      <c r="H11" s="25"/>
      <c r="L11" t="s">
        <v>1096</v>
      </c>
      <c r="N11" t="s">
        <v>1097</v>
      </c>
    </row>
    <row r="12" spans="1:14">
      <c r="A12" s="3" t="s">
        <v>629</v>
      </c>
      <c r="B12" s="137" t="s">
        <v>1098</v>
      </c>
      <c r="C12" s="25" t="s">
        <v>1099</v>
      </c>
      <c r="D12" s="25" t="s">
        <v>1100</v>
      </c>
      <c r="E12" s="25"/>
      <c r="F12" s="25" t="s">
        <v>828</v>
      </c>
      <c r="G12" s="25"/>
      <c r="H12" s="25"/>
    </row>
    <row r="13" spans="1:14">
      <c r="A13" s="3" t="s">
        <v>629</v>
      </c>
      <c r="B13" s="137" t="s">
        <v>1101</v>
      </c>
      <c r="C13" s="25" t="s">
        <v>1102</v>
      </c>
      <c r="D13" s="25" t="s">
        <v>1103</v>
      </c>
      <c r="E13" s="25"/>
      <c r="F13" s="25" t="s">
        <v>828</v>
      </c>
      <c r="G13" s="25"/>
      <c r="H13" s="25"/>
    </row>
    <row r="14" spans="1:14">
      <c r="A14" s="3" t="s">
        <v>629</v>
      </c>
      <c r="B14" s="137" t="s">
        <v>924</v>
      </c>
      <c r="C14" s="25" t="s">
        <v>564</v>
      </c>
      <c r="D14" s="25" t="s">
        <v>913</v>
      </c>
      <c r="E14" s="25"/>
      <c r="F14" s="25" t="s">
        <v>786</v>
      </c>
      <c r="G14" s="25"/>
      <c r="H14" s="25"/>
    </row>
    <row r="15" spans="1:14">
      <c r="A15" s="3" t="s">
        <v>629</v>
      </c>
      <c r="B15" s="137" t="s">
        <v>945</v>
      </c>
      <c r="C15" s="25" t="s">
        <v>800</v>
      </c>
      <c r="D15" s="25" t="s">
        <v>725</v>
      </c>
      <c r="E15" s="25"/>
      <c r="F15" s="25" t="s">
        <v>725</v>
      </c>
      <c r="G15" s="25"/>
      <c r="H15" s="25"/>
      <c r="L15" t="s">
        <v>1104</v>
      </c>
    </row>
    <row r="16" spans="1:14">
      <c r="A16" s="3" t="s">
        <v>629</v>
      </c>
      <c r="B16" s="137" t="s">
        <v>926</v>
      </c>
      <c r="C16" s="25" t="s">
        <v>802</v>
      </c>
      <c r="D16" s="25" t="s">
        <v>915</v>
      </c>
      <c r="E16" s="25"/>
      <c r="F16" s="25" t="s">
        <v>828</v>
      </c>
      <c r="G16" s="25"/>
      <c r="H16" s="25"/>
      <c r="L16" t="s">
        <v>629</v>
      </c>
    </row>
    <row r="17" spans="1:12">
      <c r="A17" s="3" t="s">
        <v>629</v>
      </c>
      <c r="B17" s="137" t="s">
        <v>933</v>
      </c>
      <c r="C17" s="25" t="s">
        <v>798</v>
      </c>
      <c r="D17" s="25" t="s">
        <v>725</v>
      </c>
      <c r="E17" s="25"/>
      <c r="F17" s="25" t="s">
        <v>725</v>
      </c>
      <c r="G17" s="25"/>
      <c r="H17" s="25"/>
      <c r="L17" t="s">
        <v>1105</v>
      </c>
    </row>
    <row r="18" spans="1:12">
      <c r="A18" s="146" t="s">
        <v>629</v>
      </c>
      <c r="B18" s="147" t="s">
        <v>922</v>
      </c>
      <c r="C18" s="148" t="s">
        <v>923</v>
      </c>
      <c r="D18" s="148" t="s">
        <v>725</v>
      </c>
      <c r="E18" s="148"/>
      <c r="F18" s="148" t="s">
        <v>725</v>
      </c>
      <c r="G18" s="25"/>
      <c r="H18" s="25"/>
      <c r="L18" t="s">
        <v>1106</v>
      </c>
    </row>
    <row r="19" spans="1:12">
      <c r="A19" s="3" t="s">
        <v>629</v>
      </c>
      <c r="B19" s="137" t="s">
        <v>946</v>
      </c>
      <c r="C19" s="25" t="s">
        <v>806</v>
      </c>
      <c r="D19" s="25" t="s">
        <v>725</v>
      </c>
      <c r="E19" s="25"/>
      <c r="F19" s="25" t="s">
        <v>725</v>
      </c>
      <c r="G19" s="25"/>
      <c r="H19" s="25"/>
      <c r="L19" t="s">
        <v>1107</v>
      </c>
    </row>
    <row r="20" spans="1:12" ht="43.5" customHeight="1">
      <c r="A20" s="3" t="s">
        <v>629</v>
      </c>
      <c r="B20" s="137" t="s">
        <v>1108</v>
      </c>
      <c r="C20" s="25" t="s">
        <v>1109</v>
      </c>
      <c r="D20" s="25" t="s">
        <v>1103</v>
      </c>
      <c r="E20" s="25" t="s">
        <v>1110</v>
      </c>
      <c r="F20" s="25" t="s">
        <v>828</v>
      </c>
      <c r="G20" s="25"/>
      <c r="H20" s="25"/>
      <c r="L20" t="s">
        <v>1111</v>
      </c>
    </row>
    <row r="21" spans="1:12">
      <c r="A21" s="3" t="s">
        <v>629</v>
      </c>
      <c r="B21" s="137" t="s">
        <v>1112</v>
      </c>
      <c r="C21" s="25" t="s">
        <v>1113</v>
      </c>
      <c r="D21" s="25" t="s">
        <v>1114</v>
      </c>
      <c r="E21" s="25" t="s">
        <v>1115</v>
      </c>
      <c r="F21" s="25" t="s">
        <v>828</v>
      </c>
      <c r="G21" s="25"/>
      <c r="H21" s="25"/>
      <c r="L21" t="s">
        <v>1116</v>
      </c>
    </row>
    <row r="22" spans="1:12">
      <c r="A22" s="3" t="s">
        <v>629</v>
      </c>
      <c r="B22" s="137" t="s">
        <v>1117</v>
      </c>
      <c r="C22" s="25" t="s">
        <v>1118</v>
      </c>
      <c r="D22" s="25" t="s">
        <v>1119</v>
      </c>
      <c r="E22" s="25"/>
      <c r="F22" s="25" t="s">
        <v>828</v>
      </c>
      <c r="G22" s="25"/>
      <c r="H22" s="25"/>
    </row>
    <row r="23" spans="1:12">
      <c r="A23" s="3" t="s">
        <v>629</v>
      </c>
      <c r="B23" s="137" t="s">
        <v>984</v>
      </c>
      <c r="C23" s="25" t="s">
        <v>985</v>
      </c>
      <c r="D23" s="25" t="s">
        <v>1120</v>
      </c>
      <c r="E23" s="25"/>
      <c r="F23" s="25" t="s">
        <v>828</v>
      </c>
      <c r="G23" s="25"/>
      <c r="H23" s="25"/>
      <c r="L23" s="243" t="s">
        <v>1121</v>
      </c>
    </row>
    <row r="24" spans="1:12" ht="38.25">
      <c r="A24" s="3"/>
      <c r="B24" s="137" t="s">
        <v>787</v>
      </c>
      <c r="C24" s="27" t="s">
        <v>564</v>
      </c>
      <c r="D24" s="27" t="s">
        <v>1122</v>
      </c>
      <c r="E24" s="25"/>
      <c r="F24" s="25" t="s">
        <v>828</v>
      </c>
      <c r="G24" s="25" t="s">
        <v>1123</v>
      </c>
      <c r="H24" s="25"/>
      <c r="L24" s="243" t="s">
        <v>1124</v>
      </c>
    </row>
    <row r="25" spans="1:12" ht="38.25">
      <c r="A25" s="3"/>
      <c r="B25" s="137" t="s">
        <v>1125</v>
      </c>
      <c r="C25" s="27" t="s">
        <v>1126</v>
      </c>
      <c r="D25" s="27" t="s">
        <v>1127</v>
      </c>
      <c r="E25" s="25"/>
      <c r="F25" s="25" t="s">
        <v>828</v>
      </c>
      <c r="G25" s="25" t="s">
        <v>1123</v>
      </c>
      <c r="H25" s="25"/>
      <c r="L25" s="243" t="s">
        <v>1078</v>
      </c>
    </row>
    <row r="26" spans="1:12">
      <c r="A26" s="3" t="s">
        <v>1128</v>
      </c>
      <c r="B26" s="137" t="s">
        <v>1129</v>
      </c>
      <c r="C26" s="25" t="s">
        <v>1130</v>
      </c>
      <c r="D26" s="25" t="s">
        <v>1103</v>
      </c>
      <c r="E26" s="25" t="s">
        <v>1131</v>
      </c>
      <c r="F26" s="25" t="s">
        <v>786</v>
      </c>
      <c r="G26" s="25"/>
      <c r="H26" s="25"/>
    </row>
    <row r="27" spans="1:12">
      <c r="A27" s="3" t="s">
        <v>1128</v>
      </c>
      <c r="B27" s="137" t="s">
        <v>1132</v>
      </c>
      <c r="C27" s="25" t="s">
        <v>1133</v>
      </c>
      <c r="D27" s="25" t="s">
        <v>1134</v>
      </c>
      <c r="E27" s="25" t="s">
        <v>1135</v>
      </c>
      <c r="F27" s="25" t="s">
        <v>786</v>
      </c>
      <c r="G27" s="25"/>
      <c r="H27" s="25"/>
      <c r="L27" t="s">
        <v>1136</v>
      </c>
    </row>
    <row r="28" spans="1:12">
      <c r="A28" s="3" t="s">
        <v>1137</v>
      </c>
      <c r="B28" s="137" t="s">
        <v>1138</v>
      </c>
      <c r="C28" s="25" t="s">
        <v>260</v>
      </c>
      <c r="D28" s="25" t="s">
        <v>1139</v>
      </c>
      <c r="E28" s="25" t="s">
        <v>1083</v>
      </c>
      <c r="F28" s="25" t="s">
        <v>786</v>
      </c>
      <c r="G28" s="25" t="s">
        <v>1140</v>
      </c>
      <c r="H28" s="25"/>
      <c r="L28" t="s">
        <v>652</v>
      </c>
    </row>
    <row r="29" spans="1:12">
      <c r="A29" s="3" t="s">
        <v>1137</v>
      </c>
      <c r="B29" s="137" t="s">
        <v>1141</v>
      </c>
      <c r="C29" s="25" t="s">
        <v>1142</v>
      </c>
      <c r="D29" s="25" t="s">
        <v>1143</v>
      </c>
      <c r="E29" s="25"/>
      <c r="F29" s="25" t="s">
        <v>786</v>
      </c>
      <c r="G29" s="25"/>
      <c r="H29" s="25"/>
      <c r="L29" t="s">
        <v>584</v>
      </c>
    </row>
    <row r="30" spans="1:12">
      <c r="A30" s="3" t="s">
        <v>1137</v>
      </c>
      <c r="B30" s="137" t="s">
        <v>807</v>
      </c>
      <c r="C30" s="25" t="s">
        <v>808</v>
      </c>
      <c r="D30" s="25"/>
      <c r="E30" s="25"/>
      <c r="F30" s="25" t="s">
        <v>786</v>
      </c>
      <c r="G30" s="25"/>
      <c r="H30" s="25"/>
      <c r="L30" t="s">
        <v>601</v>
      </c>
    </row>
    <row r="31" spans="1:12">
      <c r="A31" s="3" t="s">
        <v>1137</v>
      </c>
      <c r="B31" s="137" t="s">
        <v>924</v>
      </c>
      <c r="C31" s="25" t="s">
        <v>564</v>
      </c>
      <c r="D31" s="25" t="s">
        <v>1144</v>
      </c>
      <c r="E31" s="25"/>
      <c r="F31" s="25" t="s">
        <v>786</v>
      </c>
      <c r="G31" s="25"/>
      <c r="H31" s="79"/>
      <c r="L31" t="s">
        <v>1145</v>
      </c>
    </row>
    <row r="32" spans="1:12">
      <c r="A32" s="3" t="s">
        <v>640</v>
      </c>
      <c r="B32" s="137" t="s">
        <v>1146</v>
      </c>
      <c r="C32" s="25" t="s">
        <v>1147</v>
      </c>
      <c r="D32" s="25" t="s">
        <v>1148</v>
      </c>
      <c r="E32" s="25" t="s">
        <v>1138</v>
      </c>
      <c r="F32" s="25" t="s">
        <v>828</v>
      </c>
      <c r="G32" s="25" t="s">
        <v>1149</v>
      </c>
      <c r="H32" s="3"/>
      <c r="L32" t="s">
        <v>654</v>
      </c>
    </row>
    <row r="33" spans="1:12" ht="38.25">
      <c r="A33" s="3" t="s">
        <v>640</v>
      </c>
      <c r="B33" s="137" t="s">
        <v>924</v>
      </c>
      <c r="C33" s="25" t="s">
        <v>800</v>
      </c>
      <c r="D33" s="25" t="s">
        <v>913</v>
      </c>
      <c r="E33" s="25" t="s">
        <v>1150</v>
      </c>
      <c r="F33" s="25" t="s">
        <v>828</v>
      </c>
      <c r="G33" s="25" t="s">
        <v>1149</v>
      </c>
      <c r="H33" s="80"/>
    </row>
    <row r="34" spans="1:12">
      <c r="A34" s="3" t="s">
        <v>640</v>
      </c>
      <c r="B34" s="137" t="s">
        <v>1151</v>
      </c>
      <c r="C34" s="25" t="s">
        <v>1152</v>
      </c>
      <c r="D34" s="25"/>
      <c r="E34" s="25"/>
      <c r="F34" s="25"/>
      <c r="G34" s="25" t="s">
        <v>1153</v>
      </c>
      <c r="H34" s="3"/>
    </row>
    <row r="35" spans="1:12">
      <c r="A35" s="3" t="s">
        <v>640</v>
      </c>
      <c r="B35" s="137" t="s">
        <v>1154</v>
      </c>
      <c r="C35" s="25" t="s">
        <v>1155</v>
      </c>
      <c r="D35" s="25"/>
      <c r="E35" s="25"/>
      <c r="F35" s="25"/>
      <c r="G35" s="25" t="s">
        <v>1156</v>
      </c>
      <c r="H35" s="3"/>
      <c r="L35" t="s">
        <v>1157</v>
      </c>
    </row>
    <row r="36" spans="1:12">
      <c r="B36" s="269"/>
      <c r="C36" s="269"/>
      <c r="D36" s="269"/>
      <c r="E36" s="269"/>
      <c r="F36" s="269"/>
      <c r="G36" s="269"/>
      <c r="L36" t="s">
        <v>650</v>
      </c>
    </row>
    <row r="37" spans="1:12">
      <c r="L37" t="s">
        <v>1158</v>
      </c>
    </row>
    <row r="38" spans="1:12">
      <c r="A38" t="s">
        <v>1159</v>
      </c>
      <c r="L38" t="s">
        <v>1160</v>
      </c>
    </row>
    <row r="39" spans="1:12" s="82" customFormat="1">
      <c r="A39" s="142" t="s">
        <v>275</v>
      </c>
      <c r="B39" s="142" t="s">
        <v>1161</v>
      </c>
      <c r="C39" s="87" t="s">
        <v>1162</v>
      </c>
      <c r="D39" s="87" t="s">
        <v>725</v>
      </c>
      <c r="E39" s="142"/>
      <c r="F39" s="87" t="s">
        <v>725</v>
      </c>
      <c r="G39" s="87"/>
      <c r="H39" s="87"/>
      <c r="L39" t="s">
        <v>1163</v>
      </c>
    </row>
    <row r="40" spans="1:12" s="82" customFormat="1">
      <c r="A40" s="142" t="s">
        <v>275</v>
      </c>
      <c r="B40" s="142" t="s">
        <v>922</v>
      </c>
      <c r="C40" s="87" t="s">
        <v>923</v>
      </c>
      <c r="D40" s="87" t="s">
        <v>725</v>
      </c>
      <c r="E40" s="142"/>
      <c r="F40" s="87" t="s">
        <v>725</v>
      </c>
      <c r="G40" s="87"/>
      <c r="H40" s="87"/>
      <c r="L40"/>
    </row>
    <row r="41" spans="1:12" s="82" customFormat="1">
      <c r="A41" s="142" t="s">
        <v>275</v>
      </c>
      <c r="B41" s="142" t="s">
        <v>924</v>
      </c>
      <c r="C41" s="87" t="s">
        <v>564</v>
      </c>
      <c r="D41" s="87" t="s">
        <v>725</v>
      </c>
      <c r="E41" s="142"/>
      <c r="F41" s="87" t="s">
        <v>725</v>
      </c>
      <c r="G41" s="87"/>
      <c r="H41" s="87"/>
      <c r="L41"/>
    </row>
    <row r="42" spans="1:12" s="82" customFormat="1">
      <c r="A42" s="142" t="s">
        <v>275</v>
      </c>
      <c r="B42" s="142" t="s">
        <v>926</v>
      </c>
      <c r="C42" s="87" t="s">
        <v>802</v>
      </c>
      <c r="D42" s="87" t="s">
        <v>725</v>
      </c>
      <c r="E42" s="142"/>
      <c r="F42" s="87" t="s">
        <v>725</v>
      </c>
      <c r="G42" s="87"/>
      <c r="H42" s="87"/>
      <c r="L42" t="s">
        <v>1164</v>
      </c>
    </row>
    <row r="43" spans="1:12" s="82" customFormat="1">
      <c r="A43" s="142" t="s">
        <v>275</v>
      </c>
      <c r="B43" s="142" t="s">
        <v>928</v>
      </c>
      <c r="C43" s="87" t="s">
        <v>784</v>
      </c>
      <c r="D43" s="87" t="s">
        <v>725</v>
      </c>
      <c r="E43" s="142"/>
      <c r="F43" s="87" t="s">
        <v>725</v>
      </c>
      <c r="G43" s="87"/>
      <c r="H43" s="87"/>
      <c r="L43" t="s">
        <v>1165</v>
      </c>
    </row>
    <row r="44" spans="1:12" s="82" customFormat="1">
      <c r="A44" s="142" t="s">
        <v>275</v>
      </c>
      <c r="B44" s="142" t="s">
        <v>933</v>
      </c>
      <c r="C44" s="87" t="s">
        <v>798</v>
      </c>
      <c r="D44" s="87" t="s">
        <v>725</v>
      </c>
      <c r="E44" s="142"/>
      <c r="F44" s="87" t="s">
        <v>725</v>
      </c>
      <c r="G44" s="87"/>
      <c r="H44" s="87"/>
      <c r="L44" t="s">
        <v>1166</v>
      </c>
    </row>
    <row r="45" spans="1:12" s="82" customFormat="1">
      <c r="A45" s="142" t="s">
        <v>275</v>
      </c>
      <c r="B45" s="142" t="s">
        <v>1167</v>
      </c>
      <c r="C45" s="87" t="s">
        <v>1168</v>
      </c>
      <c r="D45" s="87" t="s">
        <v>725</v>
      </c>
      <c r="E45" s="142"/>
      <c r="F45" s="87" t="s">
        <v>725</v>
      </c>
      <c r="G45" s="87"/>
      <c r="H45" s="87"/>
      <c r="L45" t="s">
        <v>1169</v>
      </c>
    </row>
    <row r="46" spans="1:12" s="82" customFormat="1">
      <c r="A46" s="142" t="s">
        <v>275</v>
      </c>
      <c r="B46" s="142" t="s">
        <v>1170</v>
      </c>
      <c r="C46" s="87" t="s">
        <v>1155</v>
      </c>
      <c r="D46" s="87" t="s">
        <v>725</v>
      </c>
      <c r="E46" s="142"/>
      <c r="F46" s="87" t="s">
        <v>725</v>
      </c>
      <c r="G46" s="87"/>
      <c r="H46" s="87"/>
      <c r="L46" t="s">
        <v>1171</v>
      </c>
    </row>
    <row r="47" spans="1:12" s="82" customFormat="1">
      <c r="A47" s="142" t="s">
        <v>275</v>
      </c>
      <c r="B47" s="142" t="s">
        <v>1011</v>
      </c>
      <c r="C47" s="87" t="s">
        <v>1012</v>
      </c>
      <c r="D47" s="87" t="s">
        <v>646</v>
      </c>
      <c r="E47" s="142"/>
      <c r="F47" s="87" t="s">
        <v>828</v>
      </c>
      <c r="G47" s="87"/>
      <c r="H47" s="87"/>
      <c r="L47" t="s">
        <v>652</v>
      </c>
    </row>
    <row r="48" spans="1:12" s="82" customFormat="1">
      <c r="A48" s="142" t="s">
        <v>275</v>
      </c>
      <c r="B48" s="142" t="s">
        <v>1172</v>
      </c>
      <c r="C48" s="87" t="s">
        <v>260</v>
      </c>
      <c r="D48" s="87" t="s">
        <v>725</v>
      </c>
      <c r="E48" s="142"/>
      <c r="F48" s="87" t="s">
        <v>725</v>
      </c>
      <c r="G48" s="87"/>
      <c r="H48" s="87"/>
      <c r="L48"/>
    </row>
    <row r="49" spans="1:12" s="82" customFormat="1">
      <c r="A49" s="142" t="s">
        <v>275</v>
      </c>
      <c r="B49" s="142" t="s">
        <v>1173</v>
      </c>
      <c r="C49" s="87" t="s">
        <v>1174</v>
      </c>
      <c r="D49" s="87" t="s">
        <v>725</v>
      </c>
      <c r="E49" s="142"/>
      <c r="F49" s="87" t="s">
        <v>725</v>
      </c>
      <c r="G49" s="87"/>
      <c r="H49" s="87"/>
      <c r="L49" s="253" t="s">
        <v>654</v>
      </c>
    </row>
    <row r="50" spans="1:12" s="82" customFormat="1">
      <c r="A50" s="142" t="s">
        <v>275</v>
      </c>
      <c r="B50" s="142" t="s">
        <v>1175</v>
      </c>
      <c r="C50" s="87" t="s">
        <v>1147</v>
      </c>
      <c r="D50" s="87" t="s">
        <v>725</v>
      </c>
      <c r="E50" s="142"/>
      <c r="F50" s="87" t="s">
        <v>725</v>
      </c>
      <c r="G50" s="87"/>
      <c r="H50" s="87"/>
      <c r="L50" s="253" t="s">
        <v>1176</v>
      </c>
    </row>
    <row r="51" spans="1:12" s="82" customFormat="1">
      <c r="A51" s="142" t="s">
        <v>275</v>
      </c>
      <c r="B51" s="142" t="s">
        <v>945</v>
      </c>
      <c r="C51" s="87" t="s">
        <v>800</v>
      </c>
      <c r="D51" s="87" t="s">
        <v>725</v>
      </c>
      <c r="E51" s="142"/>
      <c r="F51" s="87" t="s">
        <v>725</v>
      </c>
      <c r="G51" s="87"/>
      <c r="H51" s="87"/>
      <c r="L51"/>
    </row>
    <row r="52" spans="1:12" s="82" customFormat="1">
      <c r="A52" s="142" t="s">
        <v>259</v>
      </c>
      <c r="B52" s="142" t="s">
        <v>922</v>
      </c>
      <c r="C52" s="87" t="s">
        <v>923</v>
      </c>
      <c r="D52" s="87" t="s">
        <v>725</v>
      </c>
      <c r="E52" s="142"/>
      <c r="F52" s="87" t="s">
        <v>725</v>
      </c>
      <c r="G52" s="87"/>
      <c r="H52" s="87"/>
      <c r="L52" s="244" t="s">
        <v>1177</v>
      </c>
    </row>
    <row r="53" spans="1:12" s="82" customFormat="1">
      <c r="A53" s="142" t="s">
        <v>259</v>
      </c>
      <c r="B53" s="142" t="s">
        <v>924</v>
      </c>
      <c r="C53" s="87" t="s">
        <v>564</v>
      </c>
      <c r="D53" s="87" t="s">
        <v>725</v>
      </c>
      <c r="E53" s="142"/>
      <c r="F53" s="87" t="s">
        <v>725</v>
      </c>
      <c r="G53" s="87"/>
      <c r="H53" s="87"/>
      <c r="L53" s="244" t="s">
        <v>640</v>
      </c>
    </row>
    <row r="54" spans="1:12" s="82" customFormat="1">
      <c r="A54" s="142" t="s">
        <v>259</v>
      </c>
      <c r="B54" s="142" t="s">
        <v>926</v>
      </c>
      <c r="C54" s="87" t="s">
        <v>802</v>
      </c>
      <c r="D54" s="87" t="s">
        <v>725</v>
      </c>
      <c r="E54" s="142"/>
      <c r="F54" s="87" t="s">
        <v>725</v>
      </c>
      <c r="G54" s="87"/>
      <c r="H54" s="87"/>
      <c r="L54" s="244" t="s">
        <v>1128</v>
      </c>
    </row>
    <row r="55" spans="1:12" s="82" customFormat="1">
      <c r="A55" s="142" t="s">
        <v>259</v>
      </c>
      <c r="B55" s="142" t="s">
        <v>928</v>
      </c>
      <c r="C55" s="87" t="s">
        <v>784</v>
      </c>
      <c r="D55" s="87" t="s">
        <v>725</v>
      </c>
      <c r="E55" s="142"/>
      <c r="F55" s="87" t="s">
        <v>725</v>
      </c>
      <c r="G55" s="87"/>
      <c r="H55" s="87"/>
      <c r="L55" s="244" t="s">
        <v>1137</v>
      </c>
    </row>
    <row r="56" spans="1:12" s="82" customFormat="1">
      <c r="A56" s="142" t="s">
        <v>259</v>
      </c>
      <c r="B56" s="142" t="s">
        <v>933</v>
      </c>
      <c r="C56" s="87" t="s">
        <v>798</v>
      </c>
      <c r="D56" s="87" t="s">
        <v>725</v>
      </c>
      <c r="E56" s="142"/>
      <c r="F56" s="87" t="s">
        <v>725</v>
      </c>
      <c r="G56" s="87"/>
      <c r="H56" s="87"/>
      <c r="L56" s="244" t="s">
        <v>629</v>
      </c>
    </row>
    <row r="57" spans="1:12" s="82" customFormat="1">
      <c r="A57" s="142" t="s">
        <v>259</v>
      </c>
      <c r="B57" s="142" t="s">
        <v>1083</v>
      </c>
      <c r="C57" s="87" t="s">
        <v>862</v>
      </c>
      <c r="D57" s="87" t="s">
        <v>629</v>
      </c>
      <c r="E57" s="142"/>
      <c r="F57" s="87" t="s">
        <v>828</v>
      </c>
      <c r="G57" s="87"/>
      <c r="H57" s="87"/>
      <c r="L57" s="244" t="s">
        <v>646</v>
      </c>
    </row>
    <row r="58" spans="1:12" s="82" customFormat="1">
      <c r="A58" s="142" t="s">
        <v>259</v>
      </c>
      <c r="B58" s="142" t="s">
        <v>1172</v>
      </c>
      <c r="C58" s="87" t="s">
        <v>260</v>
      </c>
      <c r="D58" s="87" t="s">
        <v>640</v>
      </c>
      <c r="E58" s="142"/>
      <c r="F58" s="87" t="s">
        <v>953</v>
      </c>
      <c r="G58" s="87"/>
      <c r="H58" s="87"/>
      <c r="L58" s="244" t="s">
        <v>642</v>
      </c>
    </row>
    <row r="59" spans="1:12" s="82" customFormat="1">
      <c r="A59" s="142" t="s">
        <v>259</v>
      </c>
      <c r="B59" s="142" t="s">
        <v>1178</v>
      </c>
      <c r="C59" s="87" t="s">
        <v>1142</v>
      </c>
      <c r="D59" s="87" t="s">
        <v>1179</v>
      </c>
      <c r="E59" s="142"/>
      <c r="F59" s="87" t="s">
        <v>786</v>
      </c>
      <c r="G59" s="87"/>
      <c r="H59" s="87"/>
      <c r="L59"/>
    </row>
    <row r="60" spans="1:12" s="82" customFormat="1">
      <c r="A60" s="142" t="s">
        <v>259</v>
      </c>
      <c r="B60" s="142" t="s">
        <v>935</v>
      </c>
      <c r="C60" s="87" t="s">
        <v>808</v>
      </c>
      <c r="D60" s="87" t="s">
        <v>725</v>
      </c>
      <c r="E60" s="142"/>
      <c r="F60" s="87" t="s">
        <v>725</v>
      </c>
      <c r="G60" s="87"/>
      <c r="H60" s="87"/>
      <c r="L60" s="244" t="s">
        <v>1180</v>
      </c>
    </row>
    <row r="61" spans="1:12" s="82" customFormat="1">
      <c r="A61" s="142" t="s">
        <v>259</v>
      </c>
      <c r="B61" s="142" t="s">
        <v>945</v>
      </c>
      <c r="C61" s="87" t="s">
        <v>800</v>
      </c>
      <c r="D61" s="87" t="s">
        <v>725</v>
      </c>
      <c r="E61" s="142"/>
      <c r="F61" s="87" t="s">
        <v>725</v>
      </c>
      <c r="G61" s="87"/>
      <c r="H61" s="87"/>
      <c r="L61" s="244" t="s">
        <v>636</v>
      </c>
    </row>
    <row r="62" spans="1:12" s="82" customFormat="1">
      <c r="A62" s="142" t="s">
        <v>259</v>
      </c>
      <c r="B62" s="142" t="s">
        <v>1049</v>
      </c>
      <c r="C62" s="87" t="s">
        <v>1050</v>
      </c>
      <c r="D62" s="87" t="s">
        <v>725</v>
      </c>
      <c r="E62" s="142"/>
      <c r="F62" s="87" t="s">
        <v>725</v>
      </c>
      <c r="G62" s="87"/>
      <c r="H62" s="87"/>
      <c r="L62" s="244" t="s">
        <v>642</v>
      </c>
    </row>
    <row r="63" spans="1:12" s="82" customFormat="1">
      <c r="A63" s="142" t="s">
        <v>259</v>
      </c>
      <c r="B63" s="142" t="s">
        <v>946</v>
      </c>
      <c r="C63" s="87" t="s">
        <v>806</v>
      </c>
      <c r="D63" s="87" t="s">
        <v>725</v>
      </c>
      <c r="E63" s="142"/>
      <c r="F63" s="87" t="s">
        <v>725</v>
      </c>
      <c r="G63" s="87"/>
      <c r="H63" s="87"/>
      <c r="L63" s="244" t="s">
        <v>1181</v>
      </c>
    </row>
    <row r="64" spans="1:12" s="82" customFormat="1">
      <c r="A64" s="142" t="s">
        <v>257</v>
      </c>
      <c r="B64" s="142" t="s">
        <v>984</v>
      </c>
      <c r="C64" s="87" t="s">
        <v>985</v>
      </c>
      <c r="D64" s="87" t="s">
        <v>725</v>
      </c>
      <c r="E64" s="142"/>
      <c r="F64" s="87" t="s">
        <v>725</v>
      </c>
      <c r="G64" s="87"/>
      <c r="H64" s="87"/>
      <c r="L64" s="244"/>
    </row>
    <row r="65" spans="1:12" s="82" customFormat="1">
      <c r="A65" s="142" t="s">
        <v>257</v>
      </c>
      <c r="B65" s="142" t="s">
        <v>1108</v>
      </c>
      <c r="C65" s="87" t="s">
        <v>1109</v>
      </c>
      <c r="D65" s="87" t="s">
        <v>725</v>
      </c>
      <c r="E65" s="142"/>
      <c r="F65" s="87" t="s">
        <v>725</v>
      </c>
      <c r="G65" s="87"/>
      <c r="H65" s="87"/>
      <c r="L65" s="244" t="s">
        <v>1182</v>
      </c>
    </row>
    <row r="66" spans="1:12" s="82" customFormat="1">
      <c r="A66" s="142" t="s">
        <v>257</v>
      </c>
      <c r="B66" s="142" t="s">
        <v>922</v>
      </c>
      <c r="C66" s="87" t="s">
        <v>923</v>
      </c>
      <c r="D66" s="87" t="s">
        <v>725</v>
      </c>
      <c r="E66" s="142"/>
      <c r="F66" s="87" t="s">
        <v>725</v>
      </c>
      <c r="G66" s="87"/>
      <c r="H66" s="87"/>
      <c r="L66" s="244" t="s">
        <v>640</v>
      </c>
    </row>
    <row r="67" spans="1:12" s="82" customFormat="1">
      <c r="A67" s="142" t="s">
        <v>257</v>
      </c>
      <c r="B67" s="142" t="s">
        <v>924</v>
      </c>
      <c r="C67" s="87" t="s">
        <v>564</v>
      </c>
      <c r="D67" s="87" t="s">
        <v>725</v>
      </c>
      <c r="E67" s="142"/>
      <c r="F67" s="87" t="s">
        <v>725</v>
      </c>
      <c r="G67" s="87"/>
      <c r="H67" s="87"/>
      <c r="L67" s="244" t="s">
        <v>1137</v>
      </c>
    </row>
    <row r="68" spans="1:12" s="82" customFormat="1">
      <c r="A68" s="142" t="s">
        <v>257</v>
      </c>
      <c r="B68" s="142" t="s">
        <v>926</v>
      </c>
      <c r="C68" s="87" t="s">
        <v>802</v>
      </c>
      <c r="D68" s="87" t="s">
        <v>725</v>
      </c>
      <c r="E68" s="142"/>
      <c r="F68" s="87" t="s">
        <v>725</v>
      </c>
      <c r="G68" s="87"/>
      <c r="H68" s="87"/>
      <c r="L68" s="244" t="s">
        <v>1128</v>
      </c>
    </row>
    <row r="69" spans="1:12" s="82" customFormat="1">
      <c r="A69" s="142" t="s">
        <v>257</v>
      </c>
      <c r="B69" s="142" t="s">
        <v>928</v>
      </c>
      <c r="C69" s="87" t="s">
        <v>784</v>
      </c>
      <c r="D69" s="87" t="s">
        <v>725</v>
      </c>
      <c r="E69" s="142"/>
      <c r="F69" s="87" t="s">
        <v>725</v>
      </c>
      <c r="G69" s="87"/>
      <c r="H69" s="87"/>
      <c r="L69" s="244" t="s">
        <v>646</v>
      </c>
    </row>
    <row r="70" spans="1:12" s="82" customFormat="1">
      <c r="A70" s="142" t="s">
        <v>257</v>
      </c>
      <c r="B70" s="142" t="s">
        <v>933</v>
      </c>
      <c r="C70" s="87" t="s">
        <v>798</v>
      </c>
      <c r="D70" s="87" t="s">
        <v>725</v>
      </c>
      <c r="E70" s="142"/>
      <c r="F70" s="87" t="s">
        <v>725</v>
      </c>
      <c r="G70" s="87"/>
      <c r="H70" s="87"/>
      <c r="L70" s="244" t="s">
        <v>631</v>
      </c>
    </row>
    <row r="71" spans="1:12" s="82" customFormat="1">
      <c r="A71" s="142" t="s">
        <v>257</v>
      </c>
      <c r="B71" s="142" t="s">
        <v>1117</v>
      </c>
      <c r="C71" s="87" t="s">
        <v>1118</v>
      </c>
      <c r="D71" s="87" t="s">
        <v>725</v>
      </c>
      <c r="E71" s="142"/>
      <c r="F71" s="87" t="s">
        <v>725</v>
      </c>
      <c r="G71" s="87"/>
      <c r="H71" s="87"/>
      <c r="L71" s="244"/>
    </row>
    <row r="72" spans="1:12" s="82" customFormat="1">
      <c r="A72" s="142" t="s">
        <v>257</v>
      </c>
      <c r="B72" s="142" t="s">
        <v>1083</v>
      </c>
      <c r="C72" s="87" t="s">
        <v>862</v>
      </c>
      <c r="D72" s="87" t="s">
        <v>725</v>
      </c>
      <c r="E72" s="142"/>
      <c r="F72" s="87" t="s">
        <v>725</v>
      </c>
      <c r="G72" s="87"/>
      <c r="H72" s="87"/>
      <c r="L72" s="244"/>
    </row>
    <row r="73" spans="1:12" s="82" customFormat="1">
      <c r="A73" s="142" t="s">
        <v>257</v>
      </c>
      <c r="B73" s="142" t="s">
        <v>1093</v>
      </c>
      <c r="C73" s="87" t="s">
        <v>1094</v>
      </c>
      <c r="D73" s="87" t="s">
        <v>725</v>
      </c>
      <c r="E73" s="142"/>
      <c r="F73" s="87" t="s">
        <v>725</v>
      </c>
      <c r="G73" s="87"/>
      <c r="H73" s="87"/>
      <c r="L73" s="244" t="s">
        <v>1183</v>
      </c>
    </row>
    <row r="74" spans="1:12" s="82" customFormat="1">
      <c r="A74" s="142" t="s">
        <v>257</v>
      </c>
      <c r="B74" s="142" t="s">
        <v>1098</v>
      </c>
      <c r="C74" s="87" t="s">
        <v>1099</v>
      </c>
      <c r="D74" s="87" t="s">
        <v>725</v>
      </c>
      <c r="E74" s="142"/>
      <c r="F74" s="87" t="s">
        <v>725</v>
      </c>
      <c r="G74" s="87"/>
      <c r="H74" s="87"/>
      <c r="L74" s="244" t="s">
        <v>631</v>
      </c>
    </row>
    <row r="75" spans="1:12" s="82" customFormat="1">
      <c r="A75" s="142" t="s">
        <v>257</v>
      </c>
      <c r="B75" s="142" t="s">
        <v>1085</v>
      </c>
      <c r="C75" s="87" t="s">
        <v>866</v>
      </c>
      <c r="D75" s="87" t="s">
        <v>725</v>
      </c>
      <c r="E75" s="142"/>
      <c r="F75" s="87" t="s">
        <v>725</v>
      </c>
      <c r="G75" s="87"/>
      <c r="H75" s="87"/>
      <c r="L75" s="244" t="s">
        <v>636</v>
      </c>
    </row>
    <row r="76" spans="1:12" s="82" customFormat="1">
      <c r="A76" s="142" t="s">
        <v>257</v>
      </c>
      <c r="B76" s="142" t="s">
        <v>1112</v>
      </c>
      <c r="C76" s="87" t="s">
        <v>1113</v>
      </c>
      <c r="D76" s="87" t="s">
        <v>725</v>
      </c>
      <c r="E76" s="142"/>
      <c r="F76" s="87" t="s">
        <v>725</v>
      </c>
      <c r="G76" s="87"/>
      <c r="H76" s="87"/>
      <c r="L76" s="244"/>
    </row>
    <row r="77" spans="1:12" s="82" customFormat="1">
      <c r="A77" s="142" t="s">
        <v>257</v>
      </c>
      <c r="B77" s="142" t="s">
        <v>1101</v>
      </c>
      <c r="C77" s="87" t="s">
        <v>1102</v>
      </c>
      <c r="D77" s="87" t="s">
        <v>725</v>
      </c>
      <c r="E77" s="142"/>
      <c r="F77" s="87" t="s">
        <v>725</v>
      </c>
      <c r="G77" s="87"/>
      <c r="H77" s="87"/>
      <c r="L77" s="244" t="s">
        <v>1184</v>
      </c>
    </row>
    <row r="78" spans="1:12" s="82" customFormat="1">
      <c r="A78" s="142" t="s">
        <v>257</v>
      </c>
      <c r="B78" s="142" t="s">
        <v>1089</v>
      </c>
      <c r="C78" s="87" t="s">
        <v>1090</v>
      </c>
      <c r="D78" s="87" t="s">
        <v>725</v>
      </c>
      <c r="E78" s="142"/>
      <c r="F78" s="87" t="s">
        <v>725</v>
      </c>
      <c r="G78" s="87"/>
      <c r="H78" s="87"/>
      <c r="L78" s="244" t="s">
        <v>631</v>
      </c>
    </row>
    <row r="79" spans="1:12" s="82" customFormat="1">
      <c r="A79" s="142" t="s">
        <v>257</v>
      </c>
      <c r="B79" s="142" t="s">
        <v>945</v>
      </c>
      <c r="C79" s="87" t="s">
        <v>800</v>
      </c>
      <c r="D79" s="87" t="s">
        <v>725</v>
      </c>
      <c r="E79" s="142"/>
      <c r="F79" s="87" t="s">
        <v>725</v>
      </c>
      <c r="G79" s="87"/>
      <c r="H79" s="87"/>
      <c r="L79" s="244" t="s">
        <v>636</v>
      </c>
    </row>
    <row r="80" spans="1:12" s="82" customFormat="1" ht="12.75">
      <c r="A80" s="142" t="s">
        <v>257</v>
      </c>
      <c r="B80" s="142" t="s">
        <v>946</v>
      </c>
      <c r="C80" s="87" t="s">
        <v>806</v>
      </c>
      <c r="D80" s="87" t="s">
        <v>725</v>
      </c>
      <c r="E80" s="142"/>
      <c r="F80" s="87" t="s">
        <v>725</v>
      </c>
      <c r="G80" s="87"/>
      <c r="H80" s="87"/>
    </row>
    <row r="82" spans="1:8">
      <c r="A82" s="3" t="s">
        <v>646</v>
      </c>
      <c r="B82" s="156" t="s">
        <v>1049</v>
      </c>
      <c r="C82" s="3" t="s">
        <v>1050</v>
      </c>
      <c r="D82" s="3" t="s">
        <v>1185</v>
      </c>
      <c r="E82" s="3"/>
      <c r="F82" s="211" t="s">
        <v>786</v>
      </c>
      <c r="G82" s="3"/>
      <c r="H82" s="3"/>
    </row>
    <row r="83" spans="1:8">
      <c r="A83" s="3" t="s">
        <v>646</v>
      </c>
      <c r="B83" s="156" t="s">
        <v>984</v>
      </c>
      <c r="C83" s="33" t="s">
        <v>985</v>
      </c>
      <c r="D83" s="33" t="s">
        <v>1186</v>
      </c>
      <c r="E83" s="33"/>
      <c r="F83" s="201" t="s">
        <v>804</v>
      </c>
      <c r="G83" s="3"/>
      <c r="H83" s="3"/>
    </row>
    <row r="84" spans="1:8">
      <c r="A84" s="3" t="s">
        <v>646</v>
      </c>
      <c r="B84" s="156" t="s">
        <v>999</v>
      </c>
      <c r="C84" s="33" t="s">
        <v>893</v>
      </c>
      <c r="D84" s="33" t="s">
        <v>1187</v>
      </c>
      <c r="E84" s="33"/>
      <c r="F84" s="201" t="s">
        <v>786</v>
      </c>
      <c r="G84" s="3"/>
      <c r="H84" s="3"/>
    </row>
    <row r="85" spans="1:8">
      <c r="A85" s="3" t="s">
        <v>646</v>
      </c>
      <c r="B85" s="156" t="s">
        <v>1043</v>
      </c>
      <c r="C85" s="33" t="s">
        <v>889</v>
      </c>
      <c r="D85" s="33" t="s">
        <v>725</v>
      </c>
      <c r="E85" s="33"/>
      <c r="F85" s="201" t="s">
        <v>725</v>
      </c>
      <c r="G85" s="3"/>
      <c r="H85" s="3"/>
    </row>
    <row r="86" spans="1:8">
      <c r="A86" s="3" t="s">
        <v>646</v>
      </c>
      <c r="B86" s="156" t="s">
        <v>987</v>
      </c>
      <c r="C86" s="33" t="s">
        <v>882</v>
      </c>
      <c r="D86" s="33" t="s">
        <v>725</v>
      </c>
      <c r="E86" s="33"/>
      <c r="F86" s="201" t="s">
        <v>725</v>
      </c>
      <c r="G86" s="3"/>
      <c r="H86" s="3"/>
    </row>
    <row r="87" spans="1:8">
      <c r="A87" s="3" t="s">
        <v>646</v>
      </c>
      <c r="B87" s="156" t="s">
        <v>988</v>
      </c>
      <c r="C87" s="33" t="s">
        <v>989</v>
      </c>
      <c r="D87" s="33" t="s">
        <v>725</v>
      </c>
      <c r="E87" s="33"/>
      <c r="F87" s="201" t="s">
        <v>725</v>
      </c>
      <c r="G87" s="3"/>
      <c r="H87" s="3"/>
    </row>
    <row r="88" spans="1:8">
      <c r="A88" s="3" t="s">
        <v>646</v>
      </c>
      <c r="B88" s="156" t="s">
        <v>990</v>
      </c>
      <c r="C88" s="33" t="s">
        <v>991</v>
      </c>
      <c r="D88" s="33" t="s">
        <v>725</v>
      </c>
      <c r="E88" s="33"/>
      <c r="F88" s="201" t="s">
        <v>725</v>
      </c>
      <c r="G88" s="3"/>
      <c r="H88" s="3"/>
    </row>
    <row r="89" spans="1:8">
      <c r="A89" s="3" t="s">
        <v>646</v>
      </c>
      <c r="B89" s="156" t="s">
        <v>992</v>
      </c>
      <c r="C89" s="33" t="s">
        <v>993</v>
      </c>
      <c r="D89" s="33" t="s">
        <v>725</v>
      </c>
      <c r="E89" s="33"/>
      <c r="F89" s="201" t="s">
        <v>725</v>
      </c>
      <c r="G89" s="3"/>
      <c r="H89" s="3"/>
    </row>
    <row r="90" spans="1:8">
      <c r="A90" s="3" t="s">
        <v>646</v>
      </c>
      <c r="B90" s="156" t="s">
        <v>994</v>
      </c>
      <c r="C90" s="33" t="s">
        <v>995</v>
      </c>
      <c r="D90" s="33" t="s">
        <v>725</v>
      </c>
      <c r="E90" s="33"/>
      <c r="F90" s="201" t="s">
        <v>725</v>
      </c>
      <c r="G90" s="3"/>
      <c r="H90" s="3"/>
    </row>
    <row r="91" spans="1:8">
      <c r="A91" s="3" t="s">
        <v>646</v>
      </c>
      <c r="B91" s="156" t="s">
        <v>996</v>
      </c>
      <c r="C91" s="33" t="s">
        <v>885</v>
      </c>
      <c r="D91" s="33" t="s">
        <v>725</v>
      </c>
      <c r="E91" s="33"/>
      <c r="F91" s="201" t="s">
        <v>725</v>
      </c>
      <c r="G91" s="3"/>
      <c r="H91" s="3"/>
    </row>
    <row r="92" spans="1:8">
      <c r="A92" s="3" t="s">
        <v>646</v>
      </c>
      <c r="B92" s="156" t="s">
        <v>997</v>
      </c>
      <c r="C92" s="33" t="s">
        <v>998</v>
      </c>
      <c r="D92" s="33" t="s">
        <v>725</v>
      </c>
      <c r="E92" s="33"/>
      <c r="F92" s="201" t="s">
        <v>725</v>
      </c>
      <c r="G92" s="3"/>
      <c r="H92" s="3"/>
    </row>
    <row r="93" spans="1:8">
      <c r="A93" s="3" t="s">
        <v>646</v>
      </c>
      <c r="B93" s="156" t="s">
        <v>1039</v>
      </c>
      <c r="C93" s="33" t="s">
        <v>1040</v>
      </c>
      <c r="D93" s="33" t="s">
        <v>725</v>
      </c>
      <c r="E93" s="33"/>
      <c r="F93" s="201" t="s">
        <v>725</v>
      </c>
      <c r="G93" s="3"/>
      <c r="H93" s="3"/>
    </row>
    <row r="94" spans="1:8">
      <c r="A94" s="3" t="s">
        <v>646</v>
      </c>
      <c r="B94" s="156" t="s">
        <v>1041</v>
      </c>
      <c r="C94" s="33" t="s">
        <v>1042</v>
      </c>
      <c r="D94" s="33" t="s">
        <v>725</v>
      </c>
      <c r="E94" s="33"/>
      <c r="F94" s="201" t="s">
        <v>725</v>
      </c>
      <c r="G94" s="3"/>
      <c r="H94" s="3"/>
    </row>
    <row r="95" spans="1:8">
      <c r="A95" s="3" t="s">
        <v>646</v>
      </c>
      <c r="B95" s="156" t="s">
        <v>1000</v>
      </c>
      <c r="C95" s="33" t="s">
        <v>887</v>
      </c>
      <c r="D95" s="33" t="s">
        <v>725</v>
      </c>
      <c r="E95" s="33"/>
      <c r="F95" s="201" t="s">
        <v>725</v>
      </c>
      <c r="G95" s="3"/>
      <c r="H95" s="3"/>
    </row>
    <row r="96" spans="1:8">
      <c r="A96" s="3" t="s">
        <v>646</v>
      </c>
      <c r="B96" s="156" t="s">
        <v>1024</v>
      </c>
      <c r="C96" s="33" t="s">
        <v>1025</v>
      </c>
      <c r="D96" s="33" t="s">
        <v>725</v>
      </c>
      <c r="E96" s="33"/>
      <c r="F96" s="201" t="s">
        <v>725</v>
      </c>
      <c r="G96" s="3"/>
      <c r="H96" s="3"/>
    </row>
    <row r="97" spans="1:8">
      <c r="A97" s="3" t="s">
        <v>646</v>
      </c>
      <c r="B97" s="156" t="s">
        <v>1022</v>
      </c>
      <c r="C97" s="33" t="s">
        <v>1023</v>
      </c>
      <c r="D97" s="33" t="s">
        <v>725</v>
      </c>
      <c r="E97" s="33"/>
      <c r="F97" s="201" t="s">
        <v>725</v>
      </c>
      <c r="G97" s="3"/>
      <c r="H97" s="3"/>
    </row>
    <row r="98" spans="1:8">
      <c r="A98" s="3" t="s">
        <v>646</v>
      </c>
      <c r="B98" s="156" t="s">
        <v>1026</v>
      </c>
      <c r="C98" s="33" t="s">
        <v>1027</v>
      </c>
      <c r="D98" s="33" t="s">
        <v>725</v>
      </c>
      <c r="E98" s="33"/>
      <c r="F98" s="201" t="s">
        <v>725</v>
      </c>
      <c r="G98" s="3"/>
      <c r="H98" s="3"/>
    </row>
    <row r="99" spans="1:8">
      <c r="A99" s="3" t="s">
        <v>646</v>
      </c>
      <c r="B99" s="156" t="s">
        <v>1047</v>
      </c>
      <c r="C99" s="33" t="s">
        <v>891</v>
      </c>
      <c r="D99" s="33" t="s">
        <v>1188</v>
      </c>
      <c r="E99" s="33"/>
      <c r="F99" s="201" t="s">
        <v>786</v>
      </c>
      <c r="G99" s="3"/>
      <c r="H99" s="3"/>
    </row>
    <row r="100" spans="1:8">
      <c r="A100" s="3" t="s">
        <v>646</v>
      </c>
      <c r="B100" s="156" t="s">
        <v>928</v>
      </c>
      <c r="C100" s="33" t="s">
        <v>784</v>
      </c>
      <c r="D100" s="33" t="s">
        <v>785</v>
      </c>
      <c r="E100" s="33"/>
      <c r="F100" s="201" t="s">
        <v>786</v>
      </c>
      <c r="G100" s="3"/>
      <c r="H100" s="3"/>
    </row>
    <row r="101" spans="1:8">
      <c r="A101" s="3" t="s">
        <v>646</v>
      </c>
      <c r="B101" s="156" t="s">
        <v>924</v>
      </c>
      <c r="C101" s="33" t="s">
        <v>564</v>
      </c>
      <c r="D101" s="33" t="s">
        <v>788</v>
      </c>
      <c r="E101" s="33"/>
      <c r="F101" s="201" t="s">
        <v>786</v>
      </c>
      <c r="G101" s="3"/>
      <c r="H101" s="3"/>
    </row>
    <row r="102" spans="1:8">
      <c r="A102" s="3" t="s">
        <v>646</v>
      </c>
      <c r="B102" s="156" t="s">
        <v>926</v>
      </c>
      <c r="C102" s="33" t="s">
        <v>802</v>
      </c>
      <c r="D102" s="33" t="s">
        <v>803</v>
      </c>
      <c r="E102" s="33"/>
      <c r="F102" s="201" t="s">
        <v>804</v>
      </c>
      <c r="G102" s="3"/>
      <c r="H102" s="3"/>
    </row>
    <row r="103" spans="1:8">
      <c r="A103" s="3" t="s">
        <v>646</v>
      </c>
      <c r="B103" s="156" t="s">
        <v>945</v>
      </c>
      <c r="C103" s="33" t="s">
        <v>800</v>
      </c>
      <c r="D103" s="33" t="s">
        <v>725</v>
      </c>
      <c r="E103" s="33"/>
      <c r="F103" s="201" t="s">
        <v>725</v>
      </c>
      <c r="G103" s="3"/>
      <c r="H103" s="3"/>
    </row>
    <row r="104" spans="1:8">
      <c r="A104" s="3" t="s">
        <v>646</v>
      </c>
      <c r="B104" s="156" t="s">
        <v>933</v>
      </c>
      <c r="C104" s="33" t="s">
        <v>798</v>
      </c>
      <c r="D104" s="33" t="s">
        <v>725</v>
      </c>
      <c r="E104" s="33"/>
      <c r="F104" s="201" t="s">
        <v>725</v>
      </c>
      <c r="G104" s="3"/>
      <c r="H104" s="3"/>
    </row>
    <row r="105" spans="1:8">
      <c r="A105" s="3" t="s">
        <v>646</v>
      </c>
      <c r="B105" s="156" t="s">
        <v>922</v>
      </c>
      <c r="C105" s="33" t="s">
        <v>923</v>
      </c>
      <c r="D105" s="33" t="s">
        <v>725</v>
      </c>
      <c r="E105" s="33"/>
      <c r="F105" s="201" t="s">
        <v>725</v>
      </c>
      <c r="G105" s="3"/>
      <c r="H105" s="3"/>
    </row>
    <row r="106" spans="1:8">
      <c r="A106" s="3" t="s">
        <v>646</v>
      </c>
      <c r="B106" s="156" t="s">
        <v>946</v>
      </c>
      <c r="C106" s="33" t="s">
        <v>806</v>
      </c>
      <c r="D106" s="33" t="s">
        <v>725</v>
      </c>
      <c r="E106" s="33"/>
      <c r="F106" s="201" t="s">
        <v>725</v>
      </c>
      <c r="G106" s="3"/>
      <c r="H106" s="3"/>
    </row>
    <row r="107" spans="1:8">
      <c r="A107" s="3" t="s">
        <v>646</v>
      </c>
      <c r="B107" s="156" t="s">
        <v>1031</v>
      </c>
      <c r="C107" s="33" t="s">
        <v>1032</v>
      </c>
      <c r="D107" s="33" t="s">
        <v>1033</v>
      </c>
      <c r="E107" s="33"/>
      <c r="F107" s="201" t="s">
        <v>804</v>
      </c>
      <c r="G107" s="3"/>
      <c r="H107" s="3"/>
    </row>
    <row r="108" spans="1:8">
      <c r="A108" s="3" t="s">
        <v>646</v>
      </c>
      <c r="B108" s="156" t="s">
        <v>1003</v>
      </c>
      <c r="C108" s="33" t="s">
        <v>895</v>
      </c>
      <c r="D108" s="33" t="s">
        <v>725</v>
      </c>
      <c r="E108" s="33"/>
      <c r="F108" s="201" t="s">
        <v>725</v>
      </c>
      <c r="G108" s="3"/>
      <c r="H108" s="3"/>
    </row>
    <row r="109" spans="1:8" ht="25.5">
      <c r="A109" s="3" t="s">
        <v>646</v>
      </c>
      <c r="B109" s="156" t="s">
        <v>1016</v>
      </c>
      <c r="C109" s="33" t="s">
        <v>1017</v>
      </c>
      <c r="D109" s="34" t="s">
        <v>1189</v>
      </c>
      <c r="E109" s="33"/>
      <c r="F109" s="201" t="s">
        <v>804</v>
      </c>
      <c r="G109" s="3"/>
      <c r="H109" s="3"/>
    </row>
    <row r="110" spans="1:8">
      <c r="A110" s="3" t="s">
        <v>646</v>
      </c>
      <c r="B110" s="156" t="s">
        <v>1011</v>
      </c>
      <c r="C110" s="33" t="s">
        <v>1012</v>
      </c>
      <c r="D110" s="33" t="s">
        <v>1190</v>
      </c>
      <c r="E110" s="33" t="s">
        <v>1191</v>
      </c>
      <c r="F110" s="201" t="s">
        <v>786</v>
      </c>
      <c r="G110" s="3"/>
      <c r="H110" s="3"/>
    </row>
    <row r="111" spans="1:8">
      <c r="A111" s="3" t="s">
        <v>646</v>
      </c>
      <c r="B111" s="156" t="s">
        <v>1004</v>
      </c>
      <c r="C111" s="33" t="s">
        <v>897</v>
      </c>
      <c r="D111" s="33" t="s">
        <v>725</v>
      </c>
      <c r="E111" s="33"/>
      <c r="F111" s="201" t="s">
        <v>725</v>
      </c>
      <c r="G111" s="3"/>
      <c r="H111" s="3"/>
    </row>
    <row r="112" spans="1:8">
      <c r="A112" s="3" t="s">
        <v>646</v>
      </c>
      <c r="B112" s="156" t="s">
        <v>1037</v>
      </c>
      <c r="C112" s="33" t="s">
        <v>1038</v>
      </c>
      <c r="D112" s="33" t="s">
        <v>725</v>
      </c>
      <c r="E112" s="33"/>
      <c r="F112" s="201" t="s">
        <v>725</v>
      </c>
      <c r="G112" s="3"/>
      <c r="H112" s="3"/>
    </row>
    <row r="113" spans="1:8">
      <c r="A113" s="3" t="s">
        <v>646</v>
      </c>
      <c r="B113" s="156" t="s">
        <v>1192</v>
      </c>
      <c r="C113" s="33" t="s">
        <v>1021</v>
      </c>
      <c r="D113" s="33" t="s">
        <v>1193</v>
      </c>
      <c r="E113" s="33"/>
      <c r="F113" s="201" t="s">
        <v>804</v>
      </c>
      <c r="G113" s="3"/>
      <c r="H113" s="3"/>
    </row>
    <row r="114" spans="1:8">
      <c r="A114" s="3" t="s">
        <v>646</v>
      </c>
      <c r="B114" s="156" t="s">
        <v>1034</v>
      </c>
      <c r="C114" s="33" t="s">
        <v>1035</v>
      </c>
      <c r="D114" s="33" t="s">
        <v>1194</v>
      </c>
      <c r="E114" s="33"/>
      <c r="F114" s="201" t="s">
        <v>804</v>
      </c>
      <c r="G114" s="3"/>
      <c r="H114" s="3"/>
    </row>
    <row r="115" spans="1:8">
      <c r="A115" s="3" t="s">
        <v>1195</v>
      </c>
      <c r="B115" s="156" t="s">
        <v>1001</v>
      </c>
      <c r="C115" s="33" t="s">
        <v>1002</v>
      </c>
      <c r="D115" s="33" t="s">
        <v>725</v>
      </c>
      <c r="E115" s="33"/>
      <c r="F115" s="201" t="s">
        <v>725</v>
      </c>
      <c r="G115" s="3"/>
      <c r="H115" s="3"/>
    </row>
    <row r="116" spans="1:8">
      <c r="A116" s="3" t="s">
        <v>646</v>
      </c>
      <c r="B116" s="156" t="s">
        <v>1014</v>
      </c>
      <c r="C116" s="33" t="s">
        <v>842</v>
      </c>
      <c r="D116" s="33" t="s">
        <v>1196</v>
      </c>
      <c r="E116" s="33"/>
      <c r="F116" s="201" t="s">
        <v>786</v>
      </c>
      <c r="G116" s="3"/>
      <c r="H116" s="3"/>
    </row>
    <row r="117" spans="1:8">
      <c r="A117" s="3" t="s">
        <v>1195</v>
      </c>
      <c r="B117" s="156" t="s">
        <v>1005</v>
      </c>
      <c r="C117" s="33" t="s">
        <v>1006</v>
      </c>
      <c r="D117" s="33" t="s">
        <v>725</v>
      </c>
      <c r="E117" s="33"/>
      <c r="F117" s="201" t="s">
        <v>725</v>
      </c>
      <c r="G117" s="3"/>
      <c r="H117" s="3"/>
    </row>
    <row r="118" spans="1:8">
      <c r="A118" s="3" t="s">
        <v>646</v>
      </c>
      <c r="B118" s="156" t="s">
        <v>1044</v>
      </c>
      <c r="C118" s="33" t="s">
        <v>1045</v>
      </c>
      <c r="D118" s="33"/>
      <c r="E118" s="33"/>
      <c r="F118" s="201"/>
      <c r="G118" s="3"/>
      <c r="H118" s="3"/>
    </row>
    <row r="119" spans="1:8">
      <c r="A119" s="3" t="s">
        <v>646</v>
      </c>
      <c r="B119" s="156" t="s">
        <v>1009</v>
      </c>
      <c r="C119" s="33" t="s">
        <v>1010</v>
      </c>
      <c r="D119" s="33"/>
      <c r="E119" s="33"/>
      <c r="F119" s="201"/>
      <c r="G119" s="3"/>
      <c r="H119" s="3"/>
    </row>
    <row r="120" spans="1:8">
      <c r="A120" s="3" t="s">
        <v>646</v>
      </c>
      <c r="B120" s="156" t="s">
        <v>1007</v>
      </c>
      <c r="C120" s="33" t="s">
        <v>1008</v>
      </c>
      <c r="D120" s="33"/>
      <c r="E120" s="33"/>
      <c r="F120" s="201"/>
      <c r="G120" s="3"/>
      <c r="H120" s="3"/>
    </row>
    <row r="121" spans="1:8">
      <c r="A121" s="80" t="s">
        <v>646</v>
      </c>
      <c r="B121" s="157" t="s">
        <v>1028</v>
      </c>
      <c r="C121" s="81" t="s">
        <v>1029</v>
      </c>
      <c r="D121" s="81"/>
      <c r="E121" s="81"/>
      <c r="F121" s="202" t="s">
        <v>804</v>
      </c>
      <c r="G121" s="3"/>
      <c r="H121" s="3"/>
    </row>
    <row r="122" spans="1:8">
      <c r="A122" s="3" t="s">
        <v>1160</v>
      </c>
      <c r="B122" s="3" t="s">
        <v>1011</v>
      </c>
      <c r="C122" s="3" t="s">
        <v>1012</v>
      </c>
      <c r="D122" s="3"/>
      <c r="E122" s="3"/>
      <c r="F122" s="211"/>
      <c r="G122" s="3"/>
      <c r="H122" s="3"/>
    </row>
    <row r="123" spans="1:8">
      <c r="A123" s="3" t="s">
        <v>1160</v>
      </c>
      <c r="B123" s="3" t="s">
        <v>1197</v>
      </c>
      <c r="C123" s="3" t="s">
        <v>1133</v>
      </c>
      <c r="D123" s="3"/>
      <c r="E123" s="3"/>
      <c r="F123" s="211"/>
      <c r="G123" s="3"/>
      <c r="H123" s="3"/>
    </row>
    <row r="124" spans="1:8" ht="60">
      <c r="A124" s="3" t="s">
        <v>1160</v>
      </c>
      <c r="B124" s="3" t="s">
        <v>1198</v>
      </c>
      <c r="C124" s="3" t="s">
        <v>1199</v>
      </c>
      <c r="D124" s="3"/>
      <c r="E124" s="3" t="s">
        <v>1200</v>
      </c>
      <c r="F124" s="202" t="s">
        <v>804</v>
      </c>
      <c r="G124" s="272" t="s">
        <v>1201</v>
      </c>
      <c r="H124" s="3"/>
    </row>
    <row r="125" spans="1:8">
      <c r="A125" s="80" t="s">
        <v>1160</v>
      </c>
      <c r="B125" s="80" t="s">
        <v>946</v>
      </c>
      <c r="C125" s="80" t="s">
        <v>806</v>
      </c>
      <c r="D125" s="80"/>
      <c r="E125" s="80"/>
      <c r="F125" s="203"/>
      <c r="G125" s="3"/>
      <c r="H125" s="3"/>
    </row>
    <row r="126" spans="1:8">
      <c r="A126" s="3" t="s">
        <v>614</v>
      </c>
      <c r="B126" s="3" t="s">
        <v>987</v>
      </c>
      <c r="C126" s="3" t="s">
        <v>882</v>
      </c>
      <c r="D126" s="3"/>
      <c r="E126" s="3"/>
      <c r="F126" s="211"/>
      <c r="G126" s="3"/>
      <c r="H126" s="3"/>
    </row>
    <row r="127" spans="1:8">
      <c r="A127" s="3" t="s">
        <v>614</v>
      </c>
      <c r="B127" s="3" t="s">
        <v>1202</v>
      </c>
      <c r="C127" s="3" t="s">
        <v>1203</v>
      </c>
      <c r="D127" s="3"/>
      <c r="E127" s="3"/>
      <c r="F127" s="211"/>
      <c r="G127" s="3"/>
      <c r="H127" s="3"/>
    </row>
    <row r="128" spans="1:8">
      <c r="A128" s="3" t="s">
        <v>614</v>
      </c>
      <c r="B128" s="3" t="s">
        <v>990</v>
      </c>
      <c r="C128" s="3" t="s">
        <v>991</v>
      </c>
      <c r="D128" s="3"/>
      <c r="E128" s="3"/>
      <c r="F128" s="211"/>
      <c r="G128" s="3"/>
      <c r="H128" s="3"/>
    </row>
    <row r="129" spans="1:8">
      <c r="A129" s="3" t="s">
        <v>614</v>
      </c>
      <c r="B129" s="3" t="s">
        <v>992</v>
      </c>
      <c r="C129" s="3" t="s">
        <v>993</v>
      </c>
      <c r="D129" s="3"/>
      <c r="E129" s="3"/>
      <c r="F129" s="211"/>
      <c r="G129" s="3"/>
      <c r="H129" s="3"/>
    </row>
    <row r="130" spans="1:8">
      <c r="A130" s="3" t="s">
        <v>614</v>
      </c>
      <c r="B130" s="3" t="s">
        <v>994</v>
      </c>
      <c r="C130" s="3" t="s">
        <v>995</v>
      </c>
      <c r="D130" s="3"/>
      <c r="E130" s="3"/>
      <c r="F130" s="211"/>
      <c r="G130" s="3"/>
      <c r="H130" s="3"/>
    </row>
    <row r="131" spans="1:8">
      <c r="A131" s="3" t="s">
        <v>614</v>
      </c>
      <c r="B131" s="3" t="s">
        <v>1204</v>
      </c>
      <c r="C131" s="3" t="s">
        <v>1205</v>
      </c>
      <c r="D131" s="3"/>
      <c r="E131" s="3"/>
      <c r="F131" s="211"/>
      <c r="G131" s="3"/>
      <c r="H131" s="3"/>
    </row>
    <row r="132" spans="1:8">
      <c r="A132" s="3" t="s">
        <v>614</v>
      </c>
      <c r="B132" s="3" t="s">
        <v>996</v>
      </c>
      <c r="C132" s="3" t="s">
        <v>885</v>
      </c>
      <c r="D132" s="3"/>
      <c r="E132" s="3"/>
      <c r="F132" s="211"/>
      <c r="G132" s="3"/>
      <c r="H132" s="3"/>
    </row>
    <row r="133" spans="1:8">
      <c r="A133" s="3" t="s">
        <v>614</v>
      </c>
      <c r="B133" s="3" t="s">
        <v>1206</v>
      </c>
      <c r="C133" s="3" t="s">
        <v>1207</v>
      </c>
      <c r="D133" s="3"/>
      <c r="E133" s="3"/>
      <c r="F133" s="211"/>
      <c r="G133" s="3"/>
      <c r="H133" s="3"/>
    </row>
    <row r="134" spans="1:8">
      <c r="A134" s="3" t="s">
        <v>614</v>
      </c>
      <c r="B134" s="3" t="s">
        <v>999</v>
      </c>
      <c r="C134" s="3" t="s">
        <v>893</v>
      </c>
      <c r="D134" s="3"/>
      <c r="E134" s="3"/>
      <c r="F134" s="211"/>
      <c r="G134" s="3"/>
      <c r="H134" s="3"/>
    </row>
    <row r="135" spans="1:8">
      <c r="A135" s="3" t="s">
        <v>614</v>
      </c>
      <c r="B135" s="3" t="s">
        <v>1000</v>
      </c>
      <c r="C135" s="3" t="s">
        <v>887</v>
      </c>
      <c r="D135" s="3"/>
      <c r="E135" s="3"/>
      <c r="F135" s="211"/>
      <c r="G135" s="3"/>
      <c r="H135" s="3"/>
    </row>
    <row r="136" spans="1:8">
      <c r="A136" s="3" t="s">
        <v>614</v>
      </c>
      <c r="B136" s="3" t="s">
        <v>1022</v>
      </c>
      <c r="C136" s="3" t="s">
        <v>1023</v>
      </c>
      <c r="D136" s="3"/>
      <c r="E136" s="3"/>
      <c r="F136" s="211"/>
      <c r="G136" s="3"/>
      <c r="H136" s="3"/>
    </row>
    <row r="137" spans="1:8">
      <c r="A137" s="3" t="s">
        <v>614</v>
      </c>
      <c r="B137" s="3" t="s">
        <v>1024</v>
      </c>
      <c r="C137" s="3" t="s">
        <v>1025</v>
      </c>
      <c r="D137" s="3"/>
      <c r="E137" s="3"/>
      <c r="F137" s="211"/>
      <c r="G137" s="3"/>
      <c r="H137" s="3"/>
    </row>
    <row r="138" spans="1:8">
      <c r="A138" s="3" t="s">
        <v>614</v>
      </c>
      <c r="B138" s="3" t="s">
        <v>1026</v>
      </c>
      <c r="C138" s="3" t="s">
        <v>1027</v>
      </c>
      <c r="D138" s="3"/>
      <c r="E138" s="3"/>
      <c r="F138" s="211"/>
      <c r="G138" s="3"/>
      <c r="H138" s="3"/>
    </row>
    <row r="139" spans="1:8">
      <c r="A139" s="3" t="s">
        <v>614</v>
      </c>
      <c r="B139" s="3" t="s">
        <v>1208</v>
      </c>
      <c r="C139" s="3" t="s">
        <v>1209</v>
      </c>
      <c r="D139" s="3"/>
      <c r="E139" s="3"/>
      <c r="F139" s="211"/>
      <c r="G139" s="3"/>
      <c r="H139" s="3"/>
    </row>
    <row r="140" spans="1:8">
      <c r="A140" s="3" t="s">
        <v>614</v>
      </c>
      <c r="B140" s="3" t="s">
        <v>1210</v>
      </c>
      <c r="C140" s="3" t="s">
        <v>1211</v>
      </c>
      <c r="D140" s="3"/>
      <c r="E140" s="3"/>
      <c r="F140" s="211"/>
      <c r="G140" s="3"/>
      <c r="H140" s="3"/>
    </row>
    <row r="141" spans="1:8">
      <c r="A141" s="3" t="s">
        <v>614</v>
      </c>
      <c r="B141" s="3" t="s">
        <v>1212</v>
      </c>
      <c r="C141" s="3" t="s">
        <v>1213</v>
      </c>
      <c r="D141" s="3"/>
      <c r="E141" s="3"/>
      <c r="F141" s="211"/>
      <c r="G141" s="3"/>
      <c r="H141" s="3"/>
    </row>
    <row r="142" spans="1:8">
      <c r="A142" s="3" t="s">
        <v>614</v>
      </c>
      <c r="B142" s="3" t="s">
        <v>1214</v>
      </c>
      <c r="C142" s="3" t="s">
        <v>1010</v>
      </c>
      <c r="D142" s="3"/>
      <c r="E142" s="3"/>
      <c r="F142" s="211"/>
      <c r="G142" s="3"/>
      <c r="H142" s="3"/>
    </row>
    <row r="143" spans="1:8">
      <c r="A143" s="3" t="s">
        <v>614</v>
      </c>
      <c r="B143" s="3" t="s">
        <v>1215</v>
      </c>
      <c r="C143" s="3" t="s">
        <v>1010</v>
      </c>
      <c r="D143" s="3"/>
      <c r="E143" s="3"/>
      <c r="F143" s="211"/>
      <c r="G143" s="3"/>
      <c r="H143" s="3"/>
    </row>
    <row r="144" spans="1:8">
      <c r="A144" s="3" t="s">
        <v>614</v>
      </c>
      <c r="B144" s="3" t="s">
        <v>1216</v>
      </c>
      <c r="C144" s="3" t="s">
        <v>1217</v>
      </c>
      <c r="D144" s="3"/>
      <c r="E144" s="3"/>
      <c r="F144" s="211"/>
      <c r="G144" s="3"/>
      <c r="H144" s="3"/>
    </row>
    <row r="145" spans="1:8">
      <c r="A145" s="3" t="s">
        <v>614</v>
      </c>
      <c r="B145" s="3" t="s">
        <v>1218</v>
      </c>
      <c r="C145" s="3" t="s">
        <v>1219</v>
      </c>
      <c r="D145" s="3"/>
      <c r="E145" s="3"/>
      <c r="F145" s="211"/>
      <c r="G145" s="3"/>
      <c r="H145" s="3"/>
    </row>
    <row r="146" spans="1:8">
      <c r="A146" s="3" t="s">
        <v>614</v>
      </c>
      <c r="B146" s="3" t="s">
        <v>1220</v>
      </c>
      <c r="C146" s="3" t="s">
        <v>1221</v>
      </c>
      <c r="D146" s="3"/>
      <c r="E146" s="3"/>
      <c r="F146" s="211"/>
      <c r="G146" s="3"/>
      <c r="H146" s="3"/>
    </row>
    <row r="147" spans="1:8">
      <c r="A147" s="3" t="s">
        <v>614</v>
      </c>
      <c r="B147" s="3" t="s">
        <v>1222</v>
      </c>
      <c r="C147" s="3" t="s">
        <v>1223</v>
      </c>
      <c r="D147" s="3"/>
      <c r="E147" s="3"/>
      <c r="F147" s="211"/>
      <c r="G147" s="3"/>
      <c r="H147" s="3"/>
    </row>
    <row r="148" spans="1:8">
      <c r="A148" s="3" t="s">
        <v>614</v>
      </c>
      <c r="B148" s="3" t="s">
        <v>1039</v>
      </c>
      <c r="C148" s="3" t="s">
        <v>1040</v>
      </c>
      <c r="D148" s="3"/>
      <c r="E148" s="3"/>
      <c r="F148" s="211"/>
      <c r="G148" s="3"/>
      <c r="H148" s="3"/>
    </row>
    <row r="149" spans="1:8">
      <c r="A149" s="3" t="s">
        <v>614</v>
      </c>
      <c r="B149" s="3" t="s">
        <v>1041</v>
      </c>
      <c r="C149" s="3" t="s">
        <v>1042</v>
      </c>
      <c r="D149" s="3"/>
      <c r="E149" s="3"/>
      <c r="F149" s="211"/>
      <c r="G149" s="3"/>
      <c r="H149" s="3"/>
    </row>
    <row r="150" spans="1:8">
      <c r="A150" s="3" t="s">
        <v>614</v>
      </c>
      <c r="B150" s="3" t="s">
        <v>1224</v>
      </c>
      <c r="C150" s="3" t="s">
        <v>1225</v>
      </c>
      <c r="D150" s="3"/>
      <c r="E150" s="3"/>
      <c r="F150" s="203"/>
      <c r="G150" s="3"/>
      <c r="H150" s="3"/>
    </row>
    <row r="151" spans="1:8">
      <c r="A151" s="3" t="s">
        <v>614</v>
      </c>
      <c r="B151" s="3" t="s">
        <v>1043</v>
      </c>
      <c r="C151" s="3" t="s">
        <v>889</v>
      </c>
      <c r="D151" s="3"/>
      <c r="E151" s="211"/>
      <c r="F151" s="3"/>
      <c r="G151" s="204"/>
      <c r="H151" s="3"/>
    </row>
    <row r="152" spans="1:8">
      <c r="A152" s="3" t="s">
        <v>614</v>
      </c>
      <c r="B152" s="3" t="s">
        <v>1226</v>
      </c>
      <c r="C152" s="3" t="s">
        <v>1227</v>
      </c>
      <c r="D152" s="3"/>
      <c r="E152" s="211"/>
      <c r="F152" s="3"/>
      <c r="G152" s="204"/>
      <c r="H152" s="3"/>
    </row>
    <row r="153" spans="1:8">
      <c r="A153" s="3" t="s">
        <v>614</v>
      </c>
      <c r="B153" s="3" t="s">
        <v>1228</v>
      </c>
      <c r="C153" s="3" t="s">
        <v>1229</v>
      </c>
      <c r="D153" s="3" t="s">
        <v>1160</v>
      </c>
      <c r="E153" s="211" t="s">
        <v>1132</v>
      </c>
      <c r="F153" s="202" t="s">
        <v>804</v>
      </c>
      <c r="G153" s="270" t="s">
        <v>1230</v>
      </c>
      <c r="H153" s="3"/>
    </row>
    <row r="154" spans="1:8">
      <c r="A154" s="3" t="s">
        <v>614</v>
      </c>
      <c r="B154" s="3" t="s">
        <v>1231</v>
      </c>
      <c r="C154" s="3" t="s">
        <v>1232</v>
      </c>
      <c r="D154" s="3"/>
      <c r="E154" s="211"/>
      <c r="F154" s="3"/>
      <c r="G154" s="204"/>
      <c r="H154" s="3"/>
    </row>
    <row r="155" spans="1:8">
      <c r="A155" s="3" t="s">
        <v>614</v>
      </c>
      <c r="B155" s="3" t="s">
        <v>1233</v>
      </c>
      <c r="C155" s="3" t="s">
        <v>1234</v>
      </c>
      <c r="D155" s="3"/>
      <c r="E155" s="211"/>
      <c r="F155" s="3"/>
      <c r="G155" s="204"/>
      <c r="H155" s="3"/>
    </row>
    <row r="156" spans="1:8">
      <c r="A156" s="3" t="s">
        <v>614</v>
      </c>
      <c r="B156" s="3" t="s">
        <v>1047</v>
      </c>
      <c r="C156" s="3" t="s">
        <v>891</v>
      </c>
      <c r="D156" s="3"/>
      <c r="E156" s="211"/>
      <c r="F156" s="3"/>
      <c r="G156" s="204"/>
      <c r="H156" s="3"/>
    </row>
    <row r="157" spans="1:8">
      <c r="A157" s="3" t="s">
        <v>614</v>
      </c>
      <c r="B157" s="3" t="s">
        <v>1049</v>
      </c>
      <c r="C157" s="3" t="s">
        <v>1050</v>
      </c>
      <c r="D157" s="3"/>
      <c r="E157" s="3"/>
      <c r="F157" s="271"/>
      <c r="G157" s="3"/>
      <c r="H157" s="3"/>
    </row>
    <row r="158" spans="1:8">
      <c r="A158" s="3" t="s">
        <v>614</v>
      </c>
      <c r="B158" s="3" t="s">
        <v>1235</v>
      </c>
      <c r="C158" s="3" t="s">
        <v>1236</v>
      </c>
      <c r="D158" s="3"/>
      <c r="E158" s="3"/>
      <c r="F158" s="211"/>
      <c r="G158" s="3"/>
      <c r="H158" s="3"/>
    </row>
    <row r="159" spans="1:8">
      <c r="A159" s="3" t="s">
        <v>614</v>
      </c>
      <c r="B159" s="3" t="s">
        <v>946</v>
      </c>
      <c r="C159" s="3" t="s">
        <v>806</v>
      </c>
      <c r="D159" s="3"/>
      <c r="E159" s="3"/>
      <c r="F159" s="211"/>
      <c r="G159" s="3"/>
      <c r="H159" s="3"/>
    </row>
  </sheetData>
  <hyperlinks>
    <hyperlink ref="B1" location="Summary!A1" display="Summary" xr:uid="{D6ED4155-D45F-422D-A71F-0A9E647F3170}"/>
  </hyperlinks>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EEAE-91C7-454E-AFA4-158DBA9C7559}">
  <dimension ref="A4:H110"/>
  <sheetViews>
    <sheetView workbookViewId="0"/>
  </sheetViews>
  <sheetFormatPr defaultRowHeight="15"/>
  <cols>
    <col min="1" max="8" width="24.5703125" customWidth="1"/>
  </cols>
  <sheetData>
    <row r="4" spans="1:8">
      <c r="A4" s="263" t="s">
        <v>550</v>
      </c>
      <c r="B4" s="263" t="s">
        <v>775</v>
      </c>
      <c r="C4" s="274" t="s">
        <v>776</v>
      </c>
      <c r="D4" s="274" t="s">
        <v>1081</v>
      </c>
      <c r="E4" s="74" t="s">
        <v>778</v>
      </c>
      <c r="F4" s="74" t="s">
        <v>779</v>
      </c>
      <c r="G4" s="74" t="s">
        <v>568</v>
      </c>
      <c r="H4" s="74" t="s">
        <v>780</v>
      </c>
    </row>
    <row r="5" spans="1:8">
      <c r="A5" s="3" t="s">
        <v>629</v>
      </c>
      <c r="B5" s="54" t="s">
        <v>1083</v>
      </c>
      <c r="C5" s="54" t="s">
        <v>862</v>
      </c>
      <c r="D5" s="54" t="s">
        <v>725</v>
      </c>
      <c r="E5" s="54"/>
      <c r="F5" s="54" t="s">
        <v>725</v>
      </c>
      <c r="G5" s="54"/>
      <c r="H5" s="3"/>
    </row>
    <row r="6" spans="1:8" ht="25.5">
      <c r="A6" s="3" t="s">
        <v>629</v>
      </c>
      <c r="B6" s="54" t="s">
        <v>1085</v>
      </c>
      <c r="C6" s="54" t="s">
        <v>866</v>
      </c>
      <c r="D6" s="54" t="s">
        <v>1086</v>
      </c>
      <c r="E6" s="54"/>
      <c r="F6" s="54" t="s">
        <v>786</v>
      </c>
      <c r="G6" s="54"/>
      <c r="H6" s="3"/>
    </row>
    <row r="7" spans="1:8">
      <c r="A7" s="3" t="s">
        <v>629</v>
      </c>
      <c r="B7" s="54" t="s">
        <v>928</v>
      </c>
      <c r="C7" s="54" t="s">
        <v>784</v>
      </c>
      <c r="D7" s="54" t="s">
        <v>912</v>
      </c>
      <c r="E7" s="54"/>
      <c r="F7" s="54" t="s">
        <v>786</v>
      </c>
      <c r="G7" s="54"/>
      <c r="H7" s="3"/>
    </row>
    <row r="8" spans="1:8">
      <c r="A8" s="3" t="s">
        <v>629</v>
      </c>
      <c r="B8" s="54" t="s">
        <v>1089</v>
      </c>
      <c r="C8" s="54" t="s">
        <v>1090</v>
      </c>
      <c r="D8" s="54" t="s">
        <v>1091</v>
      </c>
      <c r="E8" s="54"/>
      <c r="F8" s="54" t="s">
        <v>828</v>
      </c>
      <c r="G8" s="54"/>
      <c r="H8" s="3"/>
    </row>
    <row r="9" spans="1:8">
      <c r="A9" s="3" t="s">
        <v>629</v>
      </c>
      <c r="B9" s="54" t="s">
        <v>1093</v>
      </c>
      <c r="C9" s="54" t="s">
        <v>1094</v>
      </c>
      <c r="D9" s="54" t="s">
        <v>1095</v>
      </c>
      <c r="E9" s="54"/>
      <c r="F9" s="54" t="s">
        <v>828</v>
      </c>
      <c r="G9" s="54"/>
      <c r="H9" s="3"/>
    </row>
    <row r="10" spans="1:8">
      <c r="A10" s="3" t="s">
        <v>629</v>
      </c>
      <c r="B10" s="54" t="s">
        <v>1098</v>
      </c>
      <c r="C10" s="54" t="s">
        <v>1099</v>
      </c>
      <c r="D10" s="54" t="s">
        <v>1100</v>
      </c>
      <c r="E10" s="54"/>
      <c r="F10" s="54" t="s">
        <v>828</v>
      </c>
      <c r="G10" s="54"/>
      <c r="H10" s="3"/>
    </row>
    <row r="11" spans="1:8">
      <c r="A11" s="3" t="s">
        <v>629</v>
      </c>
      <c r="B11" s="54" t="s">
        <v>1101</v>
      </c>
      <c r="C11" s="54" t="s">
        <v>1102</v>
      </c>
      <c r="D11" s="54" t="s">
        <v>1103</v>
      </c>
      <c r="E11" s="54"/>
      <c r="F11" s="54" t="s">
        <v>828</v>
      </c>
      <c r="G11" s="54"/>
      <c r="H11" s="3"/>
    </row>
    <row r="12" spans="1:8">
      <c r="A12" s="3" t="s">
        <v>629</v>
      </c>
      <c r="B12" s="54" t="s">
        <v>924</v>
      </c>
      <c r="C12" s="54" t="s">
        <v>564</v>
      </c>
      <c r="D12" s="54" t="s">
        <v>913</v>
      </c>
      <c r="E12" s="54"/>
      <c r="F12" s="54" t="s">
        <v>786</v>
      </c>
      <c r="G12" s="54"/>
      <c r="H12" s="3"/>
    </row>
    <row r="13" spans="1:8">
      <c r="A13" s="3" t="s">
        <v>629</v>
      </c>
      <c r="B13" s="54" t="s">
        <v>945</v>
      </c>
      <c r="C13" s="54" t="s">
        <v>800</v>
      </c>
      <c r="D13" s="54" t="s">
        <v>725</v>
      </c>
      <c r="E13" s="54"/>
      <c r="F13" s="54" t="s">
        <v>725</v>
      </c>
      <c r="G13" s="54"/>
      <c r="H13" s="3"/>
    </row>
    <row r="14" spans="1:8">
      <c r="A14" s="3" t="s">
        <v>629</v>
      </c>
      <c r="B14" s="54" t="s">
        <v>926</v>
      </c>
      <c r="C14" s="54" t="s">
        <v>802</v>
      </c>
      <c r="D14" s="54" t="s">
        <v>915</v>
      </c>
      <c r="E14" s="54"/>
      <c r="F14" s="54" t="s">
        <v>828</v>
      </c>
      <c r="G14" s="54"/>
      <c r="H14" s="3"/>
    </row>
    <row r="15" spans="1:8">
      <c r="A15" s="3" t="s">
        <v>629</v>
      </c>
      <c r="B15" s="54" t="s">
        <v>933</v>
      </c>
      <c r="C15" s="54" t="s">
        <v>798</v>
      </c>
      <c r="D15" s="54" t="s">
        <v>725</v>
      </c>
      <c r="E15" s="54"/>
      <c r="F15" s="54" t="s">
        <v>725</v>
      </c>
      <c r="G15" s="54"/>
      <c r="H15" s="3"/>
    </row>
    <row r="16" spans="1:8">
      <c r="A16" s="146" t="s">
        <v>629</v>
      </c>
      <c r="B16" s="273" t="s">
        <v>922</v>
      </c>
      <c r="C16" s="273" t="s">
        <v>923</v>
      </c>
      <c r="D16" s="273" t="s">
        <v>725</v>
      </c>
      <c r="E16" s="273"/>
      <c r="F16" s="273" t="s">
        <v>725</v>
      </c>
      <c r="G16" s="54"/>
      <c r="H16" s="3"/>
    </row>
    <row r="17" spans="1:8">
      <c r="A17" s="3" t="s">
        <v>629</v>
      </c>
      <c r="B17" s="54" t="s">
        <v>946</v>
      </c>
      <c r="C17" s="54" t="s">
        <v>806</v>
      </c>
      <c r="D17" s="54" t="s">
        <v>725</v>
      </c>
      <c r="E17" s="54"/>
      <c r="F17" s="54" t="s">
        <v>725</v>
      </c>
      <c r="G17" s="54"/>
      <c r="H17" s="3"/>
    </row>
    <row r="18" spans="1:8" ht="25.5">
      <c r="A18" s="3" t="s">
        <v>629</v>
      </c>
      <c r="B18" s="54" t="s">
        <v>1108</v>
      </c>
      <c r="C18" s="54" t="s">
        <v>1109</v>
      </c>
      <c r="D18" s="54" t="s">
        <v>1103</v>
      </c>
      <c r="E18" s="54" t="s">
        <v>1110</v>
      </c>
      <c r="F18" s="54" t="s">
        <v>828</v>
      </c>
      <c r="G18" s="54"/>
      <c r="H18" s="3"/>
    </row>
    <row r="19" spans="1:8" ht="38.25">
      <c r="A19" s="3" t="s">
        <v>629</v>
      </c>
      <c r="B19" s="54" t="s">
        <v>1112</v>
      </c>
      <c r="C19" s="54" t="s">
        <v>1113</v>
      </c>
      <c r="D19" s="54" t="s">
        <v>1114</v>
      </c>
      <c r="E19" s="54" t="s">
        <v>1115</v>
      </c>
      <c r="F19" s="54" t="s">
        <v>828</v>
      </c>
      <c r="G19" s="54"/>
      <c r="H19" s="3"/>
    </row>
    <row r="20" spans="1:8">
      <c r="A20" s="3" t="s">
        <v>629</v>
      </c>
      <c r="B20" s="54" t="s">
        <v>1117</v>
      </c>
      <c r="C20" s="54" t="s">
        <v>1118</v>
      </c>
      <c r="D20" s="54" t="s">
        <v>1119</v>
      </c>
      <c r="E20" s="54"/>
      <c r="F20" s="54" t="s">
        <v>828</v>
      </c>
      <c r="G20" s="54"/>
      <c r="H20" s="3"/>
    </row>
    <row r="21" spans="1:8">
      <c r="A21" s="3" t="s">
        <v>629</v>
      </c>
      <c r="B21" s="54" t="s">
        <v>984</v>
      </c>
      <c r="C21" s="54" t="s">
        <v>985</v>
      </c>
      <c r="D21" s="54" t="s">
        <v>1120</v>
      </c>
      <c r="E21" s="54"/>
      <c r="F21" s="54" t="s">
        <v>828</v>
      </c>
      <c r="G21" s="54"/>
      <c r="H21" s="3"/>
    </row>
    <row r="22" spans="1:8" ht="38.25">
      <c r="A22" s="3"/>
      <c r="B22" s="54" t="s">
        <v>787</v>
      </c>
      <c r="C22" s="245" t="s">
        <v>564</v>
      </c>
      <c r="D22" s="245" t="s">
        <v>1122</v>
      </c>
      <c r="E22" s="54"/>
      <c r="F22" s="54" t="s">
        <v>828</v>
      </c>
      <c r="G22" s="54" t="s">
        <v>1123</v>
      </c>
      <c r="H22" s="3"/>
    </row>
    <row r="23" spans="1:8" ht="38.25">
      <c r="A23" s="3"/>
      <c r="B23" s="54" t="s">
        <v>1125</v>
      </c>
      <c r="C23" s="245" t="s">
        <v>1126</v>
      </c>
      <c r="D23" s="245" t="s">
        <v>1127</v>
      </c>
      <c r="E23" s="54"/>
      <c r="F23" s="54" t="s">
        <v>828</v>
      </c>
      <c r="G23" s="54" t="s">
        <v>1123</v>
      </c>
      <c r="H23" s="3"/>
    </row>
    <row r="24" spans="1:8">
      <c r="A24" s="54" t="s">
        <v>1137</v>
      </c>
      <c r="B24" s="54" t="s">
        <v>1172</v>
      </c>
      <c r="C24" s="54" t="s">
        <v>260</v>
      </c>
      <c r="D24" s="54" t="s">
        <v>725</v>
      </c>
      <c r="E24" s="54"/>
      <c r="F24" s="54" t="s">
        <v>725</v>
      </c>
      <c r="G24" s="54" t="s">
        <v>1237</v>
      </c>
      <c r="H24" s="3"/>
    </row>
    <row r="25" spans="1:8" ht="25.5">
      <c r="A25" s="54" t="s">
        <v>1137</v>
      </c>
      <c r="B25" s="54" t="s">
        <v>1178</v>
      </c>
      <c r="C25" s="54" t="s">
        <v>1142</v>
      </c>
      <c r="D25" s="54" t="s">
        <v>1238</v>
      </c>
      <c r="E25" s="54"/>
      <c r="F25" s="54" t="s">
        <v>786</v>
      </c>
      <c r="G25" s="54" t="s">
        <v>1237</v>
      </c>
      <c r="H25" s="3"/>
    </row>
    <row r="26" spans="1:8">
      <c r="A26" s="54" t="s">
        <v>1137</v>
      </c>
      <c r="B26" s="54" t="s">
        <v>928</v>
      </c>
      <c r="C26" s="54" t="s">
        <v>784</v>
      </c>
      <c r="D26" s="54" t="s">
        <v>929</v>
      </c>
      <c r="E26" s="54"/>
      <c r="F26" s="54" t="s">
        <v>786</v>
      </c>
      <c r="G26" s="54" t="s">
        <v>1237</v>
      </c>
      <c r="H26" s="3"/>
    </row>
    <row r="27" spans="1:8">
      <c r="A27" s="54" t="s">
        <v>1137</v>
      </c>
      <c r="B27" s="54" t="s">
        <v>1083</v>
      </c>
      <c r="C27" s="54" t="s">
        <v>862</v>
      </c>
      <c r="D27" s="54" t="s">
        <v>1139</v>
      </c>
      <c r="E27" s="54"/>
      <c r="F27" s="54" t="s">
        <v>786</v>
      </c>
      <c r="G27" s="54" t="s">
        <v>1237</v>
      </c>
      <c r="H27" s="3"/>
    </row>
    <row r="28" spans="1:8">
      <c r="A28" s="54" t="s">
        <v>1137</v>
      </c>
      <c r="B28" s="54" t="s">
        <v>935</v>
      </c>
      <c r="C28" s="54" t="s">
        <v>808</v>
      </c>
      <c r="D28" s="54" t="s">
        <v>725</v>
      </c>
      <c r="E28" s="54"/>
      <c r="F28" s="54" t="s">
        <v>725</v>
      </c>
      <c r="G28" s="54" t="s">
        <v>1237</v>
      </c>
      <c r="H28" s="3"/>
    </row>
    <row r="29" spans="1:8">
      <c r="A29" s="54" t="s">
        <v>1137</v>
      </c>
      <c r="B29" s="54" t="s">
        <v>1049</v>
      </c>
      <c r="C29" s="54" t="s">
        <v>1050</v>
      </c>
      <c r="D29" s="54" t="s">
        <v>1185</v>
      </c>
      <c r="E29" s="54"/>
      <c r="F29" s="54" t="s">
        <v>786</v>
      </c>
      <c r="G29" s="54" t="s">
        <v>1237</v>
      </c>
      <c r="H29" s="3"/>
    </row>
    <row r="30" spans="1:8">
      <c r="A30" s="54" t="s">
        <v>1137</v>
      </c>
      <c r="B30" s="54" t="s">
        <v>924</v>
      </c>
      <c r="C30" s="54" t="s">
        <v>564</v>
      </c>
      <c r="D30" s="54" t="s">
        <v>913</v>
      </c>
      <c r="E30" s="54"/>
      <c r="F30" s="54" t="s">
        <v>786</v>
      </c>
      <c r="G30" s="54" t="s">
        <v>1237</v>
      </c>
      <c r="H30" s="3" t="s">
        <v>1239</v>
      </c>
    </row>
    <row r="31" spans="1:8">
      <c r="A31" s="54" t="s">
        <v>1137</v>
      </c>
      <c r="B31" s="54" t="s">
        <v>945</v>
      </c>
      <c r="C31" s="54" t="s">
        <v>800</v>
      </c>
      <c r="D31" s="54" t="s">
        <v>725</v>
      </c>
      <c r="E31" s="54"/>
      <c r="F31" s="54" t="s">
        <v>725</v>
      </c>
      <c r="G31" s="54" t="s">
        <v>1237</v>
      </c>
      <c r="H31" s="3"/>
    </row>
    <row r="32" spans="1:8">
      <c r="A32" s="54" t="s">
        <v>1137</v>
      </c>
      <c r="B32" s="54" t="s">
        <v>926</v>
      </c>
      <c r="C32" s="54" t="s">
        <v>802</v>
      </c>
      <c r="D32" s="54" t="s">
        <v>915</v>
      </c>
      <c r="E32" s="54"/>
      <c r="F32" s="54" t="s">
        <v>828</v>
      </c>
      <c r="G32" s="54" t="s">
        <v>1237</v>
      </c>
      <c r="H32" s="3"/>
    </row>
    <row r="33" spans="1:8">
      <c r="A33" s="54" t="s">
        <v>1137</v>
      </c>
      <c r="B33" s="54" t="s">
        <v>933</v>
      </c>
      <c r="C33" s="54" t="s">
        <v>798</v>
      </c>
      <c r="D33" s="54" t="s">
        <v>725</v>
      </c>
      <c r="E33" s="54"/>
      <c r="F33" s="54" t="s">
        <v>725</v>
      </c>
      <c r="G33" s="54" t="s">
        <v>1237</v>
      </c>
      <c r="H33" s="3"/>
    </row>
    <row r="34" spans="1:8" ht="25.5">
      <c r="A34" s="54" t="s">
        <v>1137</v>
      </c>
      <c r="B34" s="54" t="s">
        <v>922</v>
      </c>
      <c r="C34" s="54" t="s">
        <v>923</v>
      </c>
      <c r="D34" s="54" t="s">
        <v>725</v>
      </c>
      <c r="E34" s="54"/>
      <c r="F34" s="54" t="s">
        <v>725</v>
      </c>
      <c r="G34" s="54" t="s">
        <v>1240</v>
      </c>
      <c r="H34" s="3"/>
    </row>
    <row r="35" spans="1:8">
      <c r="A35" s="54" t="s">
        <v>1137</v>
      </c>
      <c r="B35" s="54" t="s">
        <v>946</v>
      </c>
      <c r="C35" s="54" t="s">
        <v>806</v>
      </c>
      <c r="D35" s="54" t="s">
        <v>725</v>
      </c>
      <c r="E35" s="54"/>
      <c r="F35" s="54" t="s">
        <v>725</v>
      </c>
      <c r="G35" s="54" t="s">
        <v>1237</v>
      </c>
      <c r="H35" s="3"/>
    </row>
    <row r="36" spans="1:8">
      <c r="A36" s="54" t="s">
        <v>640</v>
      </c>
      <c r="B36" s="54" t="s">
        <v>1175</v>
      </c>
      <c r="C36" s="54" t="s">
        <v>1147</v>
      </c>
      <c r="D36" s="54" t="s">
        <v>725</v>
      </c>
      <c r="E36" s="54"/>
      <c r="F36" s="54" t="s">
        <v>725</v>
      </c>
      <c r="G36" s="54"/>
      <c r="H36" s="3"/>
    </row>
    <row r="37" spans="1:8">
      <c r="A37" s="54" t="s">
        <v>640</v>
      </c>
      <c r="B37" s="54" t="s">
        <v>1172</v>
      </c>
      <c r="C37" s="54" t="s">
        <v>260</v>
      </c>
      <c r="D37" s="54" t="s">
        <v>1148</v>
      </c>
      <c r="E37" s="54" t="s">
        <v>1175</v>
      </c>
      <c r="F37" s="54" t="s">
        <v>1241</v>
      </c>
      <c r="G37" s="54"/>
      <c r="H37" s="3"/>
    </row>
    <row r="38" spans="1:8">
      <c r="A38" s="54" t="s">
        <v>640</v>
      </c>
      <c r="B38" s="54" t="s">
        <v>1173</v>
      </c>
      <c r="C38" s="54" t="s">
        <v>1174</v>
      </c>
      <c r="D38" s="54" t="s">
        <v>725</v>
      </c>
      <c r="E38" s="54"/>
      <c r="F38" s="54" t="s">
        <v>725</v>
      </c>
      <c r="G38" s="54"/>
      <c r="H38" s="3"/>
    </row>
    <row r="39" spans="1:8">
      <c r="A39" s="54" t="s">
        <v>640</v>
      </c>
      <c r="B39" s="54" t="s">
        <v>928</v>
      </c>
      <c r="C39" s="54" t="s">
        <v>784</v>
      </c>
      <c r="D39" s="54" t="s">
        <v>912</v>
      </c>
      <c r="E39" s="54"/>
      <c r="F39" s="54" t="s">
        <v>786</v>
      </c>
      <c r="G39" s="54"/>
      <c r="H39" s="3"/>
    </row>
    <row r="40" spans="1:8" ht="38.25">
      <c r="A40" s="54" t="s">
        <v>640</v>
      </c>
      <c r="B40" s="54" t="s">
        <v>924</v>
      </c>
      <c r="C40" s="54" t="s">
        <v>564</v>
      </c>
      <c r="D40" s="240" t="s">
        <v>788</v>
      </c>
      <c r="E40" s="54" t="s">
        <v>1242</v>
      </c>
      <c r="F40" s="54" t="s">
        <v>786</v>
      </c>
      <c r="G40" s="54" t="s">
        <v>1243</v>
      </c>
      <c r="H40" s="3" t="s">
        <v>1239</v>
      </c>
    </row>
    <row r="41" spans="1:8">
      <c r="A41" s="54" t="s">
        <v>640</v>
      </c>
      <c r="B41" s="54" t="s">
        <v>926</v>
      </c>
      <c r="C41" s="54" t="s">
        <v>802</v>
      </c>
      <c r="D41" s="240" t="s">
        <v>803</v>
      </c>
      <c r="E41" s="54"/>
      <c r="F41" s="54" t="s">
        <v>804</v>
      </c>
      <c r="G41" s="54"/>
      <c r="H41" s="3"/>
    </row>
    <row r="42" spans="1:8">
      <c r="A42" s="54" t="s">
        <v>640</v>
      </c>
      <c r="B42" s="54" t="s">
        <v>945</v>
      </c>
      <c r="C42" s="54" t="s">
        <v>800</v>
      </c>
      <c r="D42" s="54" t="s">
        <v>725</v>
      </c>
      <c r="E42" s="54"/>
      <c r="F42" s="54" t="s">
        <v>725</v>
      </c>
      <c r="G42" s="54"/>
      <c r="H42" s="3"/>
    </row>
    <row r="43" spans="1:8">
      <c r="A43" s="54" t="s">
        <v>640</v>
      </c>
      <c r="B43" s="54" t="s">
        <v>933</v>
      </c>
      <c r="C43" s="54" t="s">
        <v>798</v>
      </c>
      <c r="D43" s="54" t="s">
        <v>725</v>
      </c>
      <c r="E43" s="54"/>
      <c r="F43" s="54" t="s">
        <v>725</v>
      </c>
      <c r="G43" s="54"/>
      <c r="H43" s="3"/>
    </row>
    <row r="44" spans="1:8" ht="38.25">
      <c r="A44" s="54" t="s">
        <v>640</v>
      </c>
      <c r="B44" s="54" t="s">
        <v>922</v>
      </c>
      <c r="C44" s="54" t="s">
        <v>923</v>
      </c>
      <c r="D44" s="54" t="s">
        <v>725</v>
      </c>
      <c r="E44" s="54"/>
      <c r="F44" s="54" t="s">
        <v>725</v>
      </c>
      <c r="G44" s="54" t="s">
        <v>1244</v>
      </c>
      <c r="H44" s="3"/>
    </row>
    <row r="45" spans="1:8">
      <c r="A45" s="245" t="s">
        <v>1245</v>
      </c>
      <c r="B45" s="245" t="s">
        <v>1246</v>
      </c>
      <c r="C45" s="245" t="s">
        <v>1247</v>
      </c>
      <c r="D45" s="245" t="s">
        <v>1248</v>
      </c>
      <c r="E45" s="245"/>
      <c r="F45" s="54"/>
      <c r="G45" s="54"/>
      <c r="H45" s="3"/>
    </row>
    <row r="46" spans="1:8">
      <c r="A46" s="245" t="s">
        <v>1245</v>
      </c>
      <c r="B46" s="245" t="s">
        <v>787</v>
      </c>
      <c r="C46" s="245" t="s">
        <v>564</v>
      </c>
      <c r="D46" s="245" t="s">
        <v>1249</v>
      </c>
      <c r="E46" s="245"/>
      <c r="F46" s="54"/>
      <c r="G46" s="54"/>
      <c r="H46" s="3"/>
    </row>
    <row r="47" spans="1:8" ht="25.5">
      <c r="A47" s="245" t="s">
        <v>1245</v>
      </c>
      <c r="B47" s="245" t="s">
        <v>1250</v>
      </c>
      <c r="C47" s="245" t="s">
        <v>1251</v>
      </c>
      <c r="D47" s="245" t="s">
        <v>1103</v>
      </c>
      <c r="E47" s="245" t="s">
        <v>1252</v>
      </c>
      <c r="F47" s="54"/>
      <c r="G47" s="54" t="s">
        <v>1253</v>
      </c>
      <c r="H47" s="3"/>
    </row>
    <row r="48" spans="1:8">
      <c r="A48" s="245" t="s">
        <v>1245</v>
      </c>
      <c r="B48" s="245" t="s">
        <v>1254</v>
      </c>
      <c r="C48" s="245"/>
      <c r="D48" s="245"/>
      <c r="E48" s="245"/>
      <c r="F48" s="54"/>
      <c r="G48" s="54"/>
      <c r="H48" s="3"/>
    </row>
    <row r="49" spans="1:8">
      <c r="A49" s="54" t="s">
        <v>640</v>
      </c>
      <c r="B49" s="54" t="s">
        <v>946</v>
      </c>
      <c r="C49" s="54" t="s">
        <v>806</v>
      </c>
      <c r="D49" s="54" t="s">
        <v>725</v>
      </c>
      <c r="E49" s="54"/>
      <c r="F49" s="54" t="s">
        <v>725</v>
      </c>
      <c r="G49" s="54"/>
      <c r="H49" s="3"/>
    </row>
    <row r="50" spans="1:8">
      <c r="A50" s="54" t="s">
        <v>640</v>
      </c>
      <c r="B50" s="54" t="s">
        <v>1011</v>
      </c>
      <c r="C50" s="54" t="s">
        <v>1012</v>
      </c>
      <c r="D50" s="54" t="s">
        <v>1255</v>
      </c>
      <c r="E50" s="54" t="s">
        <v>1175</v>
      </c>
      <c r="F50" s="54" t="s">
        <v>786</v>
      </c>
      <c r="G50" s="54"/>
      <c r="H50" s="3"/>
    </row>
    <row r="51" spans="1:8">
      <c r="A51" s="54" t="s">
        <v>640</v>
      </c>
      <c r="B51" s="54" t="s">
        <v>1161</v>
      </c>
      <c r="C51" s="54" t="s">
        <v>1162</v>
      </c>
      <c r="D51" s="54" t="s">
        <v>725</v>
      </c>
      <c r="E51" s="54"/>
      <c r="F51" s="54" t="s">
        <v>725</v>
      </c>
      <c r="G51" s="54"/>
      <c r="H51" s="3"/>
    </row>
    <row r="52" spans="1:8">
      <c r="A52" s="54" t="s">
        <v>640</v>
      </c>
      <c r="B52" s="54" t="s">
        <v>1167</v>
      </c>
      <c r="C52" s="54" t="s">
        <v>1168</v>
      </c>
      <c r="D52" s="54" t="s">
        <v>725</v>
      </c>
      <c r="E52" s="54"/>
      <c r="F52" s="54" t="s">
        <v>725</v>
      </c>
      <c r="G52" s="54"/>
      <c r="H52" s="3"/>
    </row>
    <row r="53" spans="1:8">
      <c r="A53" s="54" t="s">
        <v>640</v>
      </c>
      <c r="B53" s="54" t="s">
        <v>1170</v>
      </c>
      <c r="C53" s="54" t="s">
        <v>1155</v>
      </c>
      <c r="D53" s="54" t="s">
        <v>725</v>
      </c>
      <c r="E53" s="54"/>
      <c r="F53" s="54" t="s">
        <v>725</v>
      </c>
      <c r="G53" s="54"/>
      <c r="H53" s="3"/>
    </row>
    <row r="54" spans="1:8">
      <c r="A54" s="255" t="s">
        <v>642</v>
      </c>
      <c r="B54" s="255" t="s">
        <v>984</v>
      </c>
      <c r="C54" s="255" t="s">
        <v>985</v>
      </c>
      <c r="D54" s="255" t="s">
        <v>1237</v>
      </c>
      <c r="E54" s="255" t="s">
        <v>1237</v>
      </c>
      <c r="F54" s="255" t="s">
        <v>1237</v>
      </c>
      <c r="G54" s="3"/>
      <c r="H54" s="3"/>
    </row>
    <row r="55" spans="1:8">
      <c r="A55" s="255" t="s">
        <v>642</v>
      </c>
      <c r="B55" s="255" t="s">
        <v>1256</v>
      </c>
      <c r="C55" s="255" t="s">
        <v>1257</v>
      </c>
      <c r="D55" s="255" t="s">
        <v>1237</v>
      </c>
      <c r="E55" s="255" t="s">
        <v>1237</v>
      </c>
      <c r="F55" s="255" t="s">
        <v>1237</v>
      </c>
      <c r="G55" s="3"/>
      <c r="H55" s="3"/>
    </row>
    <row r="56" spans="1:8">
      <c r="A56" s="255" t="s">
        <v>642</v>
      </c>
      <c r="B56" s="255" t="s">
        <v>1258</v>
      </c>
      <c r="C56" s="255" t="s">
        <v>1259</v>
      </c>
      <c r="D56" s="255" t="s">
        <v>1260</v>
      </c>
      <c r="E56" s="255" t="s">
        <v>1261</v>
      </c>
      <c r="F56" s="255" t="s">
        <v>804</v>
      </c>
      <c r="G56" s="3"/>
      <c r="H56" s="3"/>
    </row>
    <row r="57" spans="1:8">
      <c r="A57" s="255" t="s">
        <v>642</v>
      </c>
      <c r="B57" s="255" t="s">
        <v>922</v>
      </c>
      <c r="C57" s="255" t="s">
        <v>923</v>
      </c>
      <c r="D57" s="255" t="s">
        <v>1237</v>
      </c>
      <c r="E57" s="255" t="s">
        <v>1237</v>
      </c>
      <c r="F57" s="255" t="s">
        <v>1237</v>
      </c>
      <c r="G57" s="3"/>
      <c r="H57" s="3"/>
    </row>
    <row r="58" spans="1:8" ht="26.25">
      <c r="A58" s="282" t="s">
        <v>1262</v>
      </c>
      <c r="B58" s="282" t="s">
        <v>1263</v>
      </c>
      <c r="C58" s="282" t="s">
        <v>1237</v>
      </c>
      <c r="D58" s="283" t="s">
        <v>1189</v>
      </c>
      <c r="E58" s="282" t="s">
        <v>1237</v>
      </c>
      <c r="F58" s="282" t="s">
        <v>804</v>
      </c>
      <c r="G58" s="3"/>
      <c r="H58" s="3"/>
    </row>
    <row r="59" spans="1:8">
      <c r="A59" s="282" t="s">
        <v>1262</v>
      </c>
      <c r="B59" s="282" t="s">
        <v>1264</v>
      </c>
      <c r="C59" s="282" t="s">
        <v>1237</v>
      </c>
      <c r="D59" s="282" t="s">
        <v>1237</v>
      </c>
      <c r="E59" s="282" t="s">
        <v>1237</v>
      </c>
      <c r="F59" s="282" t="s">
        <v>1237</v>
      </c>
      <c r="G59" s="3"/>
      <c r="H59" s="3"/>
    </row>
    <row r="60" spans="1:8" ht="26.25">
      <c r="A60" s="282" t="s">
        <v>1262</v>
      </c>
      <c r="B60" s="282" t="s">
        <v>1265</v>
      </c>
      <c r="C60" s="282" t="s">
        <v>1237</v>
      </c>
      <c r="D60" s="283" t="s">
        <v>1189</v>
      </c>
      <c r="E60" s="282" t="s">
        <v>1237</v>
      </c>
      <c r="F60" s="282" t="s">
        <v>804</v>
      </c>
      <c r="G60" s="3"/>
      <c r="H60" s="3"/>
    </row>
    <row r="61" spans="1:8">
      <c r="A61" s="255" t="s">
        <v>642</v>
      </c>
      <c r="B61" s="255" t="s">
        <v>924</v>
      </c>
      <c r="C61" s="255" t="s">
        <v>564</v>
      </c>
      <c r="D61" s="255" t="s">
        <v>788</v>
      </c>
      <c r="E61" s="255" t="s">
        <v>1237</v>
      </c>
      <c r="F61" s="255" t="s">
        <v>1237</v>
      </c>
      <c r="G61" s="3"/>
      <c r="H61" s="3"/>
    </row>
    <row r="62" spans="1:8">
      <c r="A62" s="255" t="s">
        <v>642</v>
      </c>
      <c r="B62" s="255" t="s">
        <v>926</v>
      </c>
      <c r="C62" s="255" t="s">
        <v>802</v>
      </c>
      <c r="D62" s="255" t="s">
        <v>803</v>
      </c>
      <c r="E62" s="255" t="s">
        <v>1237</v>
      </c>
      <c r="F62" s="255" t="s">
        <v>804</v>
      </c>
      <c r="G62" s="3"/>
      <c r="H62" s="3"/>
    </row>
    <row r="63" spans="1:8">
      <c r="A63" s="255" t="s">
        <v>642</v>
      </c>
      <c r="B63" s="255" t="s">
        <v>928</v>
      </c>
      <c r="C63" s="255" t="s">
        <v>784</v>
      </c>
      <c r="D63" s="255" t="s">
        <v>785</v>
      </c>
      <c r="E63" s="255" t="s">
        <v>1237</v>
      </c>
      <c r="F63" s="255" t="s">
        <v>786</v>
      </c>
      <c r="G63" s="3"/>
      <c r="H63" s="3"/>
    </row>
    <row r="64" spans="1:8">
      <c r="A64" s="255" t="s">
        <v>642</v>
      </c>
      <c r="B64" s="255" t="s">
        <v>933</v>
      </c>
      <c r="C64" s="255" t="s">
        <v>798</v>
      </c>
      <c r="D64" s="255" t="s">
        <v>1237</v>
      </c>
      <c r="E64" s="255" t="s">
        <v>1237</v>
      </c>
      <c r="F64" s="255" t="s">
        <v>1237</v>
      </c>
      <c r="G64" s="3"/>
      <c r="H64" s="3"/>
    </row>
    <row r="65" spans="1:8">
      <c r="A65" s="255" t="s">
        <v>642</v>
      </c>
      <c r="B65" s="255" t="s">
        <v>1266</v>
      </c>
      <c r="C65" s="255" t="s">
        <v>1267</v>
      </c>
      <c r="D65" s="255" t="s">
        <v>1237</v>
      </c>
      <c r="E65" s="255" t="s">
        <v>1237</v>
      </c>
      <c r="F65" s="255" t="s">
        <v>1237</v>
      </c>
      <c r="G65" s="3"/>
      <c r="H65" s="3"/>
    </row>
    <row r="66" spans="1:8">
      <c r="A66" s="255" t="s">
        <v>642</v>
      </c>
      <c r="B66" s="255" t="s">
        <v>1268</v>
      </c>
      <c r="C66" s="255" t="s">
        <v>1269</v>
      </c>
      <c r="D66" s="255" t="s">
        <v>1237</v>
      </c>
      <c r="E66" s="255" t="s">
        <v>1237</v>
      </c>
      <c r="F66" s="255" t="s">
        <v>1237</v>
      </c>
      <c r="G66" s="3"/>
      <c r="H66" s="3"/>
    </row>
    <row r="67" spans="1:8">
      <c r="A67" s="255" t="s">
        <v>642</v>
      </c>
      <c r="B67" s="255" t="s">
        <v>1270</v>
      </c>
      <c r="C67" s="255" t="s">
        <v>1271</v>
      </c>
      <c r="D67" s="255" t="s">
        <v>1237</v>
      </c>
      <c r="E67" s="255" t="s">
        <v>1237</v>
      </c>
      <c r="F67" s="255" t="s">
        <v>1237</v>
      </c>
      <c r="G67" s="3"/>
      <c r="H67" s="3"/>
    </row>
    <row r="68" spans="1:8">
      <c r="A68" s="255" t="s">
        <v>642</v>
      </c>
      <c r="B68" s="255" t="s">
        <v>1272</v>
      </c>
      <c r="C68" s="255" t="s">
        <v>1273</v>
      </c>
      <c r="D68" s="255" t="s">
        <v>1237</v>
      </c>
      <c r="E68" s="255" t="s">
        <v>1237</v>
      </c>
      <c r="F68" s="255" t="s">
        <v>1237</v>
      </c>
      <c r="G68" s="3"/>
      <c r="H68" s="3"/>
    </row>
    <row r="69" spans="1:8">
      <c r="A69" s="255" t="s">
        <v>642</v>
      </c>
      <c r="B69" s="255" t="s">
        <v>1172</v>
      </c>
      <c r="C69" s="255" t="s">
        <v>260</v>
      </c>
      <c r="D69" s="255" t="s">
        <v>1148</v>
      </c>
      <c r="E69" s="255" t="s">
        <v>1175</v>
      </c>
      <c r="F69" s="255" t="s">
        <v>1241</v>
      </c>
      <c r="G69" s="3"/>
      <c r="H69" s="3"/>
    </row>
    <row r="70" spans="1:8">
      <c r="A70" s="255" t="s">
        <v>642</v>
      </c>
      <c r="B70" s="255" t="s">
        <v>1274</v>
      </c>
      <c r="C70" s="255" t="s">
        <v>1275</v>
      </c>
      <c r="D70" s="255" t="s">
        <v>1237</v>
      </c>
      <c r="E70" s="255" t="s">
        <v>1237</v>
      </c>
      <c r="F70" s="255" t="s">
        <v>1237</v>
      </c>
      <c r="G70" s="3"/>
      <c r="H70" s="3"/>
    </row>
    <row r="71" spans="1:8">
      <c r="A71" s="255" t="s">
        <v>642</v>
      </c>
      <c r="B71" s="255" t="s">
        <v>1276</v>
      </c>
      <c r="C71" s="255" t="s">
        <v>1277</v>
      </c>
      <c r="D71" s="255" t="s">
        <v>1237</v>
      </c>
      <c r="E71" s="255" t="s">
        <v>1237</v>
      </c>
      <c r="F71" s="255" t="s">
        <v>1237</v>
      </c>
      <c r="G71" s="3"/>
      <c r="H71" s="3"/>
    </row>
    <row r="72" spans="1:8">
      <c r="A72" s="255" t="s">
        <v>642</v>
      </c>
      <c r="B72" s="255" t="s">
        <v>1278</v>
      </c>
      <c r="C72" s="255" t="s">
        <v>1279</v>
      </c>
      <c r="D72" s="255" t="s">
        <v>1237</v>
      </c>
      <c r="E72" s="255" t="s">
        <v>1237</v>
      </c>
      <c r="F72" s="255" t="s">
        <v>1237</v>
      </c>
      <c r="G72" s="3"/>
      <c r="H72" s="3"/>
    </row>
    <row r="73" spans="1:8">
      <c r="A73" s="255" t="s">
        <v>642</v>
      </c>
      <c r="B73" s="255" t="s">
        <v>1280</v>
      </c>
      <c r="C73" s="255" t="s">
        <v>1281</v>
      </c>
      <c r="D73" s="255" t="s">
        <v>1282</v>
      </c>
      <c r="E73" s="255" t="s">
        <v>1261</v>
      </c>
      <c r="F73" s="255" t="s">
        <v>1241</v>
      </c>
      <c r="G73" s="3"/>
      <c r="H73" s="3"/>
    </row>
    <row r="74" spans="1:8">
      <c r="A74" s="255" t="s">
        <v>642</v>
      </c>
      <c r="B74" s="255" t="s">
        <v>1283</v>
      </c>
      <c r="C74" s="255" t="s">
        <v>1284</v>
      </c>
      <c r="D74" s="255" t="s">
        <v>1237</v>
      </c>
      <c r="E74" s="255" t="s">
        <v>1237</v>
      </c>
      <c r="F74" s="255" t="s">
        <v>1237</v>
      </c>
      <c r="G74" s="3"/>
      <c r="H74" s="3"/>
    </row>
    <row r="75" spans="1:8">
      <c r="A75" s="255" t="s">
        <v>642</v>
      </c>
      <c r="B75" s="255" t="s">
        <v>1285</v>
      </c>
      <c r="C75" s="255" t="s">
        <v>1286</v>
      </c>
      <c r="D75" s="255" t="s">
        <v>1237</v>
      </c>
      <c r="E75" s="255" t="s">
        <v>1237</v>
      </c>
      <c r="F75" s="255" t="s">
        <v>1237</v>
      </c>
      <c r="G75" s="3"/>
      <c r="H75" s="3"/>
    </row>
    <row r="76" spans="1:8">
      <c r="A76" s="255" t="s">
        <v>642</v>
      </c>
      <c r="B76" s="255" t="s">
        <v>1287</v>
      </c>
      <c r="C76" s="255" t="s">
        <v>1288</v>
      </c>
      <c r="D76" s="255" t="s">
        <v>1237</v>
      </c>
      <c r="E76" s="255" t="s">
        <v>1237</v>
      </c>
      <c r="F76" s="255" t="s">
        <v>1237</v>
      </c>
      <c r="G76" s="3"/>
      <c r="H76" s="3"/>
    </row>
    <row r="77" spans="1:8">
      <c r="A77" s="255" t="s">
        <v>642</v>
      </c>
      <c r="B77" s="255" t="s">
        <v>1289</v>
      </c>
      <c r="C77" s="255" t="s">
        <v>1290</v>
      </c>
      <c r="D77" s="255" t="s">
        <v>1237</v>
      </c>
      <c r="E77" s="255" t="s">
        <v>1237</v>
      </c>
      <c r="F77" s="255" t="s">
        <v>1237</v>
      </c>
      <c r="G77" s="3"/>
      <c r="H77" s="3"/>
    </row>
    <row r="78" spans="1:8">
      <c r="A78" s="255" t="s">
        <v>642</v>
      </c>
      <c r="B78" s="255" t="s">
        <v>1291</v>
      </c>
      <c r="C78" s="255" t="s">
        <v>1292</v>
      </c>
      <c r="D78" s="255" t="s">
        <v>1237</v>
      </c>
      <c r="E78" s="255" t="s">
        <v>1237</v>
      </c>
      <c r="F78" s="255" t="s">
        <v>1237</v>
      </c>
      <c r="G78" s="3"/>
      <c r="H78" s="3"/>
    </row>
    <row r="79" spans="1:8">
      <c r="A79" s="255" t="s">
        <v>642</v>
      </c>
      <c r="B79" s="255" t="s">
        <v>945</v>
      </c>
      <c r="C79" s="255" t="s">
        <v>800</v>
      </c>
      <c r="D79" s="255" t="s">
        <v>1237</v>
      </c>
      <c r="E79" s="255" t="s">
        <v>1237</v>
      </c>
      <c r="F79" s="255" t="s">
        <v>1237</v>
      </c>
      <c r="G79" s="3"/>
      <c r="H79" s="3"/>
    </row>
    <row r="80" spans="1:8">
      <c r="A80" s="255" t="s">
        <v>642</v>
      </c>
      <c r="B80" s="255" t="s">
        <v>1049</v>
      </c>
      <c r="C80" s="255" t="s">
        <v>1050</v>
      </c>
      <c r="D80" s="255" t="s">
        <v>1185</v>
      </c>
      <c r="E80" s="255" t="s">
        <v>1237</v>
      </c>
      <c r="F80" s="255" t="s">
        <v>804</v>
      </c>
      <c r="G80" s="3"/>
      <c r="H80" s="3"/>
    </row>
    <row r="81" spans="1:8">
      <c r="A81" s="255" t="s">
        <v>642</v>
      </c>
      <c r="B81" s="255" t="s">
        <v>1293</v>
      </c>
      <c r="C81" s="255" t="s">
        <v>1294</v>
      </c>
      <c r="D81" s="255" t="s">
        <v>1295</v>
      </c>
      <c r="E81" s="255" t="s">
        <v>1237</v>
      </c>
      <c r="F81" s="255" t="s">
        <v>804</v>
      </c>
      <c r="G81" s="3"/>
      <c r="H81" s="3"/>
    </row>
    <row r="82" spans="1:8">
      <c r="A82" s="255" t="s">
        <v>642</v>
      </c>
      <c r="B82" s="255" t="s">
        <v>946</v>
      </c>
      <c r="C82" s="255" t="s">
        <v>806</v>
      </c>
      <c r="D82" s="255" t="s">
        <v>1237</v>
      </c>
      <c r="E82" s="255" t="s">
        <v>1237</v>
      </c>
      <c r="F82" s="255" t="s">
        <v>1237</v>
      </c>
      <c r="G82" s="3"/>
      <c r="H82" s="3"/>
    </row>
    <row r="83" spans="1:8">
      <c r="A83" s="255" t="s">
        <v>631</v>
      </c>
      <c r="B83" s="255" t="s">
        <v>924</v>
      </c>
      <c r="C83" s="255" t="s">
        <v>564</v>
      </c>
      <c r="D83" s="255" t="s">
        <v>788</v>
      </c>
      <c r="E83" s="255" t="s">
        <v>1237</v>
      </c>
      <c r="F83" s="255" t="s">
        <v>786</v>
      </c>
      <c r="G83" s="3"/>
      <c r="H83" s="3"/>
    </row>
    <row r="84" spans="1:8">
      <c r="A84" s="255" t="s">
        <v>631</v>
      </c>
      <c r="B84" s="255" t="s">
        <v>928</v>
      </c>
      <c r="C84" s="255" t="s">
        <v>784</v>
      </c>
      <c r="D84" s="255" t="s">
        <v>785</v>
      </c>
      <c r="E84" s="255" t="s">
        <v>1237</v>
      </c>
      <c r="F84" s="255" t="s">
        <v>786</v>
      </c>
      <c r="G84" s="3"/>
      <c r="H84" s="3"/>
    </row>
    <row r="85" spans="1:8">
      <c r="A85" s="255" t="s">
        <v>631</v>
      </c>
      <c r="B85" s="255" t="s">
        <v>1296</v>
      </c>
      <c r="C85" s="255" t="s">
        <v>1297</v>
      </c>
      <c r="D85" s="255" t="s">
        <v>1237</v>
      </c>
      <c r="E85" s="255" t="s">
        <v>1237</v>
      </c>
      <c r="F85" s="255" t="s">
        <v>1237</v>
      </c>
      <c r="G85" s="3"/>
      <c r="H85" s="3"/>
    </row>
    <row r="86" spans="1:8">
      <c r="A86" s="255" t="s">
        <v>631</v>
      </c>
      <c r="B86" s="255" t="s">
        <v>933</v>
      </c>
      <c r="C86" s="255" t="s">
        <v>798</v>
      </c>
      <c r="D86" s="255" t="s">
        <v>1237</v>
      </c>
      <c r="E86" s="255" t="s">
        <v>1237</v>
      </c>
      <c r="F86" s="255" t="s">
        <v>1237</v>
      </c>
      <c r="G86" s="3"/>
      <c r="H86" s="3"/>
    </row>
    <row r="87" spans="1:8">
      <c r="A87" s="255" t="s">
        <v>631</v>
      </c>
      <c r="B87" s="255" t="s">
        <v>1298</v>
      </c>
      <c r="C87" s="255" t="s">
        <v>1299</v>
      </c>
      <c r="D87" s="255" t="s">
        <v>1237</v>
      </c>
      <c r="E87" s="255" t="s">
        <v>1237</v>
      </c>
      <c r="F87" s="255" t="s">
        <v>1237</v>
      </c>
      <c r="G87" s="3"/>
      <c r="H87" s="3"/>
    </row>
    <row r="88" spans="1:8">
      <c r="A88" s="255" t="s">
        <v>631</v>
      </c>
      <c r="B88" s="255" t="s">
        <v>1276</v>
      </c>
      <c r="C88" s="255" t="s">
        <v>1277</v>
      </c>
      <c r="D88" s="255" t="s">
        <v>1300</v>
      </c>
      <c r="E88" s="255" t="s">
        <v>1261</v>
      </c>
      <c r="F88" s="255" t="s">
        <v>786</v>
      </c>
      <c r="G88" s="3"/>
      <c r="H88" s="3"/>
    </row>
    <row r="89" spans="1:8">
      <c r="A89" s="255" t="s">
        <v>631</v>
      </c>
      <c r="B89" s="255" t="s">
        <v>1301</v>
      </c>
      <c r="C89" s="255" t="s">
        <v>1302</v>
      </c>
      <c r="D89" s="255" t="s">
        <v>1237</v>
      </c>
      <c r="E89" s="255" t="s">
        <v>1237</v>
      </c>
      <c r="F89" s="255" t="s">
        <v>1237</v>
      </c>
      <c r="G89" s="3"/>
      <c r="H89" s="3"/>
    </row>
    <row r="90" spans="1:8">
      <c r="A90" s="255" t="s">
        <v>631</v>
      </c>
      <c r="B90" s="255" t="s">
        <v>1303</v>
      </c>
      <c r="C90" s="255" t="s">
        <v>1304</v>
      </c>
      <c r="D90" s="255" t="s">
        <v>1237</v>
      </c>
      <c r="E90" s="255" t="s">
        <v>1237</v>
      </c>
      <c r="F90" s="255" t="s">
        <v>1237</v>
      </c>
      <c r="G90" s="3"/>
      <c r="H90" s="3"/>
    </row>
    <row r="91" spans="1:8">
      <c r="A91" s="255" t="s">
        <v>631</v>
      </c>
      <c r="B91" s="255" t="s">
        <v>1305</v>
      </c>
      <c r="C91" s="255" t="s">
        <v>1306</v>
      </c>
      <c r="D91" s="255" t="s">
        <v>1237</v>
      </c>
      <c r="E91" s="255" t="s">
        <v>1237</v>
      </c>
      <c r="F91" s="255" t="s">
        <v>1237</v>
      </c>
      <c r="G91" s="3"/>
      <c r="H91" s="3"/>
    </row>
    <row r="92" spans="1:8">
      <c r="A92" s="255" t="s">
        <v>631</v>
      </c>
      <c r="B92" s="255" t="s">
        <v>1307</v>
      </c>
      <c r="C92" s="255" t="s">
        <v>1308</v>
      </c>
      <c r="D92" s="255" t="s">
        <v>1237</v>
      </c>
      <c r="E92" s="255" t="s">
        <v>1237</v>
      </c>
      <c r="F92" s="255" t="s">
        <v>1237</v>
      </c>
      <c r="G92" s="3"/>
      <c r="H92" s="3"/>
    </row>
    <row r="93" spans="1:8">
      <c r="A93" s="255" t="s">
        <v>631</v>
      </c>
      <c r="B93" s="255" t="s">
        <v>1309</v>
      </c>
      <c r="C93" s="255" t="s">
        <v>295</v>
      </c>
      <c r="D93" s="255" t="s">
        <v>1237</v>
      </c>
      <c r="E93" s="255" t="s">
        <v>1237</v>
      </c>
      <c r="F93" s="255" t="s">
        <v>1237</v>
      </c>
      <c r="G93" s="3"/>
      <c r="H93" s="3"/>
    </row>
    <row r="94" spans="1:8">
      <c r="A94" s="255" t="s">
        <v>631</v>
      </c>
      <c r="B94" s="255" t="s">
        <v>1310</v>
      </c>
      <c r="C94" s="255" t="s">
        <v>1311</v>
      </c>
      <c r="D94" s="255" t="s">
        <v>1237</v>
      </c>
      <c r="E94" s="255" t="s">
        <v>1237</v>
      </c>
      <c r="F94" s="255" t="s">
        <v>1237</v>
      </c>
      <c r="G94" s="3"/>
      <c r="H94" s="3"/>
    </row>
    <row r="95" spans="1:8">
      <c r="A95" s="255" t="s">
        <v>631</v>
      </c>
      <c r="B95" s="255" t="s">
        <v>1312</v>
      </c>
      <c r="C95" s="255" t="s">
        <v>1313</v>
      </c>
      <c r="D95" s="255" t="s">
        <v>1237</v>
      </c>
      <c r="E95" s="255" t="s">
        <v>1237</v>
      </c>
      <c r="F95" s="255" t="s">
        <v>1237</v>
      </c>
      <c r="G95" s="3"/>
      <c r="H95" s="3"/>
    </row>
    <row r="96" spans="1:8">
      <c r="A96" s="255" t="s">
        <v>631</v>
      </c>
      <c r="B96" s="255" t="s">
        <v>1314</v>
      </c>
      <c r="C96" s="255" t="s">
        <v>1315</v>
      </c>
      <c r="D96" s="255" t="s">
        <v>1237</v>
      </c>
      <c r="E96" s="255" t="s">
        <v>1237</v>
      </c>
      <c r="F96" s="255" t="s">
        <v>1237</v>
      </c>
      <c r="G96" s="3"/>
      <c r="H96" s="3"/>
    </row>
    <row r="97" spans="1:8">
      <c r="A97" s="255" t="s">
        <v>631</v>
      </c>
      <c r="B97" s="255" t="s">
        <v>1316</v>
      </c>
      <c r="C97" s="255" t="s">
        <v>1317</v>
      </c>
      <c r="D97" s="255" t="s">
        <v>1237</v>
      </c>
      <c r="E97" s="255" t="s">
        <v>1237</v>
      </c>
      <c r="F97" s="255" t="s">
        <v>1237</v>
      </c>
      <c r="G97" s="3"/>
      <c r="H97" s="3"/>
    </row>
    <row r="98" spans="1:8">
      <c r="A98" s="255" t="s">
        <v>631</v>
      </c>
      <c r="B98" s="255" t="s">
        <v>1318</v>
      </c>
      <c r="C98" s="255" t="s">
        <v>1319</v>
      </c>
      <c r="D98" s="255" t="s">
        <v>1237</v>
      </c>
      <c r="E98" s="255" t="s">
        <v>1237</v>
      </c>
      <c r="F98" s="255" t="s">
        <v>1237</v>
      </c>
      <c r="G98" s="3"/>
      <c r="H98" s="3"/>
    </row>
    <row r="99" spans="1:8">
      <c r="A99" s="255" t="s">
        <v>631</v>
      </c>
      <c r="B99" s="255" t="s">
        <v>1320</v>
      </c>
      <c r="C99" s="255" t="s">
        <v>1321</v>
      </c>
      <c r="D99" s="255" t="s">
        <v>1237</v>
      </c>
      <c r="E99" s="255" t="s">
        <v>1237</v>
      </c>
      <c r="F99" s="255" t="s">
        <v>1237</v>
      </c>
      <c r="G99" s="3"/>
      <c r="H99" s="3"/>
    </row>
    <row r="100" spans="1:8">
      <c r="A100" s="255" t="s">
        <v>631</v>
      </c>
      <c r="B100" s="255" t="s">
        <v>1322</v>
      </c>
      <c r="C100" s="255" t="s">
        <v>1323</v>
      </c>
      <c r="D100" s="255" t="s">
        <v>1237</v>
      </c>
      <c r="E100" s="255" t="s">
        <v>1237</v>
      </c>
      <c r="F100" s="255" t="s">
        <v>1237</v>
      </c>
      <c r="G100" s="3"/>
      <c r="H100" s="3"/>
    </row>
    <row r="101" spans="1:8">
      <c r="A101" s="255" t="s">
        <v>631</v>
      </c>
      <c r="B101" s="255" t="s">
        <v>1324</v>
      </c>
      <c r="C101" s="255" t="s">
        <v>1325</v>
      </c>
      <c r="D101" s="255" t="s">
        <v>1237</v>
      </c>
      <c r="E101" s="255" t="s">
        <v>1237</v>
      </c>
      <c r="F101" s="255" t="s">
        <v>1237</v>
      </c>
      <c r="G101" s="3"/>
      <c r="H101" s="3"/>
    </row>
    <row r="102" spans="1:8">
      <c r="A102" s="255" t="s">
        <v>631</v>
      </c>
      <c r="B102" s="255" t="s">
        <v>1326</v>
      </c>
      <c r="C102" s="255" t="s">
        <v>1327</v>
      </c>
      <c r="D102" s="255" t="s">
        <v>1237</v>
      </c>
      <c r="E102" s="255" t="s">
        <v>1237</v>
      </c>
      <c r="F102" s="255" t="s">
        <v>1237</v>
      </c>
      <c r="G102" s="3"/>
      <c r="H102" s="3"/>
    </row>
    <row r="103" spans="1:8">
      <c r="A103" s="255" t="s">
        <v>631</v>
      </c>
      <c r="B103" s="255" t="s">
        <v>1328</v>
      </c>
      <c r="C103" s="255" t="s">
        <v>1329</v>
      </c>
      <c r="D103" s="255" t="s">
        <v>1237</v>
      </c>
      <c r="E103" s="255" t="s">
        <v>1237</v>
      </c>
      <c r="F103" s="255" t="s">
        <v>1237</v>
      </c>
      <c r="G103" s="3"/>
      <c r="H103" s="3"/>
    </row>
    <row r="104" spans="1:8">
      <c r="A104" s="255" t="s">
        <v>631</v>
      </c>
      <c r="B104" s="255" t="s">
        <v>1330</v>
      </c>
      <c r="C104" s="255" t="s">
        <v>1331</v>
      </c>
      <c r="D104" s="255" t="s">
        <v>1237</v>
      </c>
      <c r="E104" s="255" t="s">
        <v>1237</v>
      </c>
      <c r="F104" s="255" t="s">
        <v>1237</v>
      </c>
      <c r="G104" s="3"/>
      <c r="H104" s="3"/>
    </row>
    <row r="105" spans="1:8">
      <c r="A105" s="255" t="s">
        <v>631</v>
      </c>
      <c r="B105" s="255" t="s">
        <v>1332</v>
      </c>
      <c r="C105" s="255" t="s">
        <v>1333</v>
      </c>
      <c r="D105" s="255" t="s">
        <v>1237</v>
      </c>
      <c r="E105" s="255" t="s">
        <v>1237</v>
      </c>
      <c r="F105" s="255" t="s">
        <v>1237</v>
      </c>
      <c r="G105" s="3"/>
      <c r="H105" s="3"/>
    </row>
    <row r="106" spans="1:8">
      <c r="A106" s="255" t="s">
        <v>631</v>
      </c>
      <c r="B106" s="255" t="s">
        <v>1334</v>
      </c>
      <c r="C106" s="255" t="s">
        <v>1335</v>
      </c>
      <c r="D106" s="255" t="s">
        <v>1237</v>
      </c>
      <c r="E106" s="255" t="s">
        <v>1237</v>
      </c>
      <c r="F106" s="255" t="s">
        <v>1237</v>
      </c>
      <c r="G106" s="3"/>
      <c r="H106" s="3"/>
    </row>
    <row r="107" spans="1:8">
      <c r="A107" s="255" t="s">
        <v>631</v>
      </c>
      <c r="B107" s="255" t="s">
        <v>1336</v>
      </c>
      <c r="C107" s="255" t="s">
        <v>1337</v>
      </c>
      <c r="D107" s="255" t="s">
        <v>1237</v>
      </c>
      <c r="E107" s="255" t="s">
        <v>1237</v>
      </c>
      <c r="F107" s="255" t="s">
        <v>1237</v>
      </c>
      <c r="G107" s="3"/>
      <c r="H107" s="3"/>
    </row>
    <row r="108" spans="1:8">
      <c r="A108" s="255" t="s">
        <v>631</v>
      </c>
      <c r="B108" s="255" t="s">
        <v>945</v>
      </c>
      <c r="C108" s="255" t="s">
        <v>800</v>
      </c>
      <c r="D108" s="255" t="s">
        <v>1237</v>
      </c>
      <c r="E108" s="255" t="s">
        <v>1237</v>
      </c>
      <c r="F108" s="255" t="s">
        <v>1237</v>
      </c>
      <c r="G108" s="3"/>
      <c r="H108" s="3"/>
    </row>
    <row r="109" spans="1:8">
      <c r="A109" s="255" t="s">
        <v>631</v>
      </c>
      <c r="B109" s="255" t="s">
        <v>1338</v>
      </c>
      <c r="C109" s="255" t="s">
        <v>1339</v>
      </c>
      <c r="D109" s="255" t="s">
        <v>1237</v>
      </c>
      <c r="E109" s="255" t="s">
        <v>1237</v>
      </c>
      <c r="F109" s="255" t="s">
        <v>1237</v>
      </c>
      <c r="G109" s="3"/>
      <c r="H109" s="3"/>
    </row>
    <row r="110" spans="1:8">
      <c r="A110" s="255" t="s">
        <v>631</v>
      </c>
      <c r="B110" s="255" t="s">
        <v>946</v>
      </c>
      <c r="C110" s="255" t="s">
        <v>806</v>
      </c>
      <c r="D110" s="255" t="s">
        <v>1237</v>
      </c>
      <c r="E110" s="255" t="s">
        <v>1237</v>
      </c>
      <c r="F110" s="255" t="s">
        <v>1237</v>
      </c>
      <c r="G110" s="3"/>
      <c r="H110"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C06BF-E427-4C7A-A803-EDFBB8F1F1CB}">
  <dimension ref="A1:H35"/>
  <sheetViews>
    <sheetView workbookViewId="0">
      <pane xSplit="1" ySplit="6" topLeftCell="B7" activePane="bottomRight" state="frozen"/>
      <selection pane="bottomRight" activeCell="C1" sqref="C1"/>
      <selection pane="bottomLeft"/>
      <selection pane="topRight"/>
    </sheetView>
  </sheetViews>
  <sheetFormatPr defaultRowHeight="15"/>
  <cols>
    <col min="1" max="1" width="17.140625" bestFit="1" customWidth="1"/>
    <col min="2" max="2" width="36.5703125" bestFit="1" customWidth="1"/>
    <col min="3" max="3" width="25.5703125" bestFit="1" customWidth="1"/>
    <col min="4" max="4" width="36.5703125" customWidth="1"/>
    <col min="5" max="5" width="32.7109375" customWidth="1"/>
    <col min="6" max="6" width="28.5703125" customWidth="1"/>
    <col min="7" max="7" width="24" customWidth="1"/>
    <col min="8" max="8" width="35.42578125" customWidth="1"/>
  </cols>
  <sheetData>
    <row r="1" spans="1:8">
      <c r="B1" s="47" t="s">
        <v>773</v>
      </c>
      <c r="C1" s="44"/>
      <c r="D1" s="44"/>
      <c r="E1" s="44"/>
      <c r="F1" s="44"/>
      <c r="G1" s="44"/>
    </row>
    <row r="2" spans="1:8">
      <c r="B2" s="40" t="s">
        <v>1340</v>
      </c>
      <c r="C2" s="44"/>
      <c r="D2" s="44"/>
      <c r="E2" s="44"/>
      <c r="F2" s="44"/>
      <c r="G2" s="44"/>
    </row>
    <row r="3" spans="1:8">
      <c r="B3" s="40" t="s">
        <v>1341</v>
      </c>
      <c r="C3" s="44" t="str">
        <f>Summary!O128</f>
        <v xml:space="preserve">Device configurations represent specific configurations of a device as of a certain time. During the life of a device it can have different configuration (effective-dated). A device configuration can have one or more measuring component associated with it.  It is useful for Clients as it allows them to easily access and extract the information. These includes Install Event and Measuring Component and Device. </v>
      </c>
      <c r="D3" s="44"/>
      <c r="E3" s="44"/>
      <c r="F3" s="44"/>
      <c r="G3" s="44"/>
    </row>
    <row r="4" spans="1:8">
      <c r="B4" s="40" t="s">
        <v>566</v>
      </c>
      <c r="C4" s="44" t="str">
        <f>Summary!I128</f>
        <v>Lennice</v>
      </c>
      <c r="D4" s="44"/>
      <c r="E4" s="44"/>
      <c r="F4" s="44"/>
      <c r="G4" s="44"/>
    </row>
    <row r="5" spans="1:8">
      <c r="B5" s="44"/>
      <c r="C5" s="44"/>
      <c r="D5" s="44"/>
      <c r="E5" s="44"/>
      <c r="F5" s="44"/>
      <c r="G5" s="44"/>
    </row>
    <row r="6" spans="1:8">
      <c r="A6" s="139" t="s">
        <v>550</v>
      </c>
      <c r="B6" s="139" t="s">
        <v>775</v>
      </c>
      <c r="C6" s="65" t="s">
        <v>776</v>
      </c>
      <c r="D6" s="65" t="s">
        <v>1081</v>
      </c>
      <c r="E6" s="66" t="s">
        <v>778</v>
      </c>
      <c r="F6" s="66" t="s">
        <v>779</v>
      </c>
      <c r="G6" s="66" t="s">
        <v>568</v>
      </c>
      <c r="H6" s="66" t="s">
        <v>780</v>
      </c>
    </row>
    <row r="7" spans="1:8">
      <c r="A7" s="137" t="s">
        <v>1137</v>
      </c>
      <c r="B7" s="137" t="s">
        <v>1172</v>
      </c>
      <c r="C7" s="25" t="s">
        <v>260</v>
      </c>
      <c r="D7" s="25" t="s">
        <v>725</v>
      </c>
      <c r="E7" s="25"/>
      <c r="F7" s="25" t="s">
        <v>725</v>
      </c>
      <c r="G7" s="25" t="s">
        <v>1237</v>
      </c>
      <c r="H7" s="25"/>
    </row>
    <row r="8" spans="1:8" ht="26.25" customHeight="1">
      <c r="A8" s="137" t="s">
        <v>1137</v>
      </c>
      <c r="B8" s="137" t="s">
        <v>1178</v>
      </c>
      <c r="C8" s="25" t="s">
        <v>1142</v>
      </c>
      <c r="D8" s="25" t="s">
        <v>1238</v>
      </c>
      <c r="E8" s="25"/>
      <c r="F8" s="25" t="s">
        <v>786</v>
      </c>
      <c r="G8" s="25" t="s">
        <v>1237</v>
      </c>
      <c r="H8" s="25"/>
    </row>
    <row r="9" spans="1:8">
      <c r="A9" s="137" t="s">
        <v>1137</v>
      </c>
      <c r="B9" s="137" t="s">
        <v>928</v>
      </c>
      <c r="C9" s="25" t="s">
        <v>784</v>
      </c>
      <c r="D9" s="25" t="s">
        <v>929</v>
      </c>
      <c r="E9" s="25"/>
      <c r="F9" s="25" t="s">
        <v>786</v>
      </c>
      <c r="G9" s="25" t="s">
        <v>1237</v>
      </c>
      <c r="H9" s="25"/>
    </row>
    <row r="10" spans="1:8">
      <c r="A10" s="137" t="s">
        <v>1137</v>
      </c>
      <c r="B10" s="137" t="s">
        <v>1083</v>
      </c>
      <c r="C10" s="25" t="s">
        <v>862</v>
      </c>
      <c r="D10" s="25" t="s">
        <v>1139</v>
      </c>
      <c r="E10" s="25"/>
      <c r="F10" s="25" t="s">
        <v>786</v>
      </c>
      <c r="G10" s="25" t="s">
        <v>1237</v>
      </c>
      <c r="H10" s="25"/>
    </row>
    <row r="11" spans="1:8">
      <c r="A11" s="137" t="s">
        <v>1137</v>
      </c>
      <c r="B11" s="137" t="s">
        <v>935</v>
      </c>
      <c r="C11" s="25" t="s">
        <v>808</v>
      </c>
      <c r="D11" s="25" t="s">
        <v>725</v>
      </c>
      <c r="E11" s="25"/>
      <c r="F11" s="25" t="s">
        <v>725</v>
      </c>
      <c r="G11" s="25" t="s">
        <v>1237</v>
      </c>
      <c r="H11" s="25"/>
    </row>
    <row r="12" spans="1:8">
      <c r="A12" s="137" t="s">
        <v>1137</v>
      </c>
      <c r="B12" s="137" t="s">
        <v>1049</v>
      </c>
      <c r="C12" s="25" t="s">
        <v>1050</v>
      </c>
      <c r="D12" s="25" t="s">
        <v>1185</v>
      </c>
      <c r="E12" s="25"/>
      <c r="F12" s="25" t="s">
        <v>786</v>
      </c>
      <c r="G12" s="25" t="s">
        <v>1237</v>
      </c>
      <c r="H12" s="25"/>
    </row>
    <row r="13" spans="1:8">
      <c r="A13" s="137" t="s">
        <v>1137</v>
      </c>
      <c r="B13" s="137" t="s">
        <v>924</v>
      </c>
      <c r="C13" s="25" t="s">
        <v>564</v>
      </c>
      <c r="D13" s="25" t="s">
        <v>913</v>
      </c>
      <c r="E13" s="25"/>
      <c r="F13" s="25" t="s">
        <v>786</v>
      </c>
      <c r="G13" s="25" t="s">
        <v>1237</v>
      </c>
      <c r="H13" s="25"/>
    </row>
    <row r="14" spans="1:8">
      <c r="A14" s="137" t="s">
        <v>1137</v>
      </c>
      <c r="B14" s="137" t="s">
        <v>945</v>
      </c>
      <c r="C14" s="25" t="s">
        <v>800</v>
      </c>
      <c r="D14" s="25" t="s">
        <v>725</v>
      </c>
      <c r="E14" s="25"/>
      <c r="F14" s="25" t="s">
        <v>725</v>
      </c>
      <c r="G14" s="25" t="s">
        <v>1237</v>
      </c>
      <c r="H14" s="25"/>
    </row>
    <row r="15" spans="1:8">
      <c r="A15" s="137" t="s">
        <v>1137</v>
      </c>
      <c r="B15" s="137" t="s">
        <v>926</v>
      </c>
      <c r="C15" s="25" t="s">
        <v>802</v>
      </c>
      <c r="D15" s="25" t="s">
        <v>915</v>
      </c>
      <c r="E15" s="25"/>
      <c r="F15" s="25" t="s">
        <v>828</v>
      </c>
      <c r="G15" s="25" t="s">
        <v>1237</v>
      </c>
      <c r="H15" s="25"/>
    </row>
    <row r="16" spans="1:8">
      <c r="A16" s="137" t="s">
        <v>1137</v>
      </c>
      <c r="B16" s="137" t="s">
        <v>933</v>
      </c>
      <c r="C16" s="25" t="s">
        <v>798</v>
      </c>
      <c r="D16" s="25" t="s">
        <v>725</v>
      </c>
      <c r="E16" s="25"/>
      <c r="F16" s="25" t="s">
        <v>725</v>
      </c>
      <c r="G16" s="25" t="s">
        <v>1237</v>
      </c>
      <c r="H16" s="25"/>
    </row>
    <row r="17" spans="1:8" ht="25.5">
      <c r="A17" s="137" t="s">
        <v>1137</v>
      </c>
      <c r="B17" s="137" t="s">
        <v>922</v>
      </c>
      <c r="C17" s="25" t="s">
        <v>923</v>
      </c>
      <c r="D17" s="25" t="s">
        <v>725</v>
      </c>
      <c r="E17" s="25"/>
      <c r="F17" s="25" t="s">
        <v>725</v>
      </c>
      <c r="G17" s="25" t="s">
        <v>1240</v>
      </c>
      <c r="H17" s="25"/>
    </row>
    <row r="18" spans="1:8">
      <c r="A18" s="198" t="s">
        <v>1137</v>
      </c>
      <c r="B18" s="198" t="s">
        <v>946</v>
      </c>
      <c r="C18" s="79" t="s">
        <v>806</v>
      </c>
      <c r="D18" s="79" t="s">
        <v>725</v>
      </c>
      <c r="E18" s="79"/>
      <c r="F18" s="79" t="s">
        <v>725</v>
      </c>
      <c r="G18" s="79" t="s">
        <v>1237</v>
      </c>
      <c r="H18" s="79"/>
    </row>
    <row r="19" spans="1:8">
      <c r="A19" s="54" t="s">
        <v>1342</v>
      </c>
      <c r="B19" s="54" t="s">
        <v>1083</v>
      </c>
      <c r="C19" s="54" t="s">
        <v>862</v>
      </c>
      <c r="D19" s="54" t="s">
        <v>1139</v>
      </c>
      <c r="E19" s="3"/>
      <c r="F19" s="3"/>
      <c r="G19" s="20"/>
      <c r="H19" s="3"/>
    </row>
    <row r="20" spans="1:8" ht="25.5">
      <c r="A20" s="245" t="s">
        <v>1342</v>
      </c>
      <c r="B20" s="245" t="s">
        <v>1343</v>
      </c>
      <c r="C20" s="245" t="s">
        <v>1344</v>
      </c>
      <c r="D20" s="245" t="s">
        <v>1345</v>
      </c>
      <c r="E20" s="37" t="s">
        <v>1346</v>
      </c>
      <c r="F20" s="245" t="s">
        <v>828</v>
      </c>
      <c r="G20" s="245" t="s">
        <v>1347</v>
      </c>
      <c r="H20" s="245"/>
    </row>
    <row r="21" spans="1:8">
      <c r="A21" s="245" t="s">
        <v>1342</v>
      </c>
      <c r="B21" s="245" t="s">
        <v>1348</v>
      </c>
      <c r="C21" s="245" t="s">
        <v>1349</v>
      </c>
      <c r="D21" s="245" t="s">
        <v>1345</v>
      </c>
      <c r="E21" s="37" t="s">
        <v>1350</v>
      </c>
      <c r="F21" s="245" t="s">
        <v>828</v>
      </c>
      <c r="G21" s="245"/>
      <c r="H21" s="245"/>
    </row>
    <row r="22" spans="1:8">
      <c r="A22" s="199" t="s">
        <v>640</v>
      </c>
      <c r="B22" s="199" t="s">
        <v>1146</v>
      </c>
      <c r="C22" s="200" t="s">
        <v>1351</v>
      </c>
      <c r="D22" s="200" t="s">
        <v>1352</v>
      </c>
      <c r="E22" s="200" t="s">
        <v>1172</v>
      </c>
      <c r="F22" s="200" t="s">
        <v>828</v>
      </c>
      <c r="G22" s="200"/>
      <c r="H22" s="200"/>
    </row>
    <row r="23" spans="1:8">
      <c r="A23" s="137" t="s">
        <v>640</v>
      </c>
      <c r="B23" s="137" t="s">
        <v>1191</v>
      </c>
      <c r="C23" s="25" t="s">
        <v>1353</v>
      </c>
      <c r="D23" s="25" t="s">
        <v>1352</v>
      </c>
      <c r="E23" s="25"/>
      <c r="F23" s="25" t="s">
        <v>786</v>
      </c>
      <c r="G23" s="25"/>
      <c r="H23" s="25"/>
    </row>
    <row r="24" spans="1:8" ht="89.25">
      <c r="A24" s="137" t="s">
        <v>640</v>
      </c>
      <c r="B24" s="246" t="s">
        <v>924</v>
      </c>
      <c r="C24" s="27" t="s">
        <v>564</v>
      </c>
      <c r="D24" s="27" t="s">
        <v>1352</v>
      </c>
      <c r="E24" s="27" t="s">
        <v>1242</v>
      </c>
      <c r="F24" s="25" t="s">
        <v>786</v>
      </c>
      <c r="G24" s="25" t="s">
        <v>1354</v>
      </c>
      <c r="H24" s="25"/>
    </row>
    <row r="25" spans="1:8" ht="51">
      <c r="A25" s="137" t="s">
        <v>642</v>
      </c>
      <c r="B25" s="137" t="s">
        <v>1261</v>
      </c>
      <c r="C25" s="137" t="s">
        <v>1277</v>
      </c>
      <c r="D25" s="137" t="s">
        <v>1300</v>
      </c>
      <c r="E25" s="137" t="s">
        <v>1172</v>
      </c>
      <c r="F25" s="137" t="s">
        <v>786</v>
      </c>
      <c r="G25" s="137" t="s">
        <v>1355</v>
      </c>
      <c r="H25" s="137"/>
    </row>
    <row r="26" spans="1:8">
      <c r="A26" s="137" t="s">
        <v>642</v>
      </c>
      <c r="B26" s="137" t="s">
        <v>1356</v>
      </c>
      <c r="C26" s="137" t="s">
        <v>1281</v>
      </c>
      <c r="D26" s="137" t="s">
        <v>1357</v>
      </c>
      <c r="E26" s="137"/>
      <c r="F26" s="137" t="s">
        <v>786</v>
      </c>
      <c r="G26" s="137"/>
      <c r="H26" s="137"/>
    </row>
    <row r="27" spans="1:8" ht="51">
      <c r="A27" s="137" t="s">
        <v>642</v>
      </c>
      <c r="B27" s="137" t="s">
        <v>1358</v>
      </c>
      <c r="C27" s="137" t="s">
        <v>1275</v>
      </c>
      <c r="D27" s="137" t="s">
        <v>1300</v>
      </c>
      <c r="E27" s="137"/>
      <c r="F27" s="137" t="s">
        <v>828</v>
      </c>
      <c r="G27" s="137" t="s">
        <v>1359</v>
      </c>
      <c r="H27" s="137"/>
    </row>
    <row r="28" spans="1:8" ht="51">
      <c r="A28" s="137" t="s">
        <v>642</v>
      </c>
      <c r="B28" s="137" t="s">
        <v>1291</v>
      </c>
      <c r="C28" s="137" t="s">
        <v>1292</v>
      </c>
      <c r="D28" s="137" t="s">
        <v>1300</v>
      </c>
      <c r="E28" s="137"/>
      <c r="F28" s="137" t="s">
        <v>828</v>
      </c>
      <c r="G28" s="137" t="s">
        <v>1359</v>
      </c>
      <c r="H28" s="137"/>
    </row>
    <row r="29" spans="1:8">
      <c r="A29" s="137" t="s">
        <v>631</v>
      </c>
      <c r="B29" s="137" t="s">
        <v>1261</v>
      </c>
      <c r="C29" s="137" t="s">
        <v>1277</v>
      </c>
      <c r="D29" s="137" t="s">
        <v>1300</v>
      </c>
      <c r="E29" s="137" t="s">
        <v>1261</v>
      </c>
      <c r="F29" s="137" t="s">
        <v>828</v>
      </c>
      <c r="G29" s="137"/>
      <c r="H29" s="137"/>
    </row>
    <row r="30" spans="1:8" ht="38.25">
      <c r="A30" s="137" t="s">
        <v>631</v>
      </c>
      <c r="B30" s="137" t="s">
        <v>1360</v>
      </c>
      <c r="C30" s="137" t="s">
        <v>1304</v>
      </c>
      <c r="D30" s="137" t="s">
        <v>1361</v>
      </c>
      <c r="E30" s="137" t="s">
        <v>1362</v>
      </c>
      <c r="F30" s="137" t="s">
        <v>828</v>
      </c>
      <c r="G30" s="137" t="s">
        <v>1363</v>
      </c>
      <c r="H30" s="137"/>
    </row>
    <row r="31" spans="1:8">
      <c r="A31" s="137" t="s">
        <v>631</v>
      </c>
      <c r="B31" s="137" t="s">
        <v>1364</v>
      </c>
      <c r="C31" s="137" t="s">
        <v>295</v>
      </c>
      <c r="D31" s="137" t="s">
        <v>1361</v>
      </c>
      <c r="E31" s="137"/>
      <c r="F31" s="137" t="s">
        <v>828</v>
      </c>
      <c r="G31" s="137"/>
      <c r="H31" s="137"/>
    </row>
    <row r="32" spans="1:8" ht="25.5">
      <c r="A32" s="137" t="s">
        <v>631</v>
      </c>
      <c r="B32" s="137" t="s">
        <v>1365</v>
      </c>
      <c r="C32" s="137" t="s">
        <v>1302</v>
      </c>
      <c r="D32" s="137" t="s">
        <v>1366</v>
      </c>
      <c r="E32" s="137" t="s">
        <v>1367</v>
      </c>
      <c r="F32" s="137" t="s">
        <v>828</v>
      </c>
      <c r="G32" s="137"/>
      <c r="H32" s="137"/>
    </row>
    <row r="35" spans="1:1">
      <c r="A35" t="s">
        <v>1368</v>
      </c>
    </row>
  </sheetData>
  <hyperlinks>
    <hyperlink ref="B1" location="Summary!A1" display="Summary" xr:uid="{50A67861-3A7F-4682-AF67-B63AEEFA2D7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AAAE6-F981-40D3-9D5A-39801DAF3595}">
  <dimension ref="A1:H22"/>
  <sheetViews>
    <sheetView topLeftCell="B1" workbookViewId="0">
      <selection activeCell="B1" sqref="B1"/>
    </sheetView>
  </sheetViews>
  <sheetFormatPr defaultRowHeight="15"/>
  <cols>
    <col min="1" max="1" width="12.42578125" bestFit="1" customWidth="1"/>
    <col min="2" max="2" width="28.28515625" bestFit="1" customWidth="1"/>
    <col min="3" max="3" width="25.5703125" bestFit="1" customWidth="1"/>
    <col min="4" max="4" width="29.28515625" customWidth="1"/>
    <col min="5" max="5" width="24.5703125" bestFit="1" customWidth="1"/>
    <col min="6" max="6" width="20.28515625" customWidth="1"/>
    <col min="7" max="7" width="28.85546875" customWidth="1"/>
    <col min="8" max="9" width="20.28515625" customWidth="1"/>
  </cols>
  <sheetData>
    <row r="1" spans="1:8">
      <c r="B1" s="47" t="s">
        <v>773</v>
      </c>
      <c r="C1" s="44"/>
      <c r="D1" s="44"/>
      <c r="E1" s="44"/>
      <c r="F1" s="44"/>
      <c r="G1" s="44"/>
      <c r="H1" s="44"/>
    </row>
    <row r="2" spans="1:8">
      <c r="B2" s="40" t="s">
        <v>1369</v>
      </c>
      <c r="C2" s="44"/>
      <c r="D2" s="44"/>
      <c r="E2" s="44"/>
      <c r="F2" s="44"/>
      <c r="G2" s="44"/>
      <c r="H2" s="44"/>
    </row>
    <row r="3" spans="1:8">
      <c r="B3" s="40" t="s">
        <v>571</v>
      </c>
      <c r="C3" s="44" t="str">
        <f>Summary!O129</f>
        <v>Device events are developments that have taken place relative to a device, and can include power outages, power restorations, tampering alerts, command completions, among others.</v>
      </c>
      <c r="D3" s="44"/>
      <c r="E3" s="44"/>
      <c r="F3" s="44"/>
      <c r="G3" s="44"/>
      <c r="H3" s="44"/>
    </row>
    <row r="4" spans="1:8">
      <c r="B4" s="44"/>
      <c r="C4" s="44"/>
      <c r="D4" s="44"/>
      <c r="E4" s="44"/>
      <c r="F4" s="44"/>
      <c r="G4" s="44"/>
      <c r="H4" s="44"/>
    </row>
    <row r="5" spans="1:8">
      <c r="A5" s="139" t="s">
        <v>550</v>
      </c>
      <c r="B5" s="45" t="s">
        <v>775</v>
      </c>
      <c r="C5" s="41" t="s">
        <v>776</v>
      </c>
      <c r="D5" s="65" t="s">
        <v>1081</v>
      </c>
      <c r="E5" s="41" t="s">
        <v>778</v>
      </c>
      <c r="F5" s="41" t="s">
        <v>779</v>
      </c>
      <c r="G5" s="41" t="s">
        <v>568</v>
      </c>
      <c r="H5" s="41" t="s">
        <v>568</v>
      </c>
    </row>
    <row r="6" spans="1:8">
      <c r="A6" s="3" t="s">
        <v>634</v>
      </c>
      <c r="B6" s="137" t="s">
        <v>1370</v>
      </c>
      <c r="C6" s="25" t="s">
        <v>1371</v>
      </c>
      <c r="D6" s="25" t="s">
        <v>725</v>
      </c>
      <c r="E6" s="25" t="s">
        <v>1237</v>
      </c>
      <c r="F6" s="25" t="s">
        <v>725</v>
      </c>
      <c r="G6" s="25" t="s">
        <v>1237</v>
      </c>
      <c r="H6" s="25" t="s">
        <v>1237</v>
      </c>
    </row>
    <row r="7" spans="1:8" ht="25.5">
      <c r="A7" s="3" t="s">
        <v>634</v>
      </c>
      <c r="B7" s="137" t="s">
        <v>1372</v>
      </c>
      <c r="C7" s="25" t="s">
        <v>1373</v>
      </c>
      <c r="D7" s="25" t="s">
        <v>1374</v>
      </c>
      <c r="E7" s="25" t="s">
        <v>1237</v>
      </c>
      <c r="F7" s="25" t="s">
        <v>786</v>
      </c>
      <c r="G7" s="25" t="s">
        <v>1237</v>
      </c>
      <c r="H7" s="25" t="s">
        <v>1237</v>
      </c>
    </row>
    <row r="8" spans="1:8">
      <c r="A8" s="3" t="s">
        <v>634</v>
      </c>
      <c r="B8" s="137" t="s">
        <v>928</v>
      </c>
      <c r="C8" s="25" t="s">
        <v>784</v>
      </c>
      <c r="D8" s="25" t="s">
        <v>913</v>
      </c>
      <c r="E8" s="25" t="s">
        <v>1237</v>
      </c>
      <c r="F8" s="25" t="s">
        <v>786</v>
      </c>
      <c r="G8" s="25" t="s">
        <v>1237</v>
      </c>
      <c r="H8" s="25" t="s">
        <v>1237</v>
      </c>
    </row>
    <row r="9" spans="1:8">
      <c r="A9" s="3" t="s">
        <v>634</v>
      </c>
      <c r="B9" s="137" t="s">
        <v>1375</v>
      </c>
      <c r="C9" s="25" t="s">
        <v>1376</v>
      </c>
      <c r="D9" s="25" t="s">
        <v>1114</v>
      </c>
      <c r="E9" s="25" t="s">
        <v>1377</v>
      </c>
      <c r="F9" s="25" t="s">
        <v>828</v>
      </c>
      <c r="G9" s="25" t="s">
        <v>1237</v>
      </c>
      <c r="H9" s="25" t="s">
        <v>1237</v>
      </c>
    </row>
    <row r="10" spans="1:8">
      <c r="A10" s="3" t="s">
        <v>634</v>
      </c>
      <c r="B10" s="137" t="s">
        <v>1098</v>
      </c>
      <c r="C10" s="25" t="s">
        <v>1099</v>
      </c>
      <c r="D10" s="25" t="s">
        <v>1378</v>
      </c>
      <c r="E10" s="25" t="s">
        <v>1237</v>
      </c>
      <c r="F10" s="25" t="s">
        <v>786</v>
      </c>
      <c r="G10" s="25" t="s">
        <v>1237</v>
      </c>
      <c r="H10" s="25" t="s">
        <v>1237</v>
      </c>
    </row>
    <row r="11" spans="1:8">
      <c r="A11" s="3" t="s">
        <v>634</v>
      </c>
      <c r="B11" s="137" t="s">
        <v>924</v>
      </c>
      <c r="C11" s="25" t="s">
        <v>564</v>
      </c>
      <c r="D11" s="25" t="s">
        <v>913</v>
      </c>
      <c r="E11" s="25" t="s">
        <v>1237</v>
      </c>
      <c r="F11" s="25" t="s">
        <v>786</v>
      </c>
      <c r="G11" s="25" t="s">
        <v>1237</v>
      </c>
      <c r="H11" s="25" t="s">
        <v>1237</v>
      </c>
    </row>
    <row r="12" spans="1:8">
      <c r="A12" s="3" t="s">
        <v>634</v>
      </c>
      <c r="B12" s="137" t="s">
        <v>945</v>
      </c>
      <c r="C12" s="25" t="s">
        <v>800</v>
      </c>
      <c r="D12" s="25" t="s">
        <v>725</v>
      </c>
      <c r="E12" s="25" t="s">
        <v>1237</v>
      </c>
      <c r="F12" s="25" t="s">
        <v>725</v>
      </c>
      <c r="G12" s="25" t="s">
        <v>1237</v>
      </c>
      <c r="H12" s="25" t="s">
        <v>1237</v>
      </c>
    </row>
    <row r="13" spans="1:8">
      <c r="A13" s="3" t="s">
        <v>634</v>
      </c>
      <c r="B13" s="137" t="s">
        <v>926</v>
      </c>
      <c r="C13" s="25" t="s">
        <v>802</v>
      </c>
      <c r="D13" s="25" t="s">
        <v>915</v>
      </c>
      <c r="E13" s="25" t="s">
        <v>1237</v>
      </c>
      <c r="F13" s="25" t="s">
        <v>828</v>
      </c>
      <c r="G13" s="25" t="s">
        <v>1237</v>
      </c>
      <c r="H13" s="25" t="s">
        <v>1237</v>
      </c>
    </row>
    <row r="14" spans="1:8">
      <c r="A14" s="3" t="s">
        <v>634</v>
      </c>
      <c r="B14" s="137" t="s">
        <v>1379</v>
      </c>
      <c r="C14" s="25" t="s">
        <v>1380</v>
      </c>
      <c r="D14" s="25" t="s">
        <v>725</v>
      </c>
      <c r="E14" s="25" t="s">
        <v>1237</v>
      </c>
      <c r="F14" s="25" t="s">
        <v>725</v>
      </c>
      <c r="G14" s="25" t="s">
        <v>1237</v>
      </c>
      <c r="H14" s="25" t="s">
        <v>1237</v>
      </c>
    </row>
    <row r="15" spans="1:8">
      <c r="A15" s="3" t="s">
        <v>634</v>
      </c>
      <c r="B15" s="137" t="s">
        <v>933</v>
      </c>
      <c r="C15" s="25" t="s">
        <v>798</v>
      </c>
      <c r="D15" s="25" t="s">
        <v>725</v>
      </c>
      <c r="E15" s="25" t="s">
        <v>1237</v>
      </c>
      <c r="F15" s="25" t="s">
        <v>725</v>
      </c>
      <c r="G15" s="25" t="s">
        <v>1237</v>
      </c>
      <c r="H15" s="25" t="s">
        <v>1237</v>
      </c>
    </row>
    <row r="16" spans="1:8">
      <c r="A16" s="3" t="s">
        <v>634</v>
      </c>
      <c r="B16" s="137" t="s">
        <v>946</v>
      </c>
      <c r="C16" s="25" t="s">
        <v>806</v>
      </c>
      <c r="D16" s="25" t="s">
        <v>725</v>
      </c>
      <c r="E16" s="25" t="s">
        <v>1237</v>
      </c>
      <c r="F16" s="25" t="s">
        <v>725</v>
      </c>
      <c r="G16" s="25" t="s">
        <v>1237</v>
      </c>
      <c r="H16" s="25" t="s">
        <v>1237</v>
      </c>
    </row>
    <row r="17" spans="1:8">
      <c r="A17" s="3" t="s">
        <v>634</v>
      </c>
      <c r="B17" s="137" t="s">
        <v>1381</v>
      </c>
      <c r="C17" s="25" t="s">
        <v>1382</v>
      </c>
      <c r="D17" s="25" t="s">
        <v>725</v>
      </c>
      <c r="E17" s="25" t="s">
        <v>1237</v>
      </c>
      <c r="F17" s="25" t="s">
        <v>725</v>
      </c>
      <c r="G17" s="25" t="s">
        <v>1237</v>
      </c>
      <c r="H17" s="25" t="s">
        <v>1237</v>
      </c>
    </row>
    <row r="18" spans="1:8">
      <c r="A18" s="3" t="s">
        <v>634</v>
      </c>
      <c r="B18" s="137" t="s">
        <v>1083</v>
      </c>
      <c r="C18" s="25" t="s">
        <v>862</v>
      </c>
      <c r="D18" s="25" t="s">
        <v>1139</v>
      </c>
      <c r="E18" s="25" t="s">
        <v>1237</v>
      </c>
      <c r="F18" s="25" t="s">
        <v>786</v>
      </c>
      <c r="G18" s="25" t="s">
        <v>1237</v>
      </c>
      <c r="H18" s="25" t="s">
        <v>1237</v>
      </c>
    </row>
    <row r="19" spans="1:8">
      <c r="A19" s="3" t="s">
        <v>634</v>
      </c>
      <c r="B19" s="137" t="s">
        <v>940</v>
      </c>
      <c r="C19" s="25" t="s">
        <v>818</v>
      </c>
      <c r="D19" s="25" t="s">
        <v>725</v>
      </c>
      <c r="E19" s="25" t="s">
        <v>1237</v>
      </c>
      <c r="F19" s="25" t="s">
        <v>725</v>
      </c>
      <c r="G19" s="25" t="s">
        <v>1237</v>
      </c>
      <c r="H19" s="25" t="s">
        <v>1237</v>
      </c>
    </row>
    <row r="20" spans="1:8">
      <c r="A20" s="3" t="s">
        <v>634</v>
      </c>
      <c r="B20" s="137" t="s">
        <v>939</v>
      </c>
      <c r="C20" s="25" t="s">
        <v>821</v>
      </c>
      <c r="D20" s="25" t="s">
        <v>725</v>
      </c>
      <c r="E20" s="25" t="s">
        <v>1237</v>
      </c>
      <c r="F20" s="25" t="s">
        <v>725</v>
      </c>
      <c r="G20" s="25" t="s">
        <v>1237</v>
      </c>
      <c r="H20" s="25" t="s">
        <v>1237</v>
      </c>
    </row>
    <row r="21" spans="1:8">
      <c r="A21" s="3" t="s">
        <v>634</v>
      </c>
      <c r="B21" s="137" t="s">
        <v>943</v>
      </c>
      <c r="C21" s="25" t="s">
        <v>823</v>
      </c>
      <c r="D21" s="25" t="s">
        <v>725</v>
      </c>
      <c r="E21" s="25" t="s">
        <v>1237</v>
      </c>
      <c r="F21" s="25" t="s">
        <v>725</v>
      </c>
      <c r="G21" s="25" t="s">
        <v>1237</v>
      </c>
      <c r="H21" s="25" t="s">
        <v>1237</v>
      </c>
    </row>
    <row r="22" spans="1:8" ht="38.25">
      <c r="A22" s="3"/>
      <c r="B22" s="137" t="s">
        <v>1383</v>
      </c>
      <c r="C22" s="25" t="s">
        <v>1384</v>
      </c>
      <c r="D22" s="25" t="s">
        <v>1385</v>
      </c>
      <c r="E22" s="25" t="s">
        <v>1237</v>
      </c>
      <c r="F22" s="25" t="s">
        <v>1237</v>
      </c>
      <c r="G22" s="25" t="s">
        <v>1386</v>
      </c>
      <c r="H22" s="25" t="s">
        <v>1237</v>
      </c>
    </row>
  </sheetData>
  <hyperlinks>
    <hyperlink ref="B1" location="Summary!A1" display="Summary" xr:uid="{D5F3A4E6-3EAF-417D-A22D-A28ABA7AE2B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4DDF-BCEE-4218-B4DA-AAF216FDF83F}">
  <dimension ref="A1:Q34"/>
  <sheetViews>
    <sheetView workbookViewId="0">
      <pane xSplit="1" ySplit="6" topLeftCell="B7" activePane="bottomRight" state="frozen"/>
      <selection pane="bottomRight" activeCell="J11" sqref="J11"/>
      <selection pane="bottomLeft"/>
      <selection pane="topRight"/>
    </sheetView>
  </sheetViews>
  <sheetFormatPr defaultRowHeight="15"/>
  <cols>
    <col min="1" max="1" width="16.28515625" bestFit="1" customWidth="1"/>
    <col min="2" max="2" width="36.5703125" bestFit="1" customWidth="1"/>
    <col min="3" max="3" width="23.7109375" bestFit="1" customWidth="1"/>
    <col min="4" max="4" width="35.85546875" customWidth="1"/>
    <col min="5" max="5" width="20.7109375" customWidth="1"/>
    <col min="6" max="6" width="26.140625" customWidth="1"/>
    <col min="7" max="7" width="54.5703125" style="78" customWidth="1"/>
    <col min="8" max="8" width="30.85546875" customWidth="1"/>
  </cols>
  <sheetData>
    <row r="1" spans="1:17">
      <c r="A1" s="47" t="s">
        <v>773</v>
      </c>
      <c r="B1" s="44"/>
      <c r="C1" s="39"/>
      <c r="D1" s="39"/>
      <c r="E1" s="39"/>
      <c r="F1" s="39"/>
      <c r="G1" s="228"/>
      <c r="H1" s="39"/>
    </row>
    <row r="2" spans="1:17">
      <c r="A2" s="230" t="s">
        <v>1387</v>
      </c>
      <c r="B2" s="44" t="s">
        <v>1388</v>
      </c>
      <c r="C2" s="228"/>
      <c r="D2" s="228"/>
      <c r="E2" s="228"/>
      <c r="F2" s="228"/>
      <c r="G2" s="228"/>
      <c r="H2" s="228"/>
    </row>
    <row r="3" spans="1:17">
      <c r="A3" s="40" t="s">
        <v>571</v>
      </c>
      <c r="B3" s="44" t="str">
        <f>Summary!O135</f>
        <v>The Install Event records the history of  the device that has been installed or removed at a Service Point. It is useful for Clients as it allows them to easily fetch the list of Service Points and the related device history</v>
      </c>
      <c r="C3" s="39"/>
      <c r="D3" s="39"/>
      <c r="E3" s="39"/>
      <c r="F3" s="39"/>
      <c r="G3" s="228"/>
      <c r="H3" s="39"/>
    </row>
    <row r="4" spans="1:17">
      <c r="A4" t="s">
        <v>566</v>
      </c>
      <c r="B4" t="str">
        <f>Summary!I135</f>
        <v>Lennice</v>
      </c>
    </row>
    <row r="5" spans="1:17">
      <c r="A5" s="44"/>
      <c r="B5" s="44"/>
      <c r="C5" s="44"/>
      <c r="D5" s="44"/>
      <c r="E5" s="44"/>
      <c r="F5" s="44"/>
      <c r="G5" s="231"/>
      <c r="H5" s="44"/>
    </row>
    <row r="6" spans="1:17">
      <c r="A6" s="232" t="s">
        <v>550</v>
      </c>
      <c r="B6" s="233" t="s">
        <v>775</v>
      </c>
      <c r="C6" s="233" t="s">
        <v>776</v>
      </c>
      <c r="D6" s="89" t="s">
        <v>918</v>
      </c>
      <c r="E6" s="233" t="s">
        <v>778</v>
      </c>
      <c r="F6" s="41" t="s">
        <v>779</v>
      </c>
      <c r="G6" s="41" t="s">
        <v>568</v>
      </c>
      <c r="H6" s="41" t="s">
        <v>780</v>
      </c>
      <c r="J6" t="s">
        <v>1389</v>
      </c>
    </row>
    <row r="7" spans="1:17">
      <c r="A7" s="25" t="s">
        <v>640</v>
      </c>
      <c r="B7" s="25" t="s">
        <v>1175</v>
      </c>
      <c r="C7" s="25" t="s">
        <v>1147</v>
      </c>
      <c r="D7" s="25" t="s">
        <v>725</v>
      </c>
      <c r="E7" s="25"/>
      <c r="F7" s="25" t="s">
        <v>725</v>
      </c>
      <c r="G7" s="25"/>
      <c r="H7" s="25"/>
    </row>
    <row r="8" spans="1:17">
      <c r="A8" s="25" t="s">
        <v>640</v>
      </c>
      <c r="B8" s="25" t="s">
        <v>1172</v>
      </c>
      <c r="C8" s="25" t="s">
        <v>260</v>
      </c>
      <c r="D8" s="25" t="s">
        <v>1148</v>
      </c>
      <c r="E8" s="25" t="s">
        <v>1175</v>
      </c>
      <c r="F8" s="25" t="s">
        <v>1241</v>
      </c>
      <c r="G8" s="25"/>
      <c r="H8" s="25"/>
    </row>
    <row r="9" spans="1:17">
      <c r="A9" s="25" t="s">
        <v>640</v>
      </c>
      <c r="B9" s="25" t="s">
        <v>1173</v>
      </c>
      <c r="C9" s="25" t="s">
        <v>1174</v>
      </c>
      <c r="D9" s="25" t="s">
        <v>725</v>
      </c>
      <c r="E9" s="25"/>
      <c r="F9" s="25" t="s">
        <v>725</v>
      </c>
      <c r="G9" s="25"/>
      <c r="H9" s="25"/>
    </row>
    <row r="10" spans="1:17">
      <c r="A10" s="25" t="s">
        <v>640</v>
      </c>
      <c r="B10" s="25" t="s">
        <v>928</v>
      </c>
      <c r="C10" s="25" t="s">
        <v>784</v>
      </c>
      <c r="D10" s="25" t="s">
        <v>912</v>
      </c>
      <c r="E10" s="25"/>
      <c r="F10" s="25" t="s">
        <v>786</v>
      </c>
      <c r="G10" s="25"/>
      <c r="H10" s="25"/>
    </row>
    <row r="11" spans="1:17" ht="140.25">
      <c r="A11" s="25" t="s">
        <v>640</v>
      </c>
      <c r="B11" s="25" t="s">
        <v>924</v>
      </c>
      <c r="C11" s="25" t="s">
        <v>564</v>
      </c>
      <c r="D11" s="33" t="s">
        <v>788</v>
      </c>
      <c r="E11" s="25" t="s">
        <v>1390</v>
      </c>
      <c r="F11" s="25" t="s">
        <v>786</v>
      </c>
      <c r="G11" s="25" t="s">
        <v>1243</v>
      </c>
      <c r="H11" s="25"/>
      <c r="J11" s="25" t="s">
        <v>1128</v>
      </c>
      <c r="K11" s="25" t="s">
        <v>1132</v>
      </c>
      <c r="L11" s="25" t="s">
        <v>1133</v>
      </c>
      <c r="M11" s="25" t="s">
        <v>1134</v>
      </c>
      <c r="N11" s="25" t="s">
        <v>1391</v>
      </c>
      <c r="O11" s="25" t="s">
        <v>786</v>
      </c>
      <c r="P11" s="25" t="s">
        <v>1392</v>
      </c>
      <c r="Q11" s="158"/>
    </row>
    <row r="12" spans="1:17" ht="38.25">
      <c r="A12" s="25" t="s">
        <v>640</v>
      </c>
      <c r="B12" s="25" t="s">
        <v>926</v>
      </c>
      <c r="C12" s="25" t="s">
        <v>802</v>
      </c>
      <c r="D12" s="33" t="s">
        <v>803</v>
      </c>
      <c r="E12" s="25"/>
      <c r="F12" s="25" t="s">
        <v>804</v>
      </c>
      <c r="G12" s="25"/>
      <c r="H12" s="25"/>
      <c r="J12" s="25" t="s">
        <v>1137</v>
      </c>
      <c r="K12" s="25" t="s">
        <v>1172</v>
      </c>
      <c r="L12" s="25" t="s">
        <v>260</v>
      </c>
      <c r="M12" s="25" t="s">
        <v>1393</v>
      </c>
      <c r="N12" s="25" t="s">
        <v>1175</v>
      </c>
      <c r="O12" s="25" t="s">
        <v>1241</v>
      </c>
      <c r="P12" s="25"/>
      <c r="Q12" s="158"/>
    </row>
    <row r="13" spans="1:17" ht="114.75">
      <c r="A13" s="25" t="s">
        <v>640</v>
      </c>
      <c r="B13" s="25" t="s">
        <v>945</v>
      </c>
      <c r="C13" s="25" t="s">
        <v>800</v>
      </c>
      <c r="D13" s="25" t="s">
        <v>725</v>
      </c>
      <c r="E13" s="25"/>
      <c r="F13" s="25" t="s">
        <v>725</v>
      </c>
      <c r="G13" s="25"/>
      <c r="H13" s="25"/>
      <c r="J13" s="237" t="s">
        <v>1137</v>
      </c>
      <c r="K13" s="25" t="s">
        <v>1083</v>
      </c>
      <c r="L13" s="25" t="s">
        <v>862</v>
      </c>
      <c r="M13" s="25" t="s">
        <v>1148</v>
      </c>
      <c r="N13" s="25" t="s">
        <v>1172</v>
      </c>
      <c r="O13" s="25" t="s">
        <v>786</v>
      </c>
      <c r="P13" s="25" t="s">
        <v>1394</v>
      </c>
      <c r="Q13" s="204"/>
    </row>
    <row r="14" spans="1:17" ht="38.25">
      <c r="A14" s="25" t="s">
        <v>640</v>
      </c>
      <c r="B14" s="25" t="s">
        <v>933</v>
      </c>
      <c r="C14" s="25" t="s">
        <v>798</v>
      </c>
      <c r="D14" s="25" t="s">
        <v>725</v>
      </c>
      <c r="E14" s="25"/>
      <c r="F14" s="25" t="s">
        <v>725</v>
      </c>
      <c r="G14" s="25"/>
      <c r="H14" s="25"/>
      <c r="J14" s="25" t="s">
        <v>629</v>
      </c>
      <c r="K14" s="25" t="s">
        <v>1083</v>
      </c>
      <c r="L14" s="25" t="s">
        <v>862</v>
      </c>
      <c r="M14" s="25" t="s">
        <v>1148</v>
      </c>
      <c r="N14" s="25" t="s">
        <v>861</v>
      </c>
      <c r="O14" s="25"/>
      <c r="P14" s="25"/>
      <c r="Q14" s="158"/>
    </row>
    <row r="15" spans="1:17" ht="102">
      <c r="A15" s="25" t="s">
        <v>640</v>
      </c>
      <c r="B15" s="25" t="s">
        <v>922</v>
      </c>
      <c r="C15" s="25" t="s">
        <v>923</v>
      </c>
      <c r="D15" s="25" t="s">
        <v>725</v>
      </c>
      <c r="E15" s="25"/>
      <c r="F15" s="25" t="s">
        <v>725</v>
      </c>
      <c r="G15" s="25" t="s">
        <v>1244</v>
      </c>
      <c r="H15" s="25"/>
      <c r="J15" s="25" t="s">
        <v>629</v>
      </c>
      <c r="K15" s="25" t="s">
        <v>865</v>
      </c>
      <c r="L15" s="25" t="s">
        <v>866</v>
      </c>
      <c r="M15" s="25"/>
      <c r="N15" s="25"/>
      <c r="O15" s="25"/>
      <c r="P15" s="25" t="s">
        <v>1395</v>
      </c>
      <c r="Q15" s="158"/>
    </row>
    <row r="16" spans="1:17" ht="38.25">
      <c r="A16" s="25" t="s">
        <v>1396</v>
      </c>
      <c r="B16" s="25" t="s">
        <v>1246</v>
      </c>
      <c r="C16" s="25" t="s">
        <v>1247</v>
      </c>
      <c r="D16" s="25" t="s">
        <v>1248</v>
      </c>
      <c r="E16" s="25"/>
      <c r="F16" s="25"/>
      <c r="G16" s="25"/>
      <c r="H16" s="25"/>
      <c r="J16" s="25" t="s">
        <v>646</v>
      </c>
      <c r="K16" s="25" t="s">
        <v>841</v>
      </c>
      <c r="L16" s="25" t="s">
        <v>842</v>
      </c>
      <c r="M16" s="25" t="s">
        <v>1397</v>
      </c>
      <c r="N16" s="25" t="s">
        <v>1011</v>
      </c>
      <c r="O16" s="25" t="s">
        <v>786</v>
      </c>
      <c r="P16" s="25"/>
      <c r="Q16" s="204"/>
    </row>
    <row r="17" spans="1:17" ht="114.75">
      <c r="A17" s="25" t="s">
        <v>1396</v>
      </c>
      <c r="B17" s="25" t="s">
        <v>787</v>
      </c>
      <c r="C17" s="25" t="s">
        <v>564</v>
      </c>
      <c r="D17" s="25" t="s">
        <v>1249</v>
      </c>
      <c r="E17" s="25"/>
      <c r="F17" s="25"/>
      <c r="G17" s="25"/>
      <c r="H17" s="25"/>
      <c r="J17" s="25" t="s">
        <v>642</v>
      </c>
      <c r="K17" s="25" t="s">
        <v>1261</v>
      </c>
      <c r="L17" s="25" t="s">
        <v>1277</v>
      </c>
      <c r="M17" s="25" t="s">
        <v>1300</v>
      </c>
      <c r="N17" s="25" t="s">
        <v>1172</v>
      </c>
      <c r="O17" s="25" t="s">
        <v>786</v>
      </c>
      <c r="P17" s="25" t="s">
        <v>1355</v>
      </c>
      <c r="Q17" s="204"/>
    </row>
    <row r="18" spans="1:17" ht="51">
      <c r="A18" s="25" t="s">
        <v>1396</v>
      </c>
      <c r="B18" s="25" t="s">
        <v>1250</v>
      </c>
      <c r="C18" s="25" t="s">
        <v>1251</v>
      </c>
      <c r="D18" s="25" t="s">
        <v>1103</v>
      </c>
      <c r="E18" s="25" t="s">
        <v>1252</v>
      </c>
      <c r="F18" s="25"/>
      <c r="G18" s="25"/>
      <c r="H18" s="137"/>
      <c r="J18" s="25" t="s">
        <v>642</v>
      </c>
      <c r="K18" s="25" t="s">
        <v>1356</v>
      </c>
      <c r="L18" s="25" t="s">
        <v>1281</v>
      </c>
      <c r="M18" s="25" t="s">
        <v>1357</v>
      </c>
      <c r="N18" s="25"/>
      <c r="O18" s="25" t="s">
        <v>786</v>
      </c>
      <c r="P18" s="25"/>
      <c r="Q18" s="204"/>
    </row>
    <row r="19" spans="1:17" ht="165.75">
      <c r="A19" s="25" t="s">
        <v>1396</v>
      </c>
      <c r="B19" s="25" t="s">
        <v>1254</v>
      </c>
      <c r="C19" s="25"/>
      <c r="D19" s="25"/>
      <c r="E19" s="25"/>
      <c r="F19" s="25"/>
      <c r="G19" s="25"/>
      <c r="H19" s="137"/>
      <c r="J19" s="25" t="s">
        <v>642</v>
      </c>
      <c r="K19" s="25" t="s">
        <v>1358</v>
      </c>
      <c r="L19" s="25" t="s">
        <v>1275</v>
      </c>
      <c r="M19" s="25" t="s">
        <v>1300</v>
      </c>
      <c r="N19" s="25"/>
      <c r="O19" s="25" t="s">
        <v>828</v>
      </c>
      <c r="P19" s="25" t="s">
        <v>1359</v>
      </c>
      <c r="Q19" s="204"/>
    </row>
    <row r="20" spans="1:17" ht="165.75">
      <c r="A20" s="25" t="s">
        <v>640</v>
      </c>
      <c r="B20" s="25" t="s">
        <v>946</v>
      </c>
      <c r="C20" s="25" t="s">
        <v>806</v>
      </c>
      <c r="D20" s="25" t="s">
        <v>725</v>
      </c>
      <c r="E20" s="25"/>
      <c r="F20" s="25" t="s">
        <v>725</v>
      </c>
      <c r="G20" s="25"/>
      <c r="H20" s="137"/>
      <c r="J20" s="25" t="s">
        <v>642</v>
      </c>
      <c r="K20" s="25" t="s">
        <v>1291</v>
      </c>
      <c r="L20" s="25" t="s">
        <v>1292</v>
      </c>
      <c r="M20" s="25" t="s">
        <v>1300</v>
      </c>
      <c r="N20" s="25"/>
      <c r="O20" s="25" t="s">
        <v>828</v>
      </c>
      <c r="P20" s="25" t="s">
        <v>1359</v>
      </c>
      <c r="Q20" s="204"/>
    </row>
    <row r="21" spans="1:17">
      <c r="A21" s="25" t="s">
        <v>640</v>
      </c>
      <c r="B21" s="25" t="s">
        <v>1011</v>
      </c>
      <c r="C21" s="25" t="s">
        <v>1012</v>
      </c>
      <c r="D21" s="25" t="s">
        <v>1255</v>
      </c>
      <c r="E21" s="25" t="s">
        <v>1175</v>
      </c>
      <c r="F21" s="25" t="s">
        <v>786</v>
      </c>
      <c r="G21" s="25"/>
      <c r="H21" s="137"/>
    </row>
    <row r="22" spans="1:17">
      <c r="A22" s="25" t="s">
        <v>640</v>
      </c>
      <c r="B22" s="25" t="s">
        <v>1161</v>
      </c>
      <c r="C22" s="25" t="s">
        <v>1162</v>
      </c>
      <c r="D22" s="25" t="s">
        <v>725</v>
      </c>
      <c r="E22" s="25"/>
      <c r="F22" s="25" t="s">
        <v>725</v>
      </c>
      <c r="G22" s="25"/>
      <c r="H22" s="137"/>
    </row>
    <row r="23" spans="1:17">
      <c r="A23" s="25" t="s">
        <v>640</v>
      </c>
      <c r="B23" s="25" t="s">
        <v>1167</v>
      </c>
      <c r="C23" s="25" t="s">
        <v>1168</v>
      </c>
      <c r="D23" s="25" t="s">
        <v>725</v>
      </c>
      <c r="E23" s="25"/>
      <c r="F23" s="25" t="s">
        <v>725</v>
      </c>
      <c r="G23" s="25"/>
      <c r="H23" s="137"/>
    </row>
    <row r="24" spans="1:17">
      <c r="A24" s="25" t="s">
        <v>640</v>
      </c>
      <c r="B24" s="25" t="s">
        <v>1170</v>
      </c>
      <c r="C24" s="25" t="s">
        <v>1155</v>
      </c>
      <c r="D24" s="25" t="s">
        <v>725</v>
      </c>
      <c r="E24" s="25"/>
      <c r="F24" s="25" t="s">
        <v>725</v>
      </c>
      <c r="G24" s="25"/>
      <c r="H24" s="198"/>
    </row>
    <row r="25" spans="1:17" ht="38.25">
      <c r="A25" s="25" t="s">
        <v>1128</v>
      </c>
      <c r="B25" s="25" t="s">
        <v>1132</v>
      </c>
      <c r="C25" s="25" t="s">
        <v>1133</v>
      </c>
      <c r="D25" s="25" t="s">
        <v>1134</v>
      </c>
      <c r="E25" s="25" t="s">
        <v>1391</v>
      </c>
      <c r="F25" s="25" t="s">
        <v>786</v>
      </c>
      <c r="G25" s="25" t="s">
        <v>1392</v>
      </c>
      <c r="H25" s="158"/>
    </row>
    <row r="26" spans="1:17">
      <c r="A26" s="25" t="s">
        <v>1137</v>
      </c>
      <c r="B26" s="25" t="s">
        <v>1172</v>
      </c>
      <c r="C26" s="25" t="s">
        <v>260</v>
      </c>
      <c r="D26" s="25" t="s">
        <v>1393</v>
      </c>
      <c r="E26" s="25" t="s">
        <v>1175</v>
      </c>
      <c r="F26" s="25" t="s">
        <v>1241</v>
      </c>
      <c r="G26" s="25"/>
      <c r="H26" s="158"/>
    </row>
    <row r="27" spans="1:17">
      <c r="A27" s="237" t="s">
        <v>1137</v>
      </c>
      <c r="B27" s="25" t="s">
        <v>1083</v>
      </c>
      <c r="C27" s="25" t="s">
        <v>862</v>
      </c>
      <c r="D27" s="25" t="s">
        <v>1148</v>
      </c>
      <c r="E27" s="25" t="s">
        <v>1172</v>
      </c>
      <c r="F27" s="25" t="s">
        <v>786</v>
      </c>
      <c r="G27" s="25" t="s">
        <v>1394</v>
      </c>
      <c r="H27" s="204"/>
    </row>
    <row r="28" spans="1:17">
      <c r="A28" s="25" t="s">
        <v>629</v>
      </c>
      <c r="B28" s="25" t="s">
        <v>1083</v>
      </c>
      <c r="C28" s="25" t="s">
        <v>862</v>
      </c>
      <c r="D28" s="25" t="s">
        <v>1148</v>
      </c>
      <c r="E28" s="25" t="s">
        <v>861</v>
      </c>
      <c r="F28" s="25"/>
      <c r="G28" s="25"/>
      <c r="H28" s="158"/>
    </row>
    <row r="29" spans="1:17" ht="25.5">
      <c r="A29" s="25" t="s">
        <v>629</v>
      </c>
      <c r="B29" s="25" t="s">
        <v>865</v>
      </c>
      <c r="C29" s="25" t="s">
        <v>866</v>
      </c>
      <c r="D29" s="25"/>
      <c r="E29" s="25"/>
      <c r="F29" s="25"/>
      <c r="G29" s="25" t="s">
        <v>1395</v>
      </c>
      <c r="H29" s="158"/>
    </row>
    <row r="30" spans="1:17">
      <c r="A30" s="25" t="s">
        <v>646</v>
      </c>
      <c r="B30" s="25" t="s">
        <v>841</v>
      </c>
      <c r="C30" s="25" t="s">
        <v>842</v>
      </c>
      <c r="D30" s="25" t="s">
        <v>1397</v>
      </c>
      <c r="E30" s="25" t="s">
        <v>1011</v>
      </c>
      <c r="F30" s="25" t="s">
        <v>786</v>
      </c>
      <c r="G30" s="25"/>
      <c r="H30" s="204"/>
    </row>
    <row r="31" spans="1:17" ht="25.5">
      <c r="A31" s="25" t="s">
        <v>642</v>
      </c>
      <c r="B31" s="25" t="s">
        <v>1261</v>
      </c>
      <c r="C31" s="25" t="s">
        <v>1277</v>
      </c>
      <c r="D31" s="25" t="s">
        <v>1300</v>
      </c>
      <c r="E31" s="25" t="s">
        <v>1172</v>
      </c>
      <c r="F31" s="25" t="s">
        <v>786</v>
      </c>
      <c r="G31" s="25" t="s">
        <v>1355</v>
      </c>
      <c r="H31" s="204"/>
    </row>
    <row r="32" spans="1:17">
      <c r="A32" s="25" t="s">
        <v>642</v>
      </c>
      <c r="B32" s="25" t="s">
        <v>1356</v>
      </c>
      <c r="C32" s="25" t="s">
        <v>1281</v>
      </c>
      <c r="D32" s="25" t="s">
        <v>1357</v>
      </c>
      <c r="E32" s="25"/>
      <c r="F32" s="25" t="s">
        <v>786</v>
      </c>
      <c r="G32" s="25"/>
      <c r="H32" s="204"/>
    </row>
    <row r="33" spans="1:8" ht="25.5">
      <c r="A33" s="25" t="s">
        <v>642</v>
      </c>
      <c r="B33" s="25" t="s">
        <v>1358</v>
      </c>
      <c r="C33" s="25" t="s">
        <v>1275</v>
      </c>
      <c r="D33" s="25" t="s">
        <v>1300</v>
      </c>
      <c r="E33" s="25"/>
      <c r="F33" s="25" t="s">
        <v>828</v>
      </c>
      <c r="G33" s="25" t="s">
        <v>1359</v>
      </c>
      <c r="H33" s="204"/>
    </row>
    <row r="34" spans="1:8" ht="25.5">
      <c r="A34" s="25" t="s">
        <v>642</v>
      </c>
      <c r="B34" s="25" t="s">
        <v>1291</v>
      </c>
      <c r="C34" s="25" t="s">
        <v>1292</v>
      </c>
      <c r="D34" s="25" t="s">
        <v>1300</v>
      </c>
      <c r="E34" s="25"/>
      <c r="F34" s="25" t="s">
        <v>828</v>
      </c>
      <c r="G34" s="25" t="s">
        <v>1359</v>
      </c>
      <c r="H34" s="204"/>
    </row>
  </sheetData>
  <hyperlinks>
    <hyperlink ref="A1" location="Summary!A1" display="Summary" xr:uid="{C386C191-CD9D-4571-A6F9-9BC4B26AE0C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693B-9312-4DA6-BFA5-510E2223EB15}">
  <dimension ref="A1:H71"/>
  <sheetViews>
    <sheetView zoomScale="85" zoomScaleNormal="85" workbookViewId="0"/>
  </sheetViews>
  <sheetFormatPr defaultRowHeight="15"/>
  <cols>
    <col min="1" max="1" width="19.7109375" bestFit="1" customWidth="1"/>
    <col min="2" max="2" width="28.85546875" bestFit="1" customWidth="1"/>
    <col min="3" max="3" width="36.5703125" bestFit="1" customWidth="1"/>
    <col min="4" max="4" width="23.140625" bestFit="1" customWidth="1"/>
    <col min="5" max="5" width="36.5703125" bestFit="1" customWidth="1"/>
    <col min="6" max="6" width="9.7109375" bestFit="1" customWidth="1"/>
    <col min="7" max="7" width="36.5703125" bestFit="1" customWidth="1"/>
  </cols>
  <sheetData>
    <row r="1" spans="1:8">
      <c r="B1" s="47" t="s">
        <v>773</v>
      </c>
      <c r="C1" s="231"/>
      <c r="D1" s="39"/>
      <c r="E1" s="39"/>
      <c r="F1" s="39"/>
      <c r="G1" s="228"/>
      <c r="H1" s="39"/>
    </row>
    <row r="2" spans="1:8">
      <c r="B2" s="230" t="s">
        <v>1387</v>
      </c>
      <c r="C2" s="231" t="s">
        <v>636</v>
      </c>
      <c r="D2" s="228"/>
      <c r="E2" s="228"/>
      <c r="F2" s="228"/>
      <c r="G2" s="228"/>
      <c r="H2" s="228"/>
    </row>
    <row r="3" spans="1:8">
      <c r="B3" s="40" t="s">
        <v>571</v>
      </c>
      <c r="C3" t="str">
        <f>Summary!O133</f>
        <v>Initial measurement data (IMD) is the term for measurement data in its initial (or raw) form. This is received from an external system or user created or system estimated in C2M. Once it's processed it will be stored as measurement(D1_MSRMT) or the IMD will be in Exception state depending on the VEE Rules setup. It is useful for Clients as it allows them to review the information of the expected number of reads uploaded to the system and how many are processed at a given period of time.
Note: This table holds a lot of data as a meter can have daily IMDs loaded into C2M. The adhoc view would be used to limit it via Badge Number, Measuring Component and IMD Date.</v>
      </c>
      <c r="D3" s="44"/>
      <c r="E3" s="44"/>
      <c r="F3" s="44"/>
      <c r="G3" s="231"/>
      <c r="H3" s="39"/>
    </row>
    <row r="4" spans="1:8">
      <c r="B4" s="40" t="s">
        <v>566</v>
      </c>
      <c r="C4" s="44" t="str">
        <f>Summary!I133</f>
        <v>Lennice</v>
      </c>
      <c r="E4" s="44"/>
      <c r="F4" s="44"/>
      <c r="G4" s="231"/>
      <c r="H4" s="39"/>
    </row>
    <row r="5" spans="1:8">
      <c r="B5" s="44"/>
      <c r="C5" s="231"/>
      <c r="D5" s="44"/>
      <c r="E5" s="44"/>
      <c r="F5" s="44"/>
      <c r="G5" s="231"/>
      <c r="H5" s="44"/>
    </row>
    <row r="6" spans="1:8" ht="26.25">
      <c r="A6" s="241" t="s">
        <v>743</v>
      </c>
      <c r="B6" s="241" t="s">
        <v>775</v>
      </c>
      <c r="C6" s="65" t="s">
        <v>776</v>
      </c>
      <c r="D6" s="241" t="s">
        <v>777</v>
      </c>
      <c r="E6" s="241" t="s">
        <v>778</v>
      </c>
      <c r="F6" s="65" t="s">
        <v>779</v>
      </c>
      <c r="G6" s="65" t="s">
        <v>568</v>
      </c>
      <c r="H6" s="65" t="s">
        <v>780</v>
      </c>
    </row>
    <row r="7" spans="1:8" ht="30">
      <c r="A7" s="69" t="s">
        <v>636</v>
      </c>
      <c r="B7" s="54" t="s">
        <v>924</v>
      </c>
      <c r="C7" s="54" t="s">
        <v>564</v>
      </c>
      <c r="D7" s="255" t="s">
        <v>788</v>
      </c>
      <c r="E7" s="67" t="s">
        <v>1237</v>
      </c>
      <c r="F7" s="67" t="s">
        <v>786</v>
      </c>
      <c r="G7" s="54"/>
      <c r="H7" s="54"/>
    </row>
    <row r="8" spans="1:8" ht="30">
      <c r="A8" s="69" t="s">
        <v>636</v>
      </c>
      <c r="B8" s="54" t="s">
        <v>926</v>
      </c>
      <c r="C8" s="54" t="s">
        <v>802</v>
      </c>
      <c r="D8" s="255" t="s">
        <v>803</v>
      </c>
      <c r="E8" s="67" t="s">
        <v>1237</v>
      </c>
      <c r="F8" s="67" t="s">
        <v>804</v>
      </c>
      <c r="G8" s="54"/>
      <c r="H8" s="54"/>
    </row>
    <row r="9" spans="1:8" ht="30">
      <c r="A9" s="69" t="s">
        <v>636</v>
      </c>
      <c r="B9" s="54" t="s">
        <v>928</v>
      </c>
      <c r="C9" s="54" t="s">
        <v>784</v>
      </c>
      <c r="D9" s="255" t="s">
        <v>785</v>
      </c>
      <c r="E9" s="67" t="s">
        <v>1237</v>
      </c>
      <c r="F9" s="67" t="s">
        <v>786</v>
      </c>
      <c r="G9" s="54"/>
      <c r="H9" s="54"/>
    </row>
    <row r="10" spans="1:8" ht="30">
      <c r="A10" s="69" t="s">
        <v>636</v>
      </c>
      <c r="B10" s="54" t="s">
        <v>933</v>
      </c>
      <c r="C10" s="54" t="s">
        <v>798</v>
      </c>
      <c r="D10" s="54"/>
      <c r="E10" s="54"/>
      <c r="F10" s="54"/>
      <c r="G10" s="54"/>
      <c r="H10" s="54"/>
    </row>
    <row r="11" spans="1:8" ht="30">
      <c r="A11" s="69" t="s">
        <v>636</v>
      </c>
      <c r="B11" s="54" t="s">
        <v>1398</v>
      </c>
      <c r="C11" s="54" t="s">
        <v>1399</v>
      </c>
      <c r="D11" s="54"/>
      <c r="E11" s="54"/>
      <c r="F11" s="54"/>
      <c r="G11" s="54"/>
      <c r="H11" s="54"/>
    </row>
    <row r="12" spans="1:8" ht="30">
      <c r="A12" s="69" t="s">
        <v>636</v>
      </c>
      <c r="B12" s="54" t="s">
        <v>1400</v>
      </c>
      <c r="C12" s="54" t="s">
        <v>1401</v>
      </c>
      <c r="D12" s="54"/>
      <c r="E12" s="54"/>
      <c r="F12" s="54"/>
      <c r="G12" s="54"/>
      <c r="H12" s="54"/>
    </row>
    <row r="13" spans="1:8" ht="30">
      <c r="A13" s="69" t="s">
        <v>636</v>
      </c>
      <c r="B13" s="54" t="s">
        <v>1402</v>
      </c>
      <c r="C13" s="54" t="s">
        <v>1403</v>
      </c>
      <c r="D13" s="256" t="s">
        <v>1114</v>
      </c>
      <c r="E13" s="256" t="s">
        <v>1404</v>
      </c>
      <c r="F13" s="54"/>
      <c r="G13" s="54"/>
      <c r="H13" s="54"/>
    </row>
    <row r="14" spans="1:8" ht="30">
      <c r="A14" s="69" t="s">
        <v>636</v>
      </c>
      <c r="B14" s="54" t="s">
        <v>939</v>
      </c>
      <c r="C14" s="54" t="s">
        <v>821</v>
      </c>
      <c r="D14" s="54"/>
      <c r="E14" s="54"/>
      <c r="F14" s="54"/>
      <c r="G14" s="54"/>
      <c r="H14" s="54"/>
    </row>
    <row r="15" spans="1:8" ht="30">
      <c r="A15" s="69" t="s">
        <v>636</v>
      </c>
      <c r="B15" s="54" t="s">
        <v>940</v>
      </c>
      <c r="C15" s="54" t="s">
        <v>818</v>
      </c>
      <c r="D15" s="54"/>
      <c r="E15" s="54"/>
      <c r="F15" s="54"/>
      <c r="G15" s="54"/>
      <c r="H15" s="54"/>
    </row>
    <row r="16" spans="1:8" ht="30">
      <c r="A16" s="69" t="s">
        <v>636</v>
      </c>
      <c r="B16" s="54" t="s">
        <v>1405</v>
      </c>
      <c r="C16" s="54" t="s">
        <v>1406</v>
      </c>
      <c r="D16" s="54"/>
      <c r="E16" s="54"/>
      <c r="F16" s="54"/>
      <c r="G16" s="54"/>
      <c r="H16" s="54"/>
    </row>
    <row r="17" spans="1:8" ht="30">
      <c r="A17" s="69" t="s">
        <v>636</v>
      </c>
      <c r="B17" s="54" t="s">
        <v>1407</v>
      </c>
      <c r="C17" s="54" t="s">
        <v>1408</v>
      </c>
      <c r="D17" s="54"/>
      <c r="E17" s="54"/>
      <c r="F17" s="54"/>
      <c r="G17" s="54"/>
      <c r="H17" s="54"/>
    </row>
    <row r="18" spans="1:8" ht="30">
      <c r="A18" s="69" t="s">
        <v>636</v>
      </c>
      <c r="B18" s="54" t="s">
        <v>1409</v>
      </c>
      <c r="C18" s="54" t="s">
        <v>1410</v>
      </c>
      <c r="D18" s="54"/>
      <c r="E18" s="54"/>
      <c r="F18" s="54"/>
      <c r="G18" s="54"/>
      <c r="H18" s="54"/>
    </row>
    <row r="19" spans="1:8" ht="30">
      <c r="A19" s="69" t="s">
        <v>636</v>
      </c>
      <c r="B19" s="54" t="s">
        <v>1298</v>
      </c>
      <c r="C19" s="54" t="s">
        <v>1299</v>
      </c>
      <c r="D19" s="54"/>
      <c r="E19" s="54"/>
      <c r="F19" s="54"/>
      <c r="G19" s="54"/>
      <c r="H19" s="54"/>
    </row>
    <row r="20" spans="1:8" ht="30">
      <c r="A20" s="69" t="s">
        <v>636</v>
      </c>
      <c r="B20" s="54" t="s">
        <v>1276</v>
      </c>
      <c r="C20" s="54" t="s">
        <v>1277</v>
      </c>
      <c r="D20" s="256" t="s">
        <v>1300</v>
      </c>
      <c r="E20" s="256" t="s">
        <v>1237</v>
      </c>
      <c r="F20" s="256" t="s">
        <v>828</v>
      </c>
      <c r="G20" s="54"/>
      <c r="H20" s="54"/>
    </row>
    <row r="21" spans="1:8" ht="30">
      <c r="A21" s="69" t="s">
        <v>636</v>
      </c>
      <c r="B21" s="54" t="s">
        <v>1411</v>
      </c>
      <c r="C21" s="54" t="s">
        <v>1412</v>
      </c>
      <c r="D21" s="54"/>
      <c r="E21" s="54"/>
      <c r="F21" s="54"/>
      <c r="G21" s="54"/>
      <c r="H21" s="54"/>
    </row>
    <row r="22" spans="1:8" ht="30">
      <c r="A22" s="69" t="s">
        <v>636</v>
      </c>
      <c r="B22" s="54" t="s">
        <v>1413</v>
      </c>
      <c r="C22" s="54" t="s">
        <v>1414</v>
      </c>
      <c r="D22" s="54"/>
      <c r="E22" s="54"/>
      <c r="F22" s="54"/>
      <c r="G22" s="54"/>
      <c r="H22" s="54"/>
    </row>
    <row r="23" spans="1:8" ht="30">
      <c r="A23" s="69" t="s">
        <v>636</v>
      </c>
      <c r="B23" s="54" t="s">
        <v>1415</v>
      </c>
      <c r="C23" s="54" t="s">
        <v>1416</v>
      </c>
      <c r="D23" s="54"/>
      <c r="E23" s="54"/>
      <c r="F23" s="54"/>
      <c r="G23" s="54"/>
      <c r="H23" s="54"/>
    </row>
    <row r="24" spans="1:8" ht="30">
      <c r="A24" s="69" t="s">
        <v>636</v>
      </c>
      <c r="B24" s="54" t="s">
        <v>943</v>
      </c>
      <c r="C24" s="54" t="s">
        <v>823</v>
      </c>
      <c r="D24" s="54"/>
      <c r="E24" s="54"/>
      <c r="F24" s="54"/>
      <c r="G24" s="54"/>
      <c r="H24" s="54"/>
    </row>
    <row r="25" spans="1:8" ht="30">
      <c r="A25" s="69" t="s">
        <v>636</v>
      </c>
      <c r="B25" s="54" t="s">
        <v>945</v>
      </c>
      <c r="C25" s="54" t="s">
        <v>800</v>
      </c>
      <c r="D25" s="54"/>
      <c r="E25" s="54"/>
      <c r="F25" s="54"/>
      <c r="G25" s="54"/>
      <c r="H25" s="54"/>
    </row>
    <row r="26" spans="1:8" ht="30">
      <c r="A26" s="69" t="s">
        <v>636</v>
      </c>
      <c r="B26" s="54" t="s">
        <v>1049</v>
      </c>
      <c r="C26" s="54" t="s">
        <v>1050</v>
      </c>
      <c r="D26" s="256" t="s">
        <v>1185</v>
      </c>
      <c r="E26" s="54"/>
      <c r="F26" s="54"/>
      <c r="G26" s="54"/>
      <c r="H26" s="54"/>
    </row>
    <row r="27" spans="1:8" ht="30">
      <c r="A27" s="69" t="s">
        <v>636</v>
      </c>
      <c r="B27" s="54" t="s">
        <v>1417</v>
      </c>
      <c r="C27" s="54" t="s">
        <v>1418</v>
      </c>
      <c r="D27" s="54"/>
      <c r="E27" s="54"/>
      <c r="F27" s="54"/>
      <c r="G27" s="54"/>
      <c r="H27" s="54"/>
    </row>
    <row r="28" spans="1:8" ht="30">
      <c r="A28" s="69" t="s">
        <v>636</v>
      </c>
      <c r="B28" s="54" t="s">
        <v>946</v>
      </c>
      <c r="C28" s="54" t="s">
        <v>806</v>
      </c>
      <c r="D28" s="54"/>
      <c r="E28" s="54"/>
      <c r="F28" s="54"/>
      <c r="G28" s="54"/>
      <c r="H28" s="54"/>
    </row>
    <row r="29" spans="1:8">
      <c r="A29" s="3" t="s">
        <v>642</v>
      </c>
      <c r="B29" s="54" t="s">
        <v>984</v>
      </c>
      <c r="C29" s="54" t="s">
        <v>985</v>
      </c>
      <c r="D29" s="54"/>
      <c r="E29" s="54"/>
      <c r="F29" s="54"/>
      <c r="G29" s="54"/>
      <c r="H29" s="54"/>
    </row>
    <row r="30" spans="1:8">
      <c r="A30" s="3" t="s">
        <v>642</v>
      </c>
      <c r="B30" s="54" t="s">
        <v>1256</v>
      </c>
      <c r="C30" s="54" t="s">
        <v>1257</v>
      </c>
      <c r="D30" s="54"/>
      <c r="E30" s="54"/>
      <c r="F30" s="54"/>
      <c r="G30" s="54"/>
      <c r="H30" s="54"/>
    </row>
    <row r="31" spans="1:8">
      <c r="A31" s="80" t="s">
        <v>642</v>
      </c>
      <c r="B31" s="63" t="s">
        <v>1258</v>
      </c>
      <c r="C31" s="63" t="s">
        <v>1259</v>
      </c>
      <c r="D31" s="63"/>
      <c r="E31" s="63"/>
      <c r="F31" s="63"/>
      <c r="G31" s="63"/>
      <c r="H31" s="63"/>
    </row>
    <row r="32" spans="1:8">
      <c r="A32" s="3" t="s">
        <v>642</v>
      </c>
      <c r="B32" s="54" t="s">
        <v>922</v>
      </c>
      <c r="C32" s="54" t="s">
        <v>923</v>
      </c>
      <c r="D32" s="54"/>
      <c r="E32" s="54"/>
      <c r="F32" s="54"/>
      <c r="G32" s="54"/>
      <c r="H32" s="54"/>
    </row>
    <row r="33" spans="1:8">
      <c r="A33" s="3" t="s">
        <v>642</v>
      </c>
      <c r="B33" s="3" t="s">
        <v>924</v>
      </c>
      <c r="C33" s="3" t="s">
        <v>564</v>
      </c>
      <c r="D33" s="3"/>
      <c r="E33" s="3"/>
      <c r="F33" s="3"/>
      <c r="G33" s="3"/>
      <c r="H33" s="3"/>
    </row>
    <row r="34" spans="1:8">
      <c r="A34" s="3" t="s">
        <v>642</v>
      </c>
      <c r="B34" s="3" t="s">
        <v>926</v>
      </c>
      <c r="C34" s="3" t="s">
        <v>802</v>
      </c>
      <c r="D34" s="3"/>
      <c r="E34" s="3"/>
      <c r="F34" s="3"/>
      <c r="G34" s="3"/>
      <c r="H34" s="3"/>
    </row>
    <row r="35" spans="1:8">
      <c r="A35" s="3" t="s">
        <v>642</v>
      </c>
      <c r="B35" s="3" t="s">
        <v>928</v>
      </c>
      <c r="C35" s="3" t="s">
        <v>784</v>
      </c>
      <c r="D35" s="3"/>
      <c r="E35" s="3"/>
      <c r="F35" s="3"/>
      <c r="G35" s="3"/>
      <c r="H35" s="3"/>
    </row>
    <row r="36" spans="1:8">
      <c r="A36" s="3" t="s">
        <v>642</v>
      </c>
      <c r="B36" s="3" t="s">
        <v>933</v>
      </c>
      <c r="C36" s="3" t="s">
        <v>798</v>
      </c>
      <c r="D36" s="3"/>
      <c r="E36" s="3"/>
      <c r="F36" s="3"/>
      <c r="G36" s="3"/>
      <c r="H36" s="3"/>
    </row>
    <row r="37" spans="1:8">
      <c r="A37" s="3" t="s">
        <v>642</v>
      </c>
      <c r="B37" s="3" t="s">
        <v>1266</v>
      </c>
      <c r="C37" s="3" t="s">
        <v>1267</v>
      </c>
      <c r="D37" s="3"/>
      <c r="E37" s="3"/>
      <c r="F37" s="3"/>
      <c r="G37" s="3"/>
      <c r="H37" s="3"/>
    </row>
    <row r="38" spans="1:8">
      <c r="A38" s="3" t="s">
        <v>642</v>
      </c>
      <c r="B38" s="3" t="s">
        <v>1268</v>
      </c>
      <c r="C38" s="3" t="s">
        <v>1269</v>
      </c>
      <c r="D38" s="3"/>
      <c r="E38" s="3"/>
      <c r="F38" s="3"/>
      <c r="G38" s="3"/>
      <c r="H38" s="3"/>
    </row>
    <row r="39" spans="1:8">
      <c r="A39" s="3" t="s">
        <v>642</v>
      </c>
      <c r="B39" s="3" t="s">
        <v>1270</v>
      </c>
      <c r="C39" s="3" t="s">
        <v>1271</v>
      </c>
      <c r="D39" s="3"/>
      <c r="E39" s="3"/>
      <c r="F39" s="3"/>
      <c r="G39" s="3"/>
      <c r="H39" s="3"/>
    </row>
    <row r="40" spans="1:8">
      <c r="A40" s="3" t="s">
        <v>642</v>
      </c>
      <c r="B40" s="3" t="s">
        <v>1272</v>
      </c>
      <c r="C40" s="3" t="s">
        <v>1273</v>
      </c>
      <c r="D40" s="3"/>
      <c r="E40" s="3"/>
      <c r="F40" s="3"/>
      <c r="G40" s="3"/>
      <c r="H40" s="3"/>
    </row>
    <row r="41" spans="1:8">
      <c r="A41" s="3" t="s">
        <v>642</v>
      </c>
      <c r="B41" s="3" t="s">
        <v>1172</v>
      </c>
      <c r="C41" s="3" t="s">
        <v>260</v>
      </c>
      <c r="D41" s="3"/>
      <c r="E41" s="3"/>
      <c r="F41" s="3"/>
      <c r="G41" s="3"/>
      <c r="H41" s="3"/>
    </row>
    <row r="42" spans="1:8">
      <c r="A42" s="3" t="s">
        <v>642</v>
      </c>
      <c r="B42" s="3" t="s">
        <v>1274</v>
      </c>
      <c r="C42" s="3" t="s">
        <v>1275</v>
      </c>
      <c r="D42" s="3"/>
      <c r="E42" s="3"/>
      <c r="F42" s="3"/>
      <c r="G42" s="3"/>
      <c r="H42" s="3"/>
    </row>
    <row r="43" spans="1:8">
      <c r="A43" s="3" t="s">
        <v>642</v>
      </c>
      <c r="B43" s="3" t="s">
        <v>1276</v>
      </c>
      <c r="C43" s="3" t="s">
        <v>1277</v>
      </c>
      <c r="D43" s="69" t="s">
        <v>1419</v>
      </c>
      <c r="E43" s="3" t="s">
        <v>1261</v>
      </c>
      <c r="F43" s="3"/>
      <c r="G43" s="3"/>
      <c r="H43" s="3"/>
    </row>
    <row r="44" spans="1:8">
      <c r="A44" s="3" t="s">
        <v>642</v>
      </c>
      <c r="B44" s="3" t="s">
        <v>1278</v>
      </c>
      <c r="C44" s="3" t="s">
        <v>1279</v>
      </c>
      <c r="D44" s="3"/>
      <c r="E44" s="3"/>
      <c r="F44" s="3"/>
      <c r="G44" s="3"/>
      <c r="H44" s="3"/>
    </row>
    <row r="45" spans="1:8">
      <c r="A45" s="3" t="s">
        <v>642</v>
      </c>
      <c r="B45" s="3" t="s">
        <v>1280</v>
      </c>
      <c r="C45" s="3" t="s">
        <v>1281</v>
      </c>
      <c r="D45" s="3"/>
      <c r="E45" s="3"/>
      <c r="F45" s="3"/>
      <c r="G45" s="3"/>
      <c r="H45" s="3"/>
    </row>
    <row r="46" spans="1:8">
      <c r="A46" s="3" t="s">
        <v>642</v>
      </c>
      <c r="B46" s="3" t="s">
        <v>1283</v>
      </c>
      <c r="C46" s="3" t="s">
        <v>1284</v>
      </c>
      <c r="D46" s="3"/>
      <c r="E46" s="3"/>
      <c r="F46" s="3"/>
      <c r="G46" s="3"/>
      <c r="H46" s="3"/>
    </row>
    <row r="47" spans="1:8">
      <c r="A47" s="3" t="s">
        <v>642</v>
      </c>
      <c r="B47" s="3" t="s">
        <v>1285</v>
      </c>
      <c r="C47" s="3" t="s">
        <v>1286</v>
      </c>
      <c r="D47" s="3"/>
      <c r="E47" s="3"/>
      <c r="F47" s="3"/>
      <c r="G47" s="3"/>
      <c r="H47" s="3"/>
    </row>
    <row r="48" spans="1:8">
      <c r="A48" s="3" t="s">
        <v>642</v>
      </c>
      <c r="B48" s="3" t="s">
        <v>1287</v>
      </c>
      <c r="C48" s="3" t="s">
        <v>1288</v>
      </c>
      <c r="D48" s="3"/>
      <c r="E48" s="3"/>
      <c r="F48" s="3"/>
      <c r="G48" s="3"/>
      <c r="H48" s="3"/>
    </row>
    <row r="49" spans="1:8">
      <c r="A49" s="3" t="s">
        <v>642</v>
      </c>
      <c r="B49" s="3" t="s">
        <v>1289</v>
      </c>
      <c r="C49" s="3" t="s">
        <v>1290</v>
      </c>
      <c r="D49" s="3"/>
      <c r="E49" s="3"/>
      <c r="F49" s="3"/>
      <c r="G49" s="3"/>
      <c r="H49" s="3"/>
    </row>
    <row r="50" spans="1:8">
      <c r="A50" s="3" t="s">
        <v>642</v>
      </c>
      <c r="B50" s="3" t="s">
        <v>1291</v>
      </c>
      <c r="C50" s="3" t="s">
        <v>1292</v>
      </c>
      <c r="D50" s="3"/>
      <c r="E50" s="3"/>
      <c r="F50" s="3"/>
      <c r="G50" s="3"/>
      <c r="H50" s="3"/>
    </row>
    <row r="51" spans="1:8">
      <c r="A51" s="3" t="s">
        <v>642</v>
      </c>
      <c r="B51" s="3" t="s">
        <v>945</v>
      </c>
      <c r="C51" s="3" t="s">
        <v>800</v>
      </c>
      <c r="D51" s="3"/>
      <c r="E51" s="3"/>
      <c r="F51" s="3"/>
      <c r="G51" s="3"/>
      <c r="H51" s="3"/>
    </row>
    <row r="52" spans="1:8">
      <c r="A52" s="3" t="s">
        <v>642</v>
      </c>
      <c r="B52" s="3" t="s">
        <v>1049</v>
      </c>
      <c r="C52" s="3" t="s">
        <v>1050</v>
      </c>
      <c r="D52" s="3"/>
      <c r="E52" s="3"/>
      <c r="F52" s="3"/>
      <c r="G52" s="3"/>
      <c r="H52" s="3"/>
    </row>
    <row r="53" spans="1:8">
      <c r="A53" s="3" t="s">
        <v>642</v>
      </c>
      <c r="B53" s="3" t="s">
        <v>1293</v>
      </c>
      <c r="C53" s="3" t="s">
        <v>1294</v>
      </c>
      <c r="D53" s="3"/>
      <c r="E53" s="3"/>
      <c r="F53" s="3"/>
      <c r="G53" s="3"/>
      <c r="H53" s="3"/>
    </row>
    <row r="54" spans="1:8">
      <c r="A54" s="80" t="s">
        <v>642</v>
      </c>
      <c r="B54" s="80" t="s">
        <v>946</v>
      </c>
      <c r="C54" s="80" t="s">
        <v>806</v>
      </c>
      <c r="D54" s="80"/>
      <c r="E54" s="80"/>
      <c r="F54" s="80"/>
      <c r="G54" s="80"/>
      <c r="H54" s="80"/>
    </row>
    <row r="55" spans="1:8">
      <c r="A55" s="3" t="s">
        <v>1420</v>
      </c>
      <c r="B55" s="3" t="s">
        <v>924</v>
      </c>
      <c r="C55" s="3" t="s">
        <v>564</v>
      </c>
      <c r="D55" s="3"/>
      <c r="E55" s="3"/>
      <c r="F55" s="3"/>
      <c r="G55" s="3"/>
      <c r="H55" s="3"/>
    </row>
    <row r="56" spans="1:8">
      <c r="A56" s="3" t="s">
        <v>326</v>
      </c>
      <c r="B56" s="3" t="s">
        <v>926</v>
      </c>
      <c r="C56" s="3" t="s">
        <v>802</v>
      </c>
      <c r="D56" s="3"/>
      <c r="E56" s="3"/>
      <c r="F56" s="3"/>
      <c r="G56" s="3"/>
      <c r="H56" s="3"/>
    </row>
    <row r="57" spans="1:8">
      <c r="A57" s="3" t="s">
        <v>326</v>
      </c>
      <c r="B57" s="3" t="s">
        <v>928</v>
      </c>
      <c r="C57" s="3" t="s">
        <v>784</v>
      </c>
      <c r="D57" s="3"/>
      <c r="E57" s="3"/>
      <c r="F57" s="3"/>
      <c r="G57" s="3"/>
      <c r="H57" s="3"/>
    </row>
    <row r="58" spans="1:8">
      <c r="A58" s="3" t="s">
        <v>326</v>
      </c>
      <c r="B58" s="3" t="s">
        <v>933</v>
      </c>
      <c r="C58" s="3" t="s">
        <v>798</v>
      </c>
      <c r="D58" s="3"/>
      <c r="E58" s="3"/>
      <c r="F58" s="3"/>
      <c r="G58" s="3"/>
      <c r="H58" s="3"/>
    </row>
    <row r="59" spans="1:8">
      <c r="A59" s="3" t="s">
        <v>326</v>
      </c>
      <c r="B59" s="3" t="s">
        <v>1421</v>
      </c>
      <c r="C59" s="3" t="s">
        <v>1422</v>
      </c>
      <c r="D59" s="3"/>
      <c r="E59" s="3"/>
      <c r="F59" s="3"/>
      <c r="G59" s="3"/>
      <c r="H59" s="3"/>
    </row>
    <row r="60" spans="1:8">
      <c r="A60" s="3" t="s">
        <v>326</v>
      </c>
      <c r="B60" s="3" t="s">
        <v>1423</v>
      </c>
      <c r="C60" s="3" t="s">
        <v>1424</v>
      </c>
      <c r="D60" s="3"/>
      <c r="E60" s="3"/>
      <c r="F60" s="3"/>
      <c r="G60" s="3"/>
      <c r="H60" s="3"/>
    </row>
    <row r="61" spans="1:8">
      <c r="A61" s="3" t="s">
        <v>326</v>
      </c>
      <c r="B61" s="3" t="s">
        <v>939</v>
      </c>
      <c r="C61" s="3" t="s">
        <v>821</v>
      </c>
      <c r="D61" s="3"/>
      <c r="E61" s="3"/>
      <c r="F61" s="3"/>
      <c r="G61" s="3"/>
      <c r="H61" s="3"/>
    </row>
    <row r="62" spans="1:8">
      <c r="A62" s="3" t="s">
        <v>326</v>
      </c>
      <c r="B62" s="3" t="s">
        <v>940</v>
      </c>
      <c r="C62" s="3" t="s">
        <v>818</v>
      </c>
      <c r="D62" s="3"/>
      <c r="E62" s="3"/>
      <c r="F62" s="3"/>
      <c r="G62" s="3"/>
      <c r="H62" s="3"/>
    </row>
    <row r="63" spans="1:8">
      <c r="A63" s="3" t="s">
        <v>326</v>
      </c>
      <c r="B63" s="3" t="s">
        <v>1409</v>
      </c>
      <c r="C63" s="3" t="s">
        <v>1410</v>
      </c>
      <c r="D63" s="69" t="s">
        <v>1419</v>
      </c>
      <c r="E63" s="3" t="s">
        <v>1409</v>
      </c>
      <c r="F63" s="3" t="s">
        <v>1425</v>
      </c>
      <c r="G63" s="3"/>
      <c r="H63" s="3"/>
    </row>
    <row r="64" spans="1:8">
      <c r="A64" s="3" t="s">
        <v>326</v>
      </c>
      <c r="B64" s="3" t="s">
        <v>1426</v>
      </c>
      <c r="C64" s="3" t="s">
        <v>1427</v>
      </c>
      <c r="D64" s="3" t="s">
        <v>1428</v>
      </c>
      <c r="E64" s="3"/>
      <c r="F64" s="3"/>
      <c r="G64" s="3"/>
      <c r="H64" s="3"/>
    </row>
    <row r="65" spans="1:8">
      <c r="A65" s="3" t="s">
        <v>326</v>
      </c>
      <c r="B65" s="3" t="s">
        <v>1429</v>
      </c>
      <c r="C65" s="3" t="s">
        <v>1430</v>
      </c>
      <c r="D65" s="3" t="s">
        <v>1428</v>
      </c>
      <c r="E65" s="3"/>
      <c r="F65" s="3"/>
      <c r="G65" s="3"/>
      <c r="H65" s="3"/>
    </row>
    <row r="66" spans="1:8">
      <c r="A66" s="3" t="s">
        <v>326</v>
      </c>
      <c r="B66" s="3" t="s">
        <v>1431</v>
      </c>
      <c r="C66" s="3" t="s">
        <v>1432</v>
      </c>
      <c r="D66" s="3"/>
      <c r="E66" s="3"/>
      <c r="F66" s="3"/>
      <c r="G66" s="3"/>
      <c r="H66" s="3"/>
    </row>
    <row r="67" spans="1:8">
      <c r="A67" s="3" t="s">
        <v>326</v>
      </c>
      <c r="B67" s="3" t="s">
        <v>945</v>
      </c>
      <c r="C67" s="3" t="s">
        <v>800</v>
      </c>
      <c r="D67" s="3"/>
      <c r="E67" s="3"/>
      <c r="F67" s="3"/>
      <c r="G67" s="3"/>
      <c r="H67" s="3"/>
    </row>
    <row r="68" spans="1:8">
      <c r="A68" s="3" t="s">
        <v>326</v>
      </c>
      <c r="B68" s="3" t="s">
        <v>1433</v>
      </c>
      <c r="C68" s="3" t="s">
        <v>1434</v>
      </c>
      <c r="D68" s="3"/>
      <c r="E68" s="3"/>
      <c r="F68" s="3"/>
      <c r="G68" s="3"/>
      <c r="H68" s="3"/>
    </row>
    <row r="69" spans="1:8">
      <c r="A69" s="3" t="s">
        <v>326</v>
      </c>
      <c r="B69" s="3" t="s">
        <v>1435</v>
      </c>
      <c r="C69" s="3" t="s">
        <v>1436</v>
      </c>
      <c r="D69" s="3"/>
      <c r="E69" s="3"/>
      <c r="F69" s="3"/>
      <c r="G69" s="3"/>
      <c r="H69" s="3"/>
    </row>
    <row r="70" spans="1:8">
      <c r="A70" s="3" t="s">
        <v>326</v>
      </c>
      <c r="B70" s="3" t="s">
        <v>1437</v>
      </c>
      <c r="C70" s="3" t="s">
        <v>1438</v>
      </c>
      <c r="D70" s="3"/>
      <c r="E70" s="3"/>
      <c r="F70" s="3"/>
      <c r="G70" s="3"/>
      <c r="H70" s="3"/>
    </row>
    <row r="71" spans="1:8">
      <c r="A71" s="3" t="s">
        <v>326</v>
      </c>
      <c r="B71" s="3" t="s">
        <v>946</v>
      </c>
      <c r="C71" s="3" t="s">
        <v>806</v>
      </c>
      <c r="D71" s="3"/>
      <c r="E71" s="3"/>
      <c r="F71" s="3"/>
      <c r="G71" s="3"/>
      <c r="H71" s="3"/>
    </row>
  </sheetData>
  <hyperlinks>
    <hyperlink ref="B1" location="Summary!A1" display="Summary" xr:uid="{62D5DBA5-550B-4F89-9614-7D16D0D74D91}"/>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50C2-D702-4649-8925-7AB6D8FE4B98}">
  <dimension ref="A1:H48"/>
  <sheetViews>
    <sheetView workbookViewId="0">
      <selection activeCell="A7" sqref="A7"/>
    </sheetView>
  </sheetViews>
  <sheetFormatPr defaultRowHeight="15"/>
  <cols>
    <col min="1" max="1" width="17" bestFit="1" customWidth="1"/>
    <col min="2" max="8" width="33.140625" customWidth="1"/>
  </cols>
  <sheetData>
    <row r="1" spans="1:8">
      <c r="A1" s="44"/>
      <c r="B1" s="1" t="s">
        <v>773</v>
      </c>
      <c r="C1" s="39"/>
      <c r="D1" s="39"/>
      <c r="E1" s="39"/>
      <c r="F1" s="39"/>
      <c r="G1" s="39"/>
      <c r="H1" s="39"/>
    </row>
    <row r="2" spans="1:8">
      <c r="A2" s="44"/>
      <c r="B2" s="40" t="s">
        <v>1439</v>
      </c>
      <c r="C2" s="319"/>
      <c r="D2" s="319"/>
      <c r="E2" s="319"/>
      <c r="F2" s="319"/>
      <c r="G2" s="319"/>
      <c r="H2" s="319"/>
    </row>
    <row r="3" spans="1:8">
      <c r="A3" s="44"/>
      <c r="B3" s="40" t="s">
        <v>571</v>
      </c>
      <c r="C3" s="328" t="str">
        <f>Summary!O140</f>
        <v xml:space="preserve">Measuring components are single points for which data will be received and stored in the system. Measuring components can be associated to a device or not (these are virtual or stand-alone). This is helpful for the Clients as it allows them to retrieve the Measuring Components that's either related to a SP or not used. </v>
      </c>
      <c r="D3" s="328"/>
      <c r="E3" s="328"/>
      <c r="F3" s="328"/>
      <c r="G3" s="328"/>
      <c r="H3" s="328"/>
    </row>
    <row r="4" spans="1:8">
      <c r="A4" s="44"/>
      <c r="B4" s="40" t="s">
        <v>566</v>
      </c>
      <c r="C4" s="39" t="s">
        <v>586</v>
      </c>
      <c r="D4" s="39"/>
      <c r="E4" s="39"/>
      <c r="F4" s="39"/>
      <c r="G4" s="39"/>
      <c r="H4" s="39"/>
    </row>
    <row r="5" spans="1:8">
      <c r="A5" s="44"/>
      <c r="B5" s="44"/>
      <c r="C5" s="44"/>
      <c r="D5" s="44"/>
      <c r="E5" s="44"/>
      <c r="F5" s="44"/>
      <c r="G5" s="44"/>
      <c r="H5" s="44"/>
    </row>
    <row r="6" spans="1:8">
      <c r="A6" s="241" t="s">
        <v>550</v>
      </c>
      <c r="B6" s="257" t="s">
        <v>775</v>
      </c>
      <c r="C6" s="257" t="s">
        <v>776</v>
      </c>
      <c r="D6" s="257" t="s">
        <v>777</v>
      </c>
      <c r="E6" s="257" t="s">
        <v>778</v>
      </c>
      <c r="F6" s="139" t="s">
        <v>779</v>
      </c>
      <c r="G6" s="139" t="s">
        <v>568</v>
      </c>
      <c r="H6" s="139" t="s">
        <v>780</v>
      </c>
    </row>
    <row r="7" spans="1:8">
      <c r="A7" s="258" t="s">
        <v>642</v>
      </c>
      <c r="B7" s="247" t="s">
        <v>984</v>
      </c>
      <c r="C7" s="247" t="s">
        <v>985</v>
      </c>
      <c r="D7" s="247" t="s">
        <v>1237</v>
      </c>
      <c r="E7" s="247" t="s">
        <v>1237</v>
      </c>
      <c r="F7" s="247" t="s">
        <v>1237</v>
      </c>
      <c r="G7" s="247" t="s">
        <v>1237</v>
      </c>
      <c r="H7" s="247" t="s">
        <v>1237</v>
      </c>
    </row>
    <row r="8" spans="1:8">
      <c r="A8" s="258" t="s">
        <v>642</v>
      </c>
      <c r="B8" s="247" t="s">
        <v>1256</v>
      </c>
      <c r="C8" s="247" t="s">
        <v>1257</v>
      </c>
      <c r="D8" s="247" t="s">
        <v>1237</v>
      </c>
      <c r="E8" s="247" t="s">
        <v>1237</v>
      </c>
      <c r="F8" s="247" t="s">
        <v>1237</v>
      </c>
      <c r="G8" s="247" t="s">
        <v>1237</v>
      </c>
      <c r="H8" s="247" t="s">
        <v>1237</v>
      </c>
    </row>
    <row r="9" spans="1:8">
      <c r="A9" s="258" t="s">
        <v>642</v>
      </c>
      <c r="B9" s="247" t="s">
        <v>1258</v>
      </c>
      <c r="C9" s="247" t="s">
        <v>1259</v>
      </c>
      <c r="D9" s="247" t="s">
        <v>1260</v>
      </c>
      <c r="E9" s="247" t="s">
        <v>1261</v>
      </c>
      <c r="F9" s="247" t="s">
        <v>804</v>
      </c>
      <c r="G9" s="247" t="s">
        <v>1237</v>
      </c>
      <c r="H9" s="247" t="s">
        <v>1237</v>
      </c>
    </row>
    <row r="10" spans="1:8">
      <c r="A10" s="258" t="s">
        <v>642</v>
      </c>
      <c r="B10" s="247" t="s">
        <v>922</v>
      </c>
      <c r="C10" s="247" t="s">
        <v>923</v>
      </c>
      <c r="D10" s="247" t="s">
        <v>1237</v>
      </c>
      <c r="E10" s="247" t="s">
        <v>1237</v>
      </c>
      <c r="F10" s="247" t="s">
        <v>1237</v>
      </c>
      <c r="G10" s="247" t="s">
        <v>1237</v>
      </c>
      <c r="H10" s="247" t="s">
        <v>1237</v>
      </c>
    </row>
    <row r="11" spans="1:8" ht="26.25">
      <c r="A11" s="258" t="s">
        <v>1237</v>
      </c>
      <c r="B11" s="247" t="s">
        <v>1263</v>
      </c>
      <c r="C11" s="247" t="s">
        <v>1237</v>
      </c>
      <c r="D11" s="259" t="s">
        <v>1189</v>
      </c>
      <c r="E11" s="247" t="s">
        <v>1237</v>
      </c>
      <c r="F11" s="247" t="s">
        <v>804</v>
      </c>
      <c r="G11" s="247" t="s">
        <v>1237</v>
      </c>
      <c r="H11" s="247" t="s">
        <v>1237</v>
      </c>
    </row>
    <row r="12" spans="1:8">
      <c r="A12" s="258" t="s">
        <v>1237</v>
      </c>
      <c r="B12" s="247" t="s">
        <v>1264</v>
      </c>
      <c r="C12" s="247" t="s">
        <v>1237</v>
      </c>
      <c r="D12" s="247" t="s">
        <v>1237</v>
      </c>
      <c r="E12" s="247" t="s">
        <v>1237</v>
      </c>
      <c r="F12" s="247" t="s">
        <v>1237</v>
      </c>
      <c r="G12" s="247" t="s">
        <v>1237</v>
      </c>
      <c r="H12" s="247" t="s">
        <v>1237</v>
      </c>
    </row>
    <row r="13" spans="1:8" ht="26.25">
      <c r="A13" s="258" t="s">
        <v>1237</v>
      </c>
      <c r="B13" s="247" t="s">
        <v>1265</v>
      </c>
      <c r="C13" s="247" t="s">
        <v>1237</v>
      </c>
      <c r="D13" s="259" t="s">
        <v>1189</v>
      </c>
      <c r="E13" s="247" t="s">
        <v>1237</v>
      </c>
      <c r="F13" s="247" t="s">
        <v>804</v>
      </c>
      <c r="G13" s="247" t="s">
        <v>1237</v>
      </c>
      <c r="H13" s="247" t="s">
        <v>1237</v>
      </c>
    </row>
    <row r="14" spans="1:8">
      <c r="A14" s="258" t="s">
        <v>642</v>
      </c>
      <c r="B14" s="247" t="s">
        <v>924</v>
      </c>
      <c r="C14" s="247" t="s">
        <v>564</v>
      </c>
      <c r="D14" s="247" t="s">
        <v>788</v>
      </c>
      <c r="E14" s="247" t="s">
        <v>1237</v>
      </c>
      <c r="F14" s="247" t="s">
        <v>1237</v>
      </c>
      <c r="G14" s="247" t="s">
        <v>1237</v>
      </c>
      <c r="H14" s="247" t="s">
        <v>1237</v>
      </c>
    </row>
    <row r="15" spans="1:8">
      <c r="A15" s="258" t="s">
        <v>642</v>
      </c>
      <c r="B15" s="247" t="s">
        <v>926</v>
      </c>
      <c r="C15" s="247" t="s">
        <v>802</v>
      </c>
      <c r="D15" s="247" t="s">
        <v>803</v>
      </c>
      <c r="E15" s="247" t="s">
        <v>1237</v>
      </c>
      <c r="F15" s="247" t="s">
        <v>804</v>
      </c>
      <c r="G15" s="247" t="s">
        <v>1237</v>
      </c>
      <c r="H15" s="247" t="s">
        <v>1237</v>
      </c>
    </row>
    <row r="16" spans="1:8">
      <c r="A16" s="258" t="s">
        <v>642</v>
      </c>
      <c r="B16" s="247" t="s">
        <v>928</v>
      </c>
      <c r="C16" s="247" t="s">
        <v>784</v>
      </c>
      <c r="D16" s="247" t="s">
        <v>785</v>
      </c>
      <c r="E16" s="247" t="s">
        <v>1237</v>
      </c>
      <c r="F16" s="247" t="s">
        <v>786</v>
      </c>
      <c r="G16" s="247" t="s">
        <v>1237</v>
      </c>
      <c r="H16" s="247" t="s">
        <v>1237</v>
      </c>
    </row>
    <row r="17" spans="1:8">
      <c r="A17" s="258" t="s">
        <v>642</v>
      </c>
      <c r="B17" s="247" t="s">
        <v>933</v>
      </c>
      <c r="C17" s="247" t="s">
        <v>798</v>
      </c>
      <c r="D17" s="247" t="s">
        <v>1237</v>
      </c>
      <c r="E17" s="247" t="s">
        <v>1237</v>
      </c>
      <c r="F17" s="247" t="s">
        <v>1237</v>
      </c>
      <c r="G17" s="247" t="s">
        <v>1237</v>
      </c>
      <c r="H17" s="247" t="s">
        <v>1237</v>
      </c>
    </row>
    <row r="18" spans="1:8">
      <c r="A18" s="258" t="s">
        <v>642</v>
      </c>
      <c r="B18" s="247" t="s">
        <v>1266</v>
      </c>
      <c r="C18" s="247" t="s">
        <v>1267</v>
      </c>
      <c r="D18" s="247" t="s">
        <v>1237</v>
      </c>
      <c r="E18" s="247" t="s">
        <v>1237</v>
      </c>
      <c r="F18" s="247" t="s">
        <v>1237</v>
      </c>
      <c r="G18" s="247" t="s">
        <v>1237</v>
      </c>
      <c r="H18" s="247" t="s">
        <v>1237</v>
      </c>
    </row>
    <row r="19" spans="1:8">
      <c r="A19" s="258" t="s">
        <v>642</v>
      </c>
      <c r="B19" s="247" t="s">
        <v>1268</v>
      </c>
      <c r="C19" s="247" t="s">
        <v>1269</v>
      </c>
      <c r="D19" s="247" t="s">
        <v>1237</v>
      </c>
      <c r="E19" s="247" t="s">
        <v>1237</v>
      </c>
      <c r="F19" s="247" t="s">
        <v>1237</v>
      </c>
      <c r="G19" s="247" t="s">
        <v>1237</v>
      </c>
      <c r="H19" s="247" t="s">
        <v>1237</v>
      </c>
    </row>
    <row r="20" spans="1:8">
      <c r="A20" s="258" t="s">
        <v>642</v>
      </c>
      <c r="B20" s="247" t="s">
        <v>1270</v>
      </c>
      <c r="C20" s="247" t="s">
        <v>1271</v>
      </c>
      <c r="D20" s="247" t="s">
        <v>1237</v>
      </c>
      <c r="E20" s="247" t="s">
        <v>1237</v>
      </c>
      <c r="F20" s="247" t="s">
        <v>1237</v>
      </c>
      <c r="G20" s="247" t="s">
        <v>1237</v>
      </c>
      <c r="H20" s="247" t="s">
        <v>1237</v>
      </c>
    </row>
    <row r="21" spans="1:8">
      <c r="A21" s="258" t="s">
        <v>642</v>
      </c>
      <c r="B21" s="247" t="s">
        <v>1272</v>
      </c>
      <c r="C21" s="247" t="s">
        <v>1273</v>
      </c>
      <c r="D21" s="247" t="s">
        <v>1237</v>
      </c>
      <c r="E21" s="247" t="s">
        <v>1237</v>
      </c>
      <c r="F21" s="247" t="s">
        <v>1237</v>
      </c>
      <c r="G21" s="247" t="s">
        <v>1237</v>
      </c>
      <c r="H21" s="247" t="s">
        <v>1237</v>
      </c>
    </row>
    <row r="22" spans="1:8">
      <c r="A22" s="258" t="s">
        <v>642</v>
      </c>
      <c r="B22" s="247" t="s">
        <v>1172</v>
      </c>
      <c r="C22" s="247" t="s">
        <v>260</v>
      </c>
      <c r="D22" s="247" t="s">
        <v>1148</v>
      </c>
      <c r="E22" s="247" t="s">
        <v>1175</v>
      </c>
      <c r="F22" s="247" t="s">
        <v>1241</v>
      </c>
      <c r="G22" s="247" t="s">
        <v>1237</v>
      </c>
      <c r="H22" s="247" t="s">
        <v>1237</v>
      </c>
    </row>
    <row r="23" spans="1:8">
      <c r="A23" s="258" t="s">
        <v>642</v>
      </c>
      <c r="B23" s="247" t="s">
        <v>1274</v>
      </c>
      <c r="C23" s="247" t="s">
        <v>1275</v>
      </c>
      <c r="D23" s="247" t="s">
        <v>1237</v>
      </c>
      <c r="E23" s="247" t="s">
        <v>1237</v>
      </c>
      <c r="F23" s="247" t="s">
        <v>1237</v>
      </c>
      <c r="G23" s="247" t="s">
        <v>1237</v>
      </c>
      <c r="H23" s="247" t="s">
        <v>1237</v>
      </c>
    </row>
    <row r="24" spans="1:8">
      <c r="A24" s="258" t="s">
        <v>642</v>
      </c>
      <c r="B24" s="247" t="s">
        <v>1276</v>
      </c>
      <c r="C24" s="247" t="s">
        <v>1277</v>
      </c>
      <c r="D24" s="247" t="s">
        <v>1237</v>
      </c>
      <c r="E24" s="247" t="s">
        <v>1237</v>
      </c>
      <c r="F24" s="247" t="s">
        <v>1237</v>
      </c>
      <c r="G24" s="247" t="s">
        <v>1237</v>
      </c>
      <c r="H24" s="247" t="s">
        <v>1237</v>
      </c>
    </row>
    <row r="25" spans="1:8">
      <c r="A25" s="258" t="s">
        <v>642</v>
      </c>
      <c r="B25" s="247" t="s">
        <v>1278</v>
      </c>
      <c r="C25" s="247" t="s">
        <v>1279</v>
      </c>
      <c r="D25" s="247" t="s">
        <v>1237</v>
      </c>
      <c r="E25" s="247" t="s">
        <v>1237</v>
      </c>
      <c r="F25" s="247" t="s">
        <v>1237</v>
      </c>
      <c r="G25" s="247" t="s">
        <v>1237</v>
      </c>
      <c r="H25" s="247" t="s">
        <v>1237</v>
      </c>
    </row>
    <row r="26" spans="1:8">
      <c r="A26" s="258" t="s">
        <v>642</v>
      </c>
      <c r="B26" s="247" t="s">
        <v>1280</v>
      </c>
      <c r="C26" s="247" t="s">
        <v>1281</v>
      </c>
      <c r="D26" s="247" t="s">
        <v>1282</v>
      </c>
      <c r="E26" s="247" t="s">
        <v>1261</v>
      </c>
      <c r="F26" s="247" t="s">
        <v>1241</v>
      </c>
      <c r="G26" s="247" t="s">
        <v>1237</v>
      </c>
      <c r="H26" s="247" t="s">
        <v>1237</v>
      </c>
    </row>
    <row r="27" spans="1:8">
      <c r="A27" s="258" t="s">
        <v>642</v>
      </c>
      <c r="B27" s="247" t="s">
        <v>1283</v>
      </c>
      <c r="C27" s="247" t="s">
        <v>1284</v>
      </c>
      <c r="D27" s="247" t="s">
        <v>1237</v>
      </c>
      <c r="E27" s="247" t="s">
        <v>1237</v>
      </c>
      <c r="F27" s="247" t="s">
        <v>1237</v>
      </c>
      <c r="G27" s="247" t="s">
        <v>1237</v>
      </c>
      <c r="H27" s="247" t="s">
        <v>1237</v>
      </c>
    </row>
    <row r="28" spans="1:8">
      <c r="A28" s="258" t="s">
        <v>642</v>
      </c>
      <c r="B28" s="247" t="s">
        <v>1285</v>
      </c>
      <c r="C28" s="247" t="s">
        <v>1286</v>
      </c>
      <c r="D28" s="247" t="s">
        <v>1237</v>
      </c>
      <c r="E28" s="247" t="s">
        <v>1237</v>
      </c>
      <c r="F28" s="247" t="s">
        <v>1237</v>
      </c>
      <c r="G28" s="247" t="s">
        <v>1237</v>
      </c>
      <c r="H28" s="247" t="s">
        <v>1237</v>
      </c>
    </row>
    <row r="29" spans="1:8">
      <c r="A29" s="258" t="s">
        <v>642</v>
      </c>
      <c r="B29" s="247" t="s">
        <v>1287</v>
      </c>
      <c r="C29" s="247" t="s">
        <v>1288</v>
      </c>
      <c r="D29" s="247" t="s">
        <v>1237</v>
      </c>
      <c r="E29" s="247" t="s">
        <v>1237</v>
      </c>
      <c r="F29" s="247" t="s">
        <v>1237</v>
      </c>
      <c r="G29" s="247" t="s">
        <v>1237</v>
      </c>
      <c r="H29" s="247" t="s">
        <v>1237</v>
      </c>
    </row>
    <row r="30" spans="1:8">
      <c r="A30" s="258" t="s">
        <v>642</v>
      </c>
      <c r="B30" s="247" t="s">
        <v>1289</v>
      </c>
      <c r="C30" s="247" t="s">
        <v>1290</v>
      </c>
      <c r="D30" s="247" t="s">
        <v>1237</v>
      </c>
      <c r="E30" s="247" t="s">
        <v>1237</v>
      </c>
      <c r="F30" s="247" t="s">
        <v>1237</v>
      </c>
      <c r="G30" s="247" t="s">
        <v>1237</v>
      </c>
      <c r="H30" s="247" t="s">
        <v>1237</v>
      </c>
    </row>
    <row r="31" spans="1:8">
      <c r="A31" s="258" t="s">
        <v>642</v>
      </c>
      <c r="B31" s="247" t="s">
        <v>1291</v>
      </c>
      <c r="C31" s="247" t="s">
        <v>1292</v>
      </c>
      <c r="D31" s="247" t="s">
        <v>1237</v>
      </c>
      <c r="E31" s="247" t="s">
        <v>1237</v>
      </c>
      <c r="F31" s="247" t="s">
        <v>1237</v>
      </c>
      <c r="G31" s="247" t="s">
        <v>1237</v>
      </c>
      <c r="H31" s="247" t="s">
        <v>1237</v>
      </c>
    </row>
    <row r="32" spans="1:8">
      <c r="A32" s="258" t="s">
        <v>642</v>
      </c>
      <c r="B32" s="247" t="s">
        <v>945</v>
      </c>
      <c r="C32" s="247" t="s">
        <v>800</v>
      </c>
      <c r="D32" s="247" t="s">
        <v>1237</v>
      </c>
      <c r="E32" s="247" t="s">
        <v>1237</v>
      </c>
      <c r="F32" s="247" t="s">
        <v>1237</v>
      </c>
      <c r="G32" s="247" t="s">
        <v>1237</v>
      </c>
      <c r="H32" s="247" t="s">
        <v>1237</v>
      </c>
    </row>
    <row r="33" spans="1:8">
      <c r="A33" s="258" t="s">
        <v>642</v>
      </c>
      <c r="B33" s="247" t="s">
        <v>1049</v>
      </c>
      <c r="C33" s="247" t="s">
        <v>1050</v>
      </c>
      <c r="D33" s="247" t="s">
        <v>1185</v>
      </c>
      <c r="E33" s="247" t="s">
        <v>1237</v>
      </c>
      <c r="F33" s="247" t="s">
        <v>804</v>
      </c>
      <c r="G33" s="247" t="s">
        <v>1237</v>
      </c>
      <c r="H33" s="247" t="s">
        <v>1237</v>
      </c>
    </row>
    <row r="34" spans="1:8">
      <c r="A34" s="258" t="s">
        <v>642</v>
      </c>
      <c r="B34" s="247" t="s">
        <v>1293</v>
      </c>
      <c r="C34" s="247" t="s">
        <v>1294</v>
      </c>
      <c r="D34" s="247" t="s">
        <v>1295</v>
      </c>
      <c r="E34" s="247" t="s">
        <v>1237</v>
      </c>
      <c r="F34" s="247" t="s">
        <v>804</v>
      </c>
      <c r="G34" s="247" t="s">
        <v>1237</v>
      </c>
      <c r="H34" s="247" t="s">
        <v>1237</v>
      </c>
    </row>
    <row r="35" spans="1:8">
      <c r="A35" s="258" t="s">
        <v>642</v>
      </c>
      <c r="B35" s="247" t="s">
        <v>946</v>
      </c>
      <c r="C35" s="247" t="s">
        <v>806</v>
      </c>
      <c r="D35" s="247" t="s">
        <v>1237</v>
      </c>
      <c r="E35" s="247" t="s">
        <v>1237</v>
      </c>
      <c r="F35" s="247" t="s">
        <v>1237</v>
      </c>
      <c r="G35" s="247" t="s">
        <v>1237</v>
      </c>
      <c r="H35" s="247" t="s">
        <v>1237</v>
      </c>
    </row>
    <row r="36" spans="1:8">
      <c r="A36" s="260" t="s">
        <v>640</v>
      </c>
      <c r="B36" s="259" t="s">
        <v>946</v>
      </c>
      <c r="C36" s="259" t="s">
        <v>806</v>
      </c>
      <c r="D36" s="259" t="s">
        <v>725</v>
      </c>
      <c r="E36" s="259" t="s">
        <v>1237</v>
      </c>
      <c r="F36" s="259" t="s">
        <v>725</v>
      </c>
      <c r="G36" s="259" t="s">
        <v>1237</v>
      </c>
      <c r="H36" s="247" t="s">
        <v>1237</v>
      </c>
    </row>
    <row r="37" spans="1:8">
      <c r="A37" s="260" t="s">
        <v>640</v>
      </c>
      <c r="B37" s="259" t="s">
        <v>1011</v>
      </c>
      <c r="C37" s="259" t="s">
        <v>1012</v>
      </c>
      <c r="D37" s="259" t="s">
        <v>1255</v>
      </c>
      <c r="E37" s="259" t="s">
        <v>1175</v>
      </c>
      <c r="F37" s="259" t="s">
        <v>786</v>
      </c>
      <c r="G37" s="259" t="s">
        <v>1237</v>
      </c>
      <c r="H37" s="247" t="s">
        <v>1237</v>
      </c>
    </row>
    <row r="38" spans="1:8">
      <c r="A38" s="260" t="s">
        <v>640</v>
      </c>
      <c r="B38" s="259" t="s">
        <v>1161</v>
      </c>
      <c r="C38" s="259" t="s">
        <v>1162</v>
      </c>
      <c r="D38" s="259" t="s">
        <v>725</v>
      </c>
      <c r="E38" s="259" t="s">
        <v>1237</v>
      </c>
      <c r="F38" s="259" t="s">
        <v>725</v>
      </c>
      <c r="G38" s="259" t="s">
        <v>1237</v>
      </c>
      <c r="H38" s="247" t="s">
        <v>1237</v>
      </c>
    </row>
    <row r="39" spans="1:8">
      <c r="A39" s="260" t="s">
        <v>640</v>
      </c>
      <c r="B39" s="259" t="s">
        <v>1167</v>
      </c>
      <c r="C39" s="259" t="s">
        <v>1168</v>
      </c>
      <c r="D39" s="259" t="s">
        <v>725</v>
      </c>
      <c r="E39" s="259" t="s">
        <v>1237</v>
      </c>
      <c r="F39" s="259" t="s">
        <v>725</v>
      </c>
      <c r="G39" s="259" t="s">
        <v>1237</v>
      </c>
      <c r="H39" s="247" t="s">
        <v>1237</v>
      </c>
    </row>
    <row r="40" spans="1:8">
      <c r="A40" s="260" t="s">
        <v>640</v>
      </c>
      <c r="B40" s="259" t="s">
        <v>1170</v>
      </c>
      <c r="C40" s="259" t="s">
        <v>1155</v>
      </c>
      <c r="D40" s="259" t="s">
        <v>725</v>
      </c>
      <c r="E40" s="259" t="s">
        <v>1237</v>
      </c>
      <c r="F40" s="259" t="s">
        <v>725</v>
      </c>
      <c r="G40" s="259" t="s">
        <v>1237</v>
      </c>
      <c r="H40" s="247" t="s">
        <v>1237</v>
      </c>
    </row>
    <row r="41" spans="1:8" ht="39">
      <c r="A41" s="260" t="s">
        <v>640</v>
      </c>
      <c r="B41" s="259" t="s">
        <v>924</v>
      </c>
      <c r="C41" s="259" t="s">
        <v>564</v>
      </c>
      <c r="D41" s="259" t="s">
        <v>788</v>
      </c>
      <c r="E41" s="259" t="s">
        <v>1390</v>
      </c>
      <c r="F41" s="259" t="s">
        <v>786</v>
      </c>
      <c r="G41" s="259" t="s">
        <v>1243</v>
      </c>
      <c r="H41" s="259" t="s">
        <v>1237</v>
      </c>
    </row>
    <row r="42" spans="1:8" ht="26.25">
      <c r="A42" s="260" t="s">
        <v>1137</v>
      </c>
      <c r="B42" s="259" t="s">
        <v>1083</v>
      </c>
      <c r="C42" s="259" t="s">
        <v>862</v>
      </c>
      <c r="D42" s="259" t="s">
        <v>1148</v>
      </c>
      <c r="E42" s="259" t="s">
        <v>1172</v>
      </c>
      <c r="F42" s="259" t="s">
        <v>786</v>
      </c>
      <c r="G42" s="259" t="s">
        <v>1394</v>
      </c>
      <c r="H42" s="259" t="s">
        <v>1237</v>
      </c>
    </row>
    <row r="43" spans="1:8" ht="39">
      <c r="A43" s="260" t="s">
        <v>1128</v>
      </c>
      <c r="B43" s="259" t="s">
        <v>1132</v>
      </c>
      <c r="C43" s="259" t="s">
        <v>1133</v>
      </c>
      <c r="D43" s="259" t="s">
        <v>1134</v>
      </c>
      <c r="E43" s="259" t="s">
        <v>1391</v>
      </c>
      <c r="F43" s="259" t="s">
        <v>786</v>
      </c>
      <c r="G43" s="259" t="s">
        <v>1392</v>
      </c>
      <c r="H43" s="259" t="s">
        <v>1237</v>
      </c>
    </row>
    <row r="44" spans="1:8">
      <c r="A44" s="260" t="s">
        <v>646</v>
      </c>
      <c r="B44" s="259" t="s">
        <v>841</v>
      </c>
      <c r="C44" s="259" t="s">
        <v>842</v>
      </c>
      <c r="D44" s="259" t="s">
        <v>1397</v>
      </c>
      <c r="E44" s="259" t="s">
        <v>1011</v>
      </c>
      <c r="F44" s="259" t="s">
        <v>786</v>
      </c>
      <c r="G44" s="259" t="s">
        <v>1237</v>
      </c>
      <c r="H44" s="259" t="s">
        <v>1237</v>
      </c>
    </row>
    <row r="45" spans="1:8">
      <c r="A45" s="260" t="s">
        <v>646</v>
      </c>
      <c r="B45" s="259" t="s">
        <v>924</v>
      </c>
      <c r="C45" s="259" t="s">
        <v>564</v>
      </c>
      <c r="D45" s="259" t="s">
        <v>788</v>
      </c>
      <c r="E45" s="259" t="s">
        <v>1440</v>
      </c>
      <c r="F45" s="259" t="s">
        <v>1237</v>
      </c>
      <c r="G45" s="259" t="s">
        <v>1237</v>
      </c>
      <c r="H45" s="259" t="s">
        <v>1237</v>
      </c>
    </row>
    <row r="46" spans="1:8">
      <c r="A46" s="260" t="s">
        <v>631</v>
      </c>
      <c r="B46" s="259" t="s">
        <v>1276</v>
      </c>
      <c r="C46" s="259" t="s">
        <v>1277</v>
      </c>
      <c r="D46" s="259" t="s">
        <v>1361</v>
      </c>
      <c r="E46" s="259" t="s">
        <v>1261</v>
      </c>
      <c r="F46" s="259" t="s">
        <v>1237</v>
      </c>
      <c r="G46" s="259" t="s">
        <v>1237</v>
      </c>
      <c r="H46" s="259" t="s">
        <v>1237</v>
      </c>
    </row>
    <row r="47" spans="1:8" ht="64.5">
      <c r="A47" s="260" t="s">
        <v>631</v>
      </c>
      <c r="B47" s="259" t="s">
        <v>1365</v>
      </c>
      <c r="C47" s="259" t="s">
        <v>1302</v>
      </c>
      <c r="D47" s="259" t="s">
        <v>916</v>
      </c>
      <c r="E47" s="259" t="s">
        <v>1441</v>
      </c>
      <c r="F47" s="259" t="s">
        <v>1237</v>
      </c>
      <c r="G47" s="259" t="s">
        <v>1442</v>
      </c>
      <c r="H47" s="259" t="s">
        <v>1237</v>
      </c>
    </row>
    <row r="48" spans="1:8" ht="39">
      <c r="A48" s="260" t="s">
        <v>631</v>
      </c>
      <c r="B48" s="259" t="s">
        <v>1443</v>
      </c>
      <c r="C48" s="259" t="s">
        <v>1306</v>
      </c>
      <c r="D48" s="259" t="s">
        <v>1237</v>
      </c>
      <c r="E48" s="259" t="s">
        <v>1444</v>
      </c>
      <c r="F48" s="259" t="s">
        <v>1237</v>
      </c>
      <c r="G48" s="259" t="s">
        <v>1445</v>
      </c>
      <c r="H48" s="259" t="s">
        <v>1237</v>
      </c>
    </row>
  </sheetData>
  <mergeCells count="2">
    <mergeCell ref="C2:H2"/>
    <mergeCell ref="C3:H3"/>
  </mergeCells>
  <hyperlinks>
    <hyperlink ref="B1" location="Summary!A1" display="Summary" xr:uid="{D0FBC8FE-7A8C-45DA-BD05-4CDE1B6B11A4}"/>
  </hyperlinks>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5DAF-0927-4E85-891B-31A98E0771AE}">
  <dimension ref="A1:H40"/>
  <sheetViews>
    <sheetView workbookViewId="0">
      <selection activeCell="A7" sqref="A7"/>
    </sheetView>
  </sheetViews>
  <sheetFormatPr defaultRowHeight="15"/>
  <cols>
    <col min="1" max="8" width="26.7109375" customWidth="1"/>
  </cols>
  <sheetData>
    <row r="1" spans="1:8">
      <c r="A1" s="44"/>
      <c r="B1" s="1" t="s">
        <v>773</v>
      </c>
      <c r="C1" s="39"/>
      <c r="D1" s="39"/>
      <c r="E1" s="39"/>
      <c r="F1" s="39"/>
      <c r="G1" s="39"/>
      <c r="H1" s="39"/>
    </row>
    <row r="2" spans="1:8">
      <c r="A2" s="44"/>
      <c r="B2" s="40" t="s">
        <v>1340</v>
      </c>
      <c r="C2" s="319"/>
      <c r="D2" s="319"/>
      <c r="E2" s="319"/>
      <c r="F2" s="319"/>
      <c r="G2" s="319"/>
      <c r="H2" s="319"/>
    </row>
    <row r="3" spans="1:8">
      <c r="A3" s="44"/>
      <c r="B3" s="40" t="s">
        <v>571</v>
      </c>
      <c r="C3" s="328" t="str">
        <f>Summary!O145</f>
        <v>Measurements have gone through VEE(validate-edit-estimate) and is ready to be used for Usage Calculation. This is useful to Client, retrieve the information if there are Measuring Components having more Estimated Measurements against Regular.</v>
      </c>
      <c r="D3" s="328"/>
      <c r="E3" s="328"/>
      <c r="F3" s="328"/>
      <c r="G3" s="328"/>
      <c r="H3" s="328"/>
    </row>
    <row r="4" spans="1:8">
      <c r="A4" s="44"/>
      <c r="B4" s="40" t="s">
        <v>566</v>
      </c>
      <c r="C4" s="39" t="s">
        <v>586</v>
      </c>
      <c r="D4" s="39"/>
      <c r="E4" s="39"/>
      <c r="F4" s="39"/>
      <c r="G4" s="39"/>
      <c r="H4" s="39"/>
    </row>
    <row r="5" spans="1:8">
      <c r="A5" s="44"/>
      <c r="B5" s="44"/>
      <c r="C5" s="44"/>
      <c r="D5" s="44"/>
      <c r="E5" s="44"/>
      <c r="F5" s="44"/>
      <c r="G5" s="44"/>
      <c r="H5" s="44"/>
    </row>
    <row r="6" spans="1:8">
      <c r="A6" s="261" t="s">
        <v>550</v>
      </c>
      <c r="B6" s="262" t="s">
        <v>775</v>
      </c>
      <c r="C6" s="262" t="s">
        <v>776</v>
      </c>
      <c r="D6" s="262" t="s">
        <v>777</v>
      </c>
      <c r="E6" s="262" t="s">
        <v>778</v>
      </c>
      <c r="F6" s="263" t="s">
        <v>779</v>
      </c>
      <c r="G6" s="263" t="s">
        <v>568</v>
      </c>
      <c r="H6" s="263" t="s">
        <v>780</v>
      </c>
    </row>
    <row r="7" spans="1:8">
      <c r="A7" s="247" t="s">
        <v>631</v>
      </c>
      <c r="B7" s="247" t="s">
        <v>924</v>
      </c>
      <c r="C7" s="247" t="s">
        <v>564</v>
      </c>
      <c r="D7" s="247" t="s">
        <v>788</v>
      </c>
      <c r="E7" s="247" t="s">
        <v>1237</v>
      </c>
      <c r="F7" s="247" t="s">
        <v>786</v>
      </c>
      <c r="G7" s="247" t="s">
        <v>1237</v>
      </c>
      <c r="H7" s="247" t="s">
        <v>1237</v>
      </c>
    </row>
    <row r="8" spans="1:8">
      <c r="A8" s="247" t="s">
        <v>631</v>
      </c>
      <c r="B8" s="247" t="s">
        <v>928</v>
      </c>
      <c r="C8" s="247" t="s">
        <v>784</v>
      </c>
      <c r="D8" s="247" t="s">
        <v>785</v>
      </c>
      <c r="E8" s="247" t="s">
        <v>1237</v>
      </c>
      <c r="F8" s="247" t="s">
        <v>786</v>
      </c>
      <c r="G8" s="247" t="s">
        <v>1237</v>
      </c>
      <c r="H8" s="247" t="s">
        <v>1237</v>
      </c>
    </row>
    <row r="9" spans="1:8">
      <c r="A9" s="247" t="s">
        <v>631</v>
      </c>
      <c r="B9" s="247" t="s">
        <v>1296</v>
      </c>
      <c r="C9" s="247" t="s">
        <v>1297</v>
      </c>
      <c r="D9" s="247" t="s">
        <v>1237</v>
      </c>
      <c r="E9" s="247" t="s">
        <v>1237</v>
      </c>
      <c r="F9" s="247" t="s">
        <v>1237</v>
      </c>
      <c r="G9" s="247" t="s">
        <v>1237</v>
      </c>
      <c r="H9" s="247" t="s">
        <v>1237</v>
      </c>
    </row>
    <row r="10" spans="1:8">
      <c r="A10" s="247" t="s">
        <v>631</v>
      </c>
      <c r="B10" s="247" t="s">
        <v>933</v>
      </c>
      <c r="C10" s="247" t="s">
        <v>798</v>
      </c>
      <c r="D10" s="247" t="s">
        <v>1237</v>
      </c>
      <c r="E10" s="247" t="s">
        <v>1237</v>
      </c>
      <c r="F10" s="247" t="s">
        <v>1237</v>
      </c>
      <c r="G10" s="247" t="s">
        <v>1237</v>
      </c>
      <c r="H10" s="247" t="s">
        <v>1237</v>
      </c>
    </row>
    <row r="11" spans="1:8">
      <c r="A11" s="247" t="s">
        <v>631</v>
      </c>
      <c r="B11" s="247" t="s">
        <v>1298</v>
      </c>
      <c r="C11" s="247" t="s">
        <v>1299</v>
      </c>
      <c r="D11" s="247" t="s">
        <v>1237</v>
      </c>
      <c r="E11" s="247" t="s">
        <v>1237</v>
      </c>
      <c r="F11" s="247" t="s">
        <v>1237</v>
      </c>
      <c r="G11" s="247" t="s">
        <v>1237</v>
      </c>
      <c r="H11" s="247" t="s">
        <v>1237</v>
      </c>
    </row>
    <row r="12" spans="1:8">
      <c r="A12" s="247" t="s">
        <v>631</v>
      </c>
      <c r="B12" s="247" t="s">
        <v>1276</v>
      </c>
      <c r="C12" s="247" t="s">
        <v>1277</v>
      </c>
      <c r="D12" s="247" t="s">
        <v>1300</v>
      </c>
      <c r="E12" s="247" t="s">
        <v>1261</v>
      </c>
      <c r="F12" s="247" t="s">
        <v>786</v>
      </c>
      <c r="G12" s="247" t="s">
        <v>1237</v>
      </c>
      <c r="H12" s="247" t="s">
        <v>1237</v>
      </c>
    </row>
    <row r="13" spans="1:8">
      <c r="A13" s="247" t="s">
        <v>631</v>
      </c>
      <c r="B13" s="247" t="s">
        <v>1301</v>
      </c>
      <c r="C13" s="247" t="s">
        <v>1302</v>
      </c>
      <c r="D13" s="247" t="s">
        <v>1237</v>
      </c>
      <c r="E13" s="247" t="s">
        <v>1237</v>
      </c>
      <c r="F13" s="247" t="s">
        <v>1237</v>
      </c>
      <c r="G13" s="247" t="s">
        <v>1237</v>
      </c>
      <c r="H13" s="247" t="s">
        <v>1237</v>
      </c>
    </row>
    <row r="14" spans="1:8">
      <c r="A14" s="247" t="s">
        <v>631</v>
      </c>
      <c r="B14" s="247" t="s">
        <v>1303</v>
      </c>
      <c r="C14" s="247" t="s">
        <v>1304</v>
      </c>
      <c r="D14" s="247" t="s">
        <v>1237</v>
      </c>
      <c r="E14" s="247" t="s">
        <v>1237</v>
      </c>
      <c r="F14" s="247" t="s">
        <v>1237</v>
      </c>
      <c r="G14" s="247" t="s">
        <v>1237</v>
      </c>
      <c r="H14" s="247" t="s">
        <v>1237</v>
      </c>
    </row>
    <row r="15" spans="1:8">
      <c r="A15" s="247" t="s">
        <v>631</v>
      </c>
      <c r="B15" s="247" t="s">
        <v>1305</v>
      </c>
      <c r="C15" s="247" t="s">
        <v>1306</v>
      </c>
      <c r="D15" s="247" t="s">
        <v>1237</v>
      </c>
      <c r="E15" s="247" t="s">
        <v>1237</v>
      </c>
      <c r="F15" s="247" t="s">
        <v>1237</v>
      </c>
      <c r="G15" s="247" t="s">
        <v>1237</v>
      </c>
      <c r="H15" s="247" t="s">
        <v>1237</v>
      </c>
    </row>
    <row r="16" spans="1:8">
      <c r="A16" s="247" t="s">
        <v>631</v>
      </c>
      <c r="B16" s="247" t="s">
        <v>1307</v>
      </c>
      <c r="C16" s="247" t="s">
        <v>1308</v>
      </c>
      <c r="D16" s="247" t="s">
        <v>1237</v>
      </c>
      <c r="E16" s="247" t="s">
        <v>1237</v>
      </c>
      <c r="F16" s="247" t="s">
        <v>1237</v>
      </c>
      <c r="G16" s="247" t="s">
        <v>1237</v>
      </c>
      <c r="H16" s="247" t="s">
        <v>1237</v>
      </c>
    </row>
    <row r="17" spans="1:8">
      <c r="A17" s="247" t="s">
        <v>631</v>
      </c>
      <c r="B17" s="247" t="s">
        <v>1309</v>
      </c>
      <c r="C17" s="247" t="s">
        <v>295</v>
      </c>
      <c r="D17" s="247" t="s">
        <v>1237</v>
      </c>
      <c r="E17" s="247" t="s">
        <v>1237</v>
      </c>
      <c r="F17" s="247" t="s">
        <v>1237</v>
      </c>
      <c r="G17" s="247" t="s">
        <v>1237</v>
      </c>
      <c r="H17" s="247" t="s">
        <v>1237</v>
      </c>
    </row>
    <row r="18" spans="1:8">
      <c r="A18" s="247" t="s">
        <v>631</v>
      </c>
      <c r="B18" s="247" t="s">
        <v>1310</v>
      </c>
      <c r="C18" s="247" t="s">
        <v>1311</v>
      </c>
      <c r="D18" s="247" t="s">
        <v>1237</v>
      </c>
      <c r="E18" s="247" t="s">
        <v>1237</v>
      </c>
      <c r="F18" s="247" t="s">
        <v>1237</v>
      </c>
      <c r="G18" s="247" t="s">
        <v>1237</v>
      </c>
      <c r="H18" s="247" t="s">
        <v>1237</v>
      </c>
    </row>
    <row r="19" spans="1:8">
      <c r="A19" s="247" t="s">
        <v>631</v>
      </c>
      <c r="B19" s="247" t="s">
        <v>1312</v>
      </c>
      <c r="C19" s="247" t="s">
        <v>1313</v>
      </c>
      <c r="D19" s="247" t="s">
        <v>1237</v>
      </c>
      <c r="E19" s="247" t="s">
        <v>1237</v>
      </c>
      <c r="F19" s="247" t="s">
        <v>1237</v>
      </c>
      <c r="G19" s="247" t="s">
        <v>1237</v>
      </c>
      <c r="H19" s="247" t="s">
        <v>1237</v>
      </c>
    </row>
    <row r="20" spans="1:8">
      <c r="A20" s="247" t="s">
        <v>631</v>
      </c>
      <c r="B20" s="247" t="s">
        <v>1314</v>
      </c>
      <c r="C20" s="247" t="s">
        <v>1315</v>
      </c>
      <c r="D20" s="247" t="s">
        <v>1237</v>
      </c>
      <c r="E20" s="247" t="s">
        <v>1237</v>
      </c>
      <c r="F20" s="247" t="s">
        <v>1237</v>
      </c>
      <c r="G20" s="247" t="s">
        <v>1237</v>
      </c>
      <c r="H20" s="247" t="s">
        <v>1237</v>
      </c>
    </row>
    <row r="21" spans="1:8">
      <c r="A21" s="247" t="s">
        <v>631</v>
      </c>
      <c r="B21" s="247" t="s">
        <v>1316</v>
      </c>
      <c r="C21" s="247" t="s">
        <v>1317</v>
      </c>
      <c r="D21" s="247" t="s">
        <v>1237</v>
      </c>
      <c r="E21" s="247" t="s">
        <v>1237</v>
      </c>
      <c r="F21" s="247" t="s">
        <v>1237</v>
      </c>
      <c r="G21" s="247" t="s">
        <v>1237</v>
      </c>
      <c r="H21" s="247" t="s">
        <v>1237</v>
      </c>
    </row>
    <row r="22" spans="1:8">
      <c r="A22" s="247" t="s">
        <v>631</v>
      </c>
      <c r="B22" s="247" t="s">
        <v>1318</v>
      </c>
      <c r="C22" s="247" t="s">
        <v>1319</v>
      </c>
      <c r="D22" s="247" t="s">
        <v>1237</v>
      </c>
      <c r="E22" s="247" t="s">
        <v>1237</v>
      </c>
      <c r="F22" s="247" t="s">
        <v>1237</v>
      </c>
      <c r="G22" s="247" t="s">
        <v>1237</v>
      </c>
      <c r="H22" s="247" t="s">
        <v>1237</v>
      </c>
    </row>
    <row r="23" spans="1:8">
      <c r="A23" s="247" t="s">
        <v>631</v>
      </c>
      <c r="B23" s="247" t="s">
        <v>1320</v>
      </c>
      <c r="C23" s="247" t="s">
        <v>1321</v>
      </c>
      <c r="D23" s="247" t="s">
        <v>1237</v>
      </c>
      <c r="E23" s="247" t="s">
        <v>1237</v>
      </c>
      <c r="F23" s="247" t="s">
        <v>1237</v>
      </c>
      <c r="G23" s="247" t="s">
        <v>1237</v>
      </c>
      <c r="H23" s="247" t="s">
        <v>1237</v>
      </c>
    </row>
    <row r="24" spans="1:8">
      <c r="A24" s="247" t="s">
        <v>631</v>
      </c>
      <c r="B24" s="247" t="s">
        <v>1322</v>
      </c>
      <c r="C24" s="247" t="s">
        <v>1323</v>
      </c>
      <c r="D24" s="247" t="s">
        <v>1237</v>
      </c>
      <c r="E24" s="247" t="s">
        <v>1237</v>
      </c>
      <c r="F24" s="247" t="s">
        <v>1237</v>
      </c>
      <c r="G24" s="247" t="s">
        <v>1237</v>
      </c>
      <c r="H24" s="247" t="s">
        <v>1237</v>
      </c>
    </row>
    <row r="25" spans="1:8">
      <c r="A25" s="247" t="s">
        <v>631</v>
      </c>
      <c r="B25" s="247" t="s">
        <v>1324</v>
      </c>
      <c r="C25" s="247" t="s">
        <v>1325</v>
      </c>
      <c r="D25" s="247" t="s">
        <v>1237</v>
      </c>
      <c r="E25" s="247" t="s">
        <v>1237</v>
      </c>
      <c r="F25" s="247" t="s">
        <v>1237</v>
      </c>
      <c r="G25" s="247" t="s">
        <v>1237</v>
      </c>
      <c r="H25" s="247" t="s">
        <v>1237</v>
      </c>
    </row>
    <row r="26" spans="1:8">
      <c r="A26" s="247" t="s">
        <v>631</v>
      </c>
      <c r="B26" s="247" t="s">
        <v>1326</v>
      </c>
      <c r="C26" s="247" t="s">
        <v>1327</v>
      </c>
      <c r="D26" s="247" t="s">
        <v>1237</v>
      </c>
      <c r="E26" s="247" t="s">
        <v>1237</v>
      </c>
      <c r="F26" s="247" t="s">
        <v>1237</v>
      </c>
      <c r="G26" s="247" t="s">
        <v>1237</v>
      </c>
      <c r="H26" s="247" t="s">
        <v>1237</v>
      </c>
    </row>
    <row r="27" spans="1:8">
      <c r="A27" s="247" t="s">
        <v>631</v>
      </c>
      <c r="B27" s="247" t="s">
        <v>1328</v>
      </c>
      <c r="C27" s="247" t="s">
        <v>1329</v>
      </c>
      <c r="D27" s="247" t="s">
        <v>1237</v>
      </c>
      <c r="E27" s="247" t="s">
        <v>1237</v>
      </c>
      <c r="F27" s="247" t="s">
        <v>1237</v>
      </c>
      <c r="G27" s="247" t="s">
        <v>1237</v>
      </c>
      <c r="H27" s="247" t="s">
        <v>1237</v>
      </c>
    </row>
    <row r="28" spans="1:8">
      <c r="A28" s="247" t="s">
        <v>631</v>
      </c>
      <c r="B28" s="247" t="s">
        <v>1330</v>
      </c>
      <c r="C28" s="247" t="s">
        <v>1331</v>
      </c>
      <c r="D28" s="247" t="s">
        <v>1237</v>
      </c>
      <c r="E28" s="247" t="s">
        <v>1237</v>
      </c>
      <c r="F28" s="247" t="s">
        <v>1237</v>
      </c>
      <c r="G28" s="247" t="s">
        <v>1237</v>
      </c>
      <c r="H28" s="247" t="s">
        <v>1237</v>
      </c>
    </row>
    <row r="29" spans="1:8">
      <c r="A29" s="247" t="s">
        <v>631</v>
      </c>
      <c r="B29" s="247" t="s">
        <v>1332</v>
      </c>
      <c r="C29" s="247" t="s">
        <v>1333</v>
      </c>
      <c r="D29" s="247" t="s">
        <v>1237</v>
      </c>
      <c r="E29" s="247" t="s">
        <v>1237</v>
      </c>
      <c r="F29" s="247" t="s">
        <v>1237</v>
      </c>
      <c r="G29" s="247" t="s">
        <v>1237</v>
      </c>
      <c r="H29" s="247" t="s">
        <v>1237</v>
      </c>
    </row>
    <row r="30" spans="1:8">
      <c r="A30" s="247" t="s">
        <v>631</v>
      </c>
      <c r="B30" s="247" t="s">
        <v>1334</v>
      </c>
      <c r="C30" s="247" t="s">
        <v>1335</v>
      </c>
      <c r="D30" s="247" t="s">
        <v>1237</v>
      </c>
      <c r="E30" s="247" t="s">
        <v>1237</v>
      </c>
      <c r="F30" s="247" t="s">
        <v>1237</v>
      </c>
      <c r="G30" s="247" t="s">
        <v>1237</v>
      </c>
      <c r="H30" s="247" t="s">
        <v>1237</v>
      </c>
    </row>
    <row r="31" spans="1:8">
      <c r="A31" s="247" t="s">
        <v>631</v>
      </c>
      <c r="B31" s="247" t="s">
        <v>1336</v>
      </c>
      <c r="C31" s="247" t="s">
        <v>1337</v>
      </c>
      <c r="D31" s="247" t="s">
        <v>1237</v>
      </c>
      <c r="E31" s="247" t="s">
        <v>1237</v>
      </c>
      <c r="F31" s="247" t="s">
        <v>1237</v>
      </c>
      <c r="G31" s="247" t="s">
        <v>1237</v>
      </c>
      <c r="H31" s="247" t="s">
        <v>1237</v>
      </c>
    </row>
    <row r="32" spans="1:8">
      <c r="A32" s="247" t="s">
        <v>631</v>
      </c>
      <c r="B32" s="247" t="s">
        <v>945</v>
      </c>
      <c r="C32" s="247" t="s">
        <v>800</v>
      </c>
      <c r="D32" s="247" t="s">
        <v>1237</v>
      </c>
      <c r="E32" s="247" t="s">
        <v>1237</v>
      </c>
      <c r="F32" s="247" t="s">
        <v>1237</v>
      </c>
      <c r="G32" s="247" t="s">
        <v>1237</v>
      </c>
      <c r="H32" s="247" t="s">
        <v>1237</v>
      </c>
    </row>
    <row r="33" spans="1:8">
      <c r="A33" s="247" t="s">
        <v>631</v>
      </c>
      <c r="B33" s="247" t="s">
        <v>1338</v>
      </c>
      <c r="C33" s="247" t="s">
        <v>1339</v>
      </c>
      <c r="D33" s="247" t="s">
        <v>1237</v>
      </c>
      <c r="E33" s="247" t="s">
        <v>1237</v>
      </c>
      <c r="F33" s="247" t="s">
        <v>1237</v>
      </c>
      <c r="G33" s="247" t="s">
        <v>1237</v>
      </c>
      <c r="H33" s="247" t="s">
        <v>1237</v>
      </c>
    </row>
    <row r="34" spans="1:8">
      <c r="A34" s="247" t="s">
        <v>631</v>
      </c>
      <c r="B34" s="247" t="s">
        <v>946</v>
      </c>
      <c r="C34" s="247" t="s">
        <v>806</v>
      </c>
      <c r="D34" s="247" t="s">
        <v>1237</v>
      </c>
      <c r="E34" s="247" t="s">
        <v>1237</v>
      </c>
      <c r="F34" s="247" t="s">
        <v>1237</v>
      </c>
      <c r="G34" s="247" t="s">
        <v>1237</v>
      </c>
      <c r="H34" s="247" t="s">
        <v>1237</v>
      </c>
    </row>
    <row r="35" spans="1:8">
      <c r="A35" s="247" t="s">
        <v>636</v>
      </c>
      <c r="B35" s="247" t="s">
        <v>1409</v>
      </c>
      <c r="C35" s="247" t="s">
        <v>1410</v>
      </c>
      <c r="D35" s="247" t="s">
        <v>1237</v>
      </c>
      <c r="E35" s="247" t="s">
        <v>1446</v>
      </c>
      <c r="F35" s="247" t="s">
        <v>1237</v>
      </c>
      <c r="G35" s="247" t="s">
        <v>1237</v>
      </c>
      <c r="H35" s="247" t="s">
        <v>1237</v>
      </c>
    </row>
    <row r="36" spans="1:8">
      <c r="A36" s="247" t="s">
        <v>636</v>
      </c>
      <c r="B36" s="247" t="s">
        <v>1398</v>
      </c>
      <c r="C36" s="247" t="s">
        <v>1399</v>
      </c>
      <c r="D36" s="247" t="s">
        <v>725</v>
      </c>
      <c r="E36" s="247" t="s">
        <v>1237</v>
      </c>
      <c r="F36" s="247" t="s">
        <v>1237</v>
      </c>
      <c r="G36" s="247" t="s">
        <v>1237</v>
      </c>
      <c r="H36" s="247" t="s">
        <v>1237</v>
      </c>
    </row>
    <row r="37" spans="1:8">
      <c r="A37" s="247" t="s">
        <v>636</v>
      </c>
      <c r="B37" s="247" t="s">
        <v>1400</v>
      </c>
      <c r="C37" s="247" t="s">
        <v>1401</v>
      </c>
      <c r="D37" s="247" t="s">
        <v>725</v>
      </c>
      <c r="E37" s="247" t="s">
        <v>1237</v>
      </c>
      <c r="F37" s="247" t="s">
        <v>1237</v>
      </c>
      <c r="G37" s="247" t="s">
        <v>1237</v>
      </c>
      <c r="H37" s="247" t="s">
        <v>1237</v>
      </c>
    </row>
    <row r="38" spans="1:8">
      <c r="A38" s="247" t="s">
        <v>636</v>
      </c>
      <c r="B38" s="247" t="s">
        <v>1402</v>
      </c>
      <c r="C38" s="247" t="s">
        <v>1403</v>
      </c>
      <c r="D38" s="247" t="s">
        <v>1114</v>
      </c>
      <c r="E38" s="247" t="s">
        <v>1404</v>
      </c>
      <c r="F38" s="247" t="s">
        <v>1237</v>
      </c>
      <c r="G38" s="247" t="s">
        <v>1237</v>
      </c>
      <c r="H38" s="247" t="s">
        <v>1237</v>
      </c>
    </row>
    <row r="39" spans="1:8">
      <c r="A39" s="247" t="s">
        <v>636</v>
      </c>
      <c r="B39" s="247" t="s">
        <v>1049</v>
      </c>
      <c r="C39" s="247" t="s">
        <v>1050</v>
      </c>
      <c r="D39" s="247" t="s">
        <v>1185</v>
      </c>
      <c r="E39" s="247" t="s">
        <v>1237</v>
      </c>
      <c r="F39" s="247" t="s">
        <v>1237</v>
      </c>
      <c r="G39" s="247" t="s">
        <v>1237</v>
      </c>
      <c r="H39" s="247" t="s">
        <v>1237</v>
      </c>
    </row>
    <row r="40" spans="1:8">
      <c r="A40" s="247" t="s">
        <v>636</v>
      </c>
      <c r="B40" s="247" t="s">
        <v>928</v>
      </c>
      <c r="C40" s="247" t="s">
        <v>784</v>
      </c>
      <c r="D40" s="247" t="s">
        <v>912</v>
      </c>
      <c r="E40" s="247" t="s">
        <v>1237</v>
      </c>
      <c r="F40" s="247" t="s">
        <v>1237</v>
      </c>
      <c r="G40" s="247" t="s">
        <v>1237</v>
      </c>
      <c r="H40" s="247" t="s">
        <v>1237</v>
      </c>
    </row>
  </sheetData>
  <mergeCells count="2">
    <mergeCell ref="C2:H2"/>
    <mergeCell ref="C3:H3"/>
  </mergeCells>
  <hyperlinks>
    <hyperlink ref="B1" location="Summary!A1" display="Summary" xr:uid="{A2C742B6-246E-4F0B-880D-DCE1E1D7DB7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C90E1-03E3-454C-A8BF-E44BD1EAB3F8}">
  <dimension ref="A1:H46"/>
  <sheetViews>
    <sheetView workbookViewId="0">
      <selection activeCell="B1" sqref="B1"/>
    </sheetView>
  </sheetViews>
  <sheetFormatPr defaultRowHeight="15"/>
  <cols>
    <col min="1" max="3" width="27.28515625" customWidth="1"/>
    <col min="4" max="4" width="45.7109375" bestFit="1" customWidth="1"/>
    <col min="5" max="5" width="59.140625" bestFit="1" customWidth="1"/>
    <col min="6" max="8" width="27.28515625" customWidth="1"/>
  </cols>
  <sheetData>
    <row r="1" spans="1:8">
      <c r="A1" s="44"/>
      <c r="B1" s="1" t="s">
        <v>773</v>
      </c>
      <c r="C1" s="39"/>
      <c r="D1" s="39"/>
      <c r="E1" s="39"/>
      <c r="F1" s="39"/>
      <c r="G1" s="39"/>
      <c r="H1" s="39"/>
    </row>
    <row r="2" spans="1:8">
      <c r="A2" s="44"/>
      <c r="B2" s="40" t="s">
        <v>1447</v>
      </c>
      <c r="C2" s="319"/>
      <c r="D2" s="319"/>
      <c r="E2" s="319"/>
      <c r="F2" s="319"/>
      <c r="G2" s="319"/>
      <c r="H2" s="319"/>
    </row>
    <row r="3" spans="1:8">
      <c r="A3" s="44"/>
      <c r="B3" s="40" t="s">
        <v>571</v>
      </c>
      <c r="C3" s="319"/>
      <c r="D3" s="319"/>
      <c r="E3" s="319"/>
      <c r="F3" s="319"/>
      <c r="G3" s="319"/>
      <c r="H3" s="319"/>
    </row>
    <row r="4" spans="1:8">
      <c r="A4" s="44"/>
      <c r="B4" s="40" t="s">
        <v>566</v>
      </c>
      <c r="C4" s="39" t="s">
        <v>586</v>
      </c>
      <c r="D4" s="39"/>
      <c r="E4" s="39"/>
      <c r="F4" s="39"/>
      <c r="G4" s="39"/>
      <c r="H4" s="39"/>
    </row>
    <row r="5" spans="1:8">
      <c r="A5" s="44"/>
      <c r="B5" s="44"/>
      <c r="C5" s="44"/>
      <c r="D5" s="44"/>
      <c r="E5" s="44"/>
      <c r="F5" s="44"/>
      <c r="G5" s="44"/>
      <c r="H5" s="44"/>
    </row>
    <row r="6" spans="1:8">
      <c r="A6" s="261" t="s">
        <v>550</v>
      </c>
      <c r="B6" s="262" t="s">
        <v>775</v>
      </c>
      <c r="C6" s="262" t="s">
        <v>776</v>
      </c>
      <c r="D6" s="262" t="s">
        <v>777</v>
      </c>
      <c r="E6" s="262" t="s">
        <v>778</v>
      </c>
      <c r="F6" s="263" t="s">
        <v>779</v>
      </c>
      <c r="G6" s="263" t="s">
        <v>568</v>
      </c>
      <c r="H6" s="263" t="s">
        <v>780</v>
      </c>
    </row>
    <row r="7" spans="1:8">
      <c r="A7" s="249" t="s">
        <v>645</v>
      </c>
      <c r="B7" s="264" t="s">
        <v>1448</v>
      </c>
      <c r="C7" s="264" t="s">
        <v>1449</v>
      </c>
      <c r="D7" s="264" t="s">
        <v>1237</v>
      </c>
      <c r="E7" s="264" t="s">
        <v>1237</v>
      </c>
      <c r="F7" s="264" t="s">
        <v>1237</v>
      </c>
      <c r="G7" s="264" t="s">
        <v>1237</v>
      </c>
      <c r="H7" s="264" t="s">
        <v>1237</v>
      </c>
    </row>
    <row r="8" spans="1:8">
      <c r="A8" s="42" t="s">
        <v>645</v>
      </c>
      <c r="B8" s="43" t="s">
        <v>922</v>
      </c>
      <c r="C8" s="43" t="s">
        <v>923</v>
      </c>
      <c r="D8" s="43" t="s">
        <v>1237</v>
      </c>
      <c r="E8" s="43" t="s">
        <v>1237</v>
      </c>
      <c r="F8" s="43" t="s">
        <v>1237</v>
      </c>
      <c r="G8" s="43" t="s">
        <v>1237</v>
      </c>
      <c r="H8" s="43" t="s">
        <v>1237</v>
      </c>
    </row>
    <row r="9" spans="1:8">
      <c r="A9" s="42" t="s">
        <v>645</v>
      </c>
      <c r="B9" s="43" t="s">
        <v>928</v>
      </c>
      <c r="C9" s="43" t="s">
        <v>784</v>
      </c>
      <c r="D9" s="247" t="s">
        <v>785</v>
      </c>
      <c r="E9" s="43" t="s">
        <v>1237</v>
      </c>
      <c r="F9" s="43" t="s">
        <v>1237</v>
      </c>
      <c r="G9" s="43" t="s">
        <v>1237</v>
      </c>
      <c r="H9" s="43" t="s">
        <v>1237</v>
      </c>
    </row>
    <row r="10" spans="1:8">
      <c r="A10" s="42" t="s">
        <v>645</v>
      </c>
      <c r="B10" s="43" t="s">
        <v>1450</v>
      </c>
      <c r="C10" s="43" t="s">
        <v>1451</v>
      </c>
      <c r="D10" s="43" t="s">
        <v>1237</v>
      </c>
      <c r="E10" s="43" t="s">
        <v>1237</v>
      </c>
      <c r="F10" s="43" t="s">
        <v>1237</v>
      </c>
      <c r="G10" s="43" t="s">
        <v>1237</v>
      </c>
      <c r="H10" s="43" t="s">
        <v>1237</v>
      </c>
    </row>
    <row r="11" spans="1:8">
      <c r="A11" s="42" t="s">
        <v>645</v>
      </c>
      <c r="B11" s="43" t="s">
        <v>1452</v>
      </c>
      <c r="C11" s="43" t="s">
        <v>1453</v>
      </c>
      <c r="D11" s="43" t="s">
        <v>1237</v>
      </c>
      <c r="E11" s="43" t="s">
        <v>1237</v>
      </c>
      <c r="F11" s="43" t="s">
        <v>1237</v>
      </c>
      <c r="G11" s="43" t="s">
        <v>1237</v>
      </c>
      <c r="H11" s="43" t="s">
        <v>1237</v>
      </c>
    </row>
    <row r="12" spans="1:8">
      <c r="A12" s="42" t="s">
        <v>645</v>
      </c>
      <c r="B12" s="43" t="s">
        <v>1454</v>
      </c>
      <c r="C12" s="43" t="s">
        <v>1455</v>
      </c>
      <c r="D12" s="43" t="s">
        <v>1237</v>
      </c>
      <c r="E12" s="43" t="s">
        <v>1237</v>
      </c>
      <c r="F12" s="43" t="s">
        <v>1237</v>
      </c>
      <c r="G12" s="43" t="s">
        <v>1237</v>
      </c>
      <c r="H12" s="43" t="s">
        <v>1237</v>
      </c>
    </row>
    <row r="13" spans="1:8">
      <c r="A13" s="42" t="s">
        <v>645</v>
      </c>
      <c r="B13" s="43" t="s">
        <v>1456</v>
      </c>
      <c r="C13" s="43" t="s">
        <v>1457</v>
      </c>
      <c r="D13" s="43" t="s">
        <v>1237</v>
      </c>
      <c r="E13" s="43" t="s">
        <v>1237</v>
      </c>
      <c r="F13" s="43" t="s">
        <v>1237</v>
      </c>
      <c r="G13" s="43" t="s">
        <v>1237</v>
      </c>
      <c r="H13" s="43" t="s">
        <v>1237</v>
      </c>
    </row>
    <row r="14" spans="1:8">
      <c r="A14" s="42" t="s">
        <v>645</v>
      </c>
      <c r="B14" s="43" t="s">
        <v>1458</v>
      </c>
      <c r="C14" s="43" t="s">
        <v>1459</v>
      </c>
      <c r="D14" s="43" t="s">
        <v>1237</v>
      </c>
      <c r="E14" s="43" t="s">
        <v>1237</v>
      </c>
      <c r="F14" s="43" t="s">
        <v>1237</v>
      </c>
      <c r="G14" s="43" t="s">
        <v>1237</v>
      </c>
      <c r="H14" s="43" t="s">
        <v>1237</v>
      </c>
    </row>
    <row r="15" spans="1:8">
      <c r="A15" s="42" t="s">
        <v>645</v>
      </c>
      <c r="B15" s="43" t="s">
        <v>1460</v>
      </c>
      <c r="C15" s="43" t="s">
        <v>1461</v>
      </c>
      <c r="D15" s="43" t="s">
        <v>1237</v>
      </c>
      <c r="E15" s="43" t="s">
        <v>1237</v>
      </c>
      <c r="F15" s="43" t="s">
        <v>1237</v>
      </c>
      <c r="G15" s="43" t="s">
        <v>1237</v>
      </c>
      <c r="H15" s="43" t="s">
        <v>1237</v>
      </c>
    </row>
    <row r="16" spans="1:8">
      <c r="A16" s="42" t="s">
        <v>645</v>
      </c>
      <c r="B16" s="43" t="s">
        <v>1462</v>
      </c>
      <c r="C16" s="43" t="s">
        <v>1463</v>
      </c>
      <c r="D16" s="43" t="s">
        <v>1237</v>
      </c>
      <c r="E16" s="43" t="s">
        <v>1237</v>
      </c>
      <c r="F16" s="43" t="s">
        <v>1237</v>
      </c>
      <c r="G16" s="43" t="s">
        <v>1237</v>
      </c>
      <c r="H16" s="43" t="s">
        <v>1237</v>
      </c>
    </row>
    <row r="17" spans="1:8">
      <c r="A17" s="42" t="s">
        <v>645</v>
      </c>
      <c r="B17" s="43" t="s">
        <v>1464</v>
      </c>
      <c r="C17" s="43" t="s">
        <v>1465</v>
      </c>
      <c r="D17" s="43" t="s">
        <v>1237</v>
      </c>
      <c r="E17" s="43" t="s">
        <v>1237</v>
      </c>
      <c r="F17" s="43" t="s">
        <v>1237</v>
      </c>
      <c r="G17" s="43" t="s">
        <v>1237</v>
      </c>
      <c r="H17" s="43" t="s">
        <v>1237</v>
      </c>
    </row>
    <row r="18" spans="1:8">
      <c r="A18" s="42" t="s">
        <v>645</v>
      </c>
      <c r="B18" s="43" t="s">
        <v>1466</v>
      </c>
      <c r="C18" s="43" t="s">
        <v>1467</v>
      </c>
      <c r="D18" s="43" t="s">
        <v>1237</v>
      </c>
      <c r="E18" s="43" t="s">
        <v>1237</v>
      </c>
      <c r="F18" s="43" t="s">
        <v>1237</v>
      </c>
      <c r="G18" s="43" t="s">
        <v>1237</v>
      </c>
      <c r="H18" s="43" t="s">
        <v>1237</v>
      </c>
    </row>
    <row r="19" spans="1:8">
      <c r="A19" s="42" t="s">
        <v>645</v>
      </c>
      <c r="B19" s="43" t="s">
        <v>1276</v>
      </c>
      <c r="C19" s="43" t="s">
        <v>1277</v>
      </c>
      <c r="D19" s="43" t="s">
        <v>1300</v>
      </c>
      <c r="E19" s="43" t="s">
        <v>1276</v>
      </c>
      <c r="F19" s="43" t="s">
        <v>1237</v>
      </c>
      <c r="G19" s="43" t="s">
        <v>1237</v>
      </c>
      <c r="H19" s="43" t="s">
        <v>1237</v>
      </c>
    </row>
    <row r="20" spans="1:8">
      <c r="A20" s="42" t="s">
        <v>645</v>
      </c>
      <c r="B20" s="43" t="s">
        <v>1426</v>
      </c>
      <c r="C20" s="43" t="s">
        <v>1427</v>
      </c>
      <c r="D20" s="43" t="s">
        <v>1468</v>
      </c>
      <c r="E20" s="43" t="s">
        <v>1426</v>
      </c>
      <c r="F20" s="43" t="s">
        <v>1237</v>
      </c>
      <c r="G20" s="43" t="s">
        <v>1237</v>
      </c>
      <c r="H20" s="43" t="s">
        <v>1237</v>
      </c>
    </row>
    <row r="21" spans="1:8">
      <c r="A21" s="42" t="s">
        <v>645</v>
      </c>
      <c r="B21" s="43" t="s">
        <v>1429</v>
      </c>
      <c r="C21" s="43" t="s">
        <v>1430</v>
      </c>
      <c r="D21" s="43" t="s">
        <v>1468</v>
      </c>
      <c r="E21" s="43" t="s">
        <v>1429</v>
      </c>
      <c r="F21" s="43" t="s">
        <v>1237</v>
      </c>
      <c r="G21" s="43" t="s">
        <v>1237</v>
      </c>
      <c r="H21" s="43" t="s">
        <v>1237</v>
      </c>
    </row>
    <row r="22" spans="1:8">
      <c r="A22" s="42" t="s">
        <v>645</v>
      </c>
      <c r="B22" s="43" t="s">
        <v>1303</v>
      </c>
      <c r="C22" s="43" t="s">
        <v>1304</v>
      </c>
      <c r="D22" s="43" t="s">
        <v>1361</v>
      </c>
      <c r="E22" s="43" t="s">
        <v>1237</v>
      </c>
      <c r="F22" s="43" t="s">
        <v>1237</v>
      </c>
      <c r="G22" s="43" t="s">
        <v>1237</v>
      </c>
      <c r="H22" s="43" t="s">
        <v>1237</v>
      </c>
    </row>
    <row r="23" spans="1:8">
      <c r="A23" s="42" t="s">
        <v>645</v>
      </c>
      <c r="B23" s="43" t="s">
        <v>1469</v>
      </c>
      <c r="C23" s="43" t="s">
        <v>1470</v>
      </c>
      <c r="D23" s="43" t="s">
        <v>1237</v>
      </c>
      <c r="E23" s="43" t="s">
        <v>1237</v>
      </c>
      <c r="F23" s="43" t="s">
        <v>1237</v>
      </c>
      <c r="G23" s="43" t="s">
        <v>1237</v>
      </c>
      <c r="H23" s="43" t="s">
        <v>1237</v>
      </c>
    </row>
    <row r="24" spans="1:8">
      <c r="A24" s="42" t="s">
        <v>645</v>
      </c>
      <c r="B24" s="43" t="s">
        <v>1330</v>
      </c>
      <c r="C24" s="43" t="s">
        <v>1331</v>
      </c>
      <c r="D24" s="43" t="s">
        <v>1419</v>
      </c>
      <c r="E24" s="259" t="s">
        <v>1409</v>
      </c>
      <c r="F24" s="43" t="s">
        <v>1237</v>
      </c>
      <c r="G24" s="43" t="s">
        <v>1237</v>
      </c>
      <c r="H24" s="43" t="s">
        <v>1237</v>
      </c>
    </row>
    <row r="25" spans="1:8">
      <c r="A25" s="42" t="s">
        <v>645</v>
      </c>
      <c r="B25" s="43" t="s">
        <v>1471</v>
      </c>
      <c r="C25" s="43" t="s">
        <v>1038</v>
      </c>
      <c r="D25" s="43" t="s">
        <v>1237</v>
      </c>
      <c r="E25" s="43" t="s">
        <v>1237</v>
      </c>
      <c r="F25" s="43" t="s">
        <v>1237</v>
      </c>
      <c r="G25" s="43" t="s">
        <v>1237</v>
      </c>
      <c r="H25" s="43" t="s">
        <v>1237</v>
      </c>
    </row>
    <row r="26" spans="1:8">
      <c r="A26" s="42" t="s">
        <v>645</v>
      </c>
      <c r="B26" s="43" t="s">
        <v>1293</v>
      </c>
      <c r="C26" s="43" t="s">
        <v>1294</v>
      </c>
      <c r="D26" s="43" t="s">
        <v>1295</v>
      </c>
      <c r="E26" s="43" t="s">
        <v>1472</v>
      </c>
      <c r="F26" s="43" t="s">
        <v>1237</v>
      </c>
      <c r="G26" s="43" t="s">
        <v>1237</v>
      </c>
      <c r="H26" s="43" t="s">
        <v>1237</v>
      </c>
    </row>
    <row r="27" spans="1:8">
      <c r="A27" s="42" t="s">
        <v>645</v>
      </c>
      <c r="B27" s="43" t="s">
        <v>946</v>
      </c>
      <c r="C27" s="43" t="s">
        <v>806</v>
      </c>
      <c r="D27" s="43" t="s">
        <v>1237</v>
      </c>
      <c r="E27" s="43" t="s">
        <v>1237</v>
      </c>
      <c r="F27" s="43" t="s">
        <v>1237</v>
      </c>
      <c r="G27" s="43" t="s">
        <v>1237</v>
      </c>
      <c r="H27" s="43" t="s">
        <v>1237</v>
      </c>
    </row>
    <row r="28" spans="1:8">
      <c r="A28" s="42" t="s">
        <v>831</v>
      </c>
      <c r="B28" s="43" t="s">
        <v>1473</v>
      </c>
      <c r="C28" s="43" t="s">
        <v>1237</v>
      </c>
      <c r="D28" s="43" t="s">
        <v>1237</v>
      </c>
      <c r="E28" s="43" t="s">
        <v>1474</v>
      </c>
      <c r="F28" s="43" t="s">
        <v>1237</v>
      </c>
      <c r="G28" s="43" t="s">
        <v>1237</v>
      </c>
      <c r="H28" s="43" t="s">
        <v>1237</v>
      </c>
    </row>
    <row r="29" spans="1:8">
      <c r="A29" s="42" t="s">
        <v>831</v>
      </c>
      <c r="B29" s="43" t="s">
        <v>1475</v>
      </c>
      <c r="C29" s="43" t="s">
        <v>1237</v>
      </c>
      <c r="D29" s="43" t="s">
        <v>1237</v>
      </c>
      <c r="E29" s="43" t="s">
        <v>1476</v>
      </c>
      <c r="F29" s="43" t="s">
        <v>1237</v>
      </c>
      <c r="G29" s="43" t="s">
        <v>1237</v>
      </c>
      <c r="H29" s="43" t="s">
        <v>1237</v>
      </c>
    </row>
    <row r="30" spans="1:8">
      <c r="A30" s="42" t="s">
        <v>831</v>
      </c>
      <c r="B30" s="43" t="s">
        <v>1477</v>
      </c>
      <c r="C30" s="43" t="s">
        <v>1237</v>
      </c>
      <c r="D30" s="43" t="s">
        <v>1237</v>
      </c>
      <c r="E30" s="43" t="s">
        <v>1478</v>
      </c>
      <c r="F30" s="43" t="s">
        <v>1237</v>
      </c>
      <c r="G30" s="43" t="s">
        <v>1237</v>
      </c>
      <c r="H30" s="43" t="s">
        <v>1237</v>
      </c>
    </row>
    <row r="31" spans="1:8">
      <c r="A31" s="42" t="s">
        <v>831</v>
      </c>
      <c r="B31" s="42" t="s">
        <v>1479</v>
      </c>
      <c r="C31" s="42" t="s">
        <v>1237</v>
      </c>
      <c r="D31" s="42" t="s">
        <v>1237</v>
      </c>
      <c r="E31" s="42" t="s">
        <v>1480</v>
      </c>
      <c r="F31" s="43" t="s">
        <v>1237</v>
      </c>
      <c r="G31" s="43" t="s">
        <v>1237</v>
      </c>
      <c r="H31" s="43" t="s">
        <v>1237</v>
      </c>
    </row>
    <row r="32" spans="1:8">
      <c r="A32" s="42" t="s">
        <v>831</v>
      </c>
      <c r="B32" s="42" t="s">
        <v>1481</v>
      </c>
      <c r="C32" s="42" t="s">
        <v>1237</v>
      </c>
      <c r="D32" s="42" t="s">
        <v>1237</v>
      </c>
      <c r="E32" s="42" t="s">
        <v>1482</v>
      </c>
      <c r="F32" s="43" t="s">
        <v>1237</v>
      </c>
      <c r="G32" s="43" t="s">
        <v>1237</v>
      </c>
      <c r="H32" s="43" t="s">
        <v>1237</v>
      </c>
    </row>
    <row r="33" spans="1:8">
      <c r="A33" s="42" t="s">
        <v>831</v>
      </c>
      <c r="B33" s="42" t="s">
        <v>1464</v>
      </c>
      <c r="C33" s="42" t="s">
        <v>1237</v>
      </c>
      <c r="D33" s="42" t="s">
        <v>1237</v>
      </c>
      <c r="E33" s="42" t="s">
        <v>1483</v>
      </c>
      <c r="F33" s="43" t="s">
        <v>1237</v>
      </c>
      <c r="G33" s="43" t="s">
        <v>1237</v>
      </c>
      <c r="H33" s="43" t="s">
        <v>1237</v>
      </c>
    </row>
    <row r="34" spans="1:8">
      <c r="A34" s="42" t="s">
        <v>831</v>
      </c>
      <c r="B34" s="42" t="s">
        <v>1484</v>
      </c>
      <c r="C34" s="42" t="s">
        <v>1237</v>
      </c>
      <c r="D34" s="42" t="s">
        <v>1237</v>
      </c>
      <c r="E34" s="42" t="s">
        <v>1485</v>
      </c>
      <c r="F34" s="43" t="s">
        <v>1237</v>
      </c>
      <c r="G34" s="43" t="s">
        <v>1237</v>
      </c>
      <c r="H34" s="43" t="s">
        <v>1237</v>
      </c>
    </row>
    <row r="35" spans="1:8">
      <c r="A35" s="42" t="s">
        <v>831</v>
      </c>
      <c r="B35" s="42" t="s">
        <v>1473</v>
      </c>
      <c r="C35" s="42" t="s">
        <v>1237</v>
      </c>
      <c r="D35" s="42" t="s">
        <v>1237</v>
      </c>
      <c r="E35" s="42" t="s">
        <v>1486</v>
      </c>
      <c r="F35" s="43" t="s">
        <v>1237</v>
      </c>
      <c r="G35" s="43" t="s">
        <v>1237</v>
      </c>
      <c r="H35" s="43" t="s">
        <v>1237</v>
      </c>
    </row>
    <row r="36" spans="1:8">
      <c r="A36" s="42" t="s">
        <v>831</v>
      </c>
      <c r="B36" s="42" t="s">
        <v>1487</v>
      </c>
      <c r="C36" s="42" t="s">
        <v>1237</v>
      </c>
      <c r="D36" s="42" t="s">
        <v>1237</v>
      </c>
      <c r="E36" s="42" t="s">
        <v>1488</v>
      </c>
      <c r="F36" s="43" t="s">
        <v>1237</v>
      </c>
      <c r="G36" s="43" t="s">
        <v>1237</v>
      </c>
      <c r="H36" s="43" t="s">
        <v>1237</v>
      </c>
    </row>
    <row r="37" spans="1:8">
      <c r="A37" s="42" t="s">
        <v>831</v>
      </c>
      <c r="B37" s="42" t="s">
        <v>1489</v>
      </c>
      <c r="C37" s="42" t="s">
        <v>1237</v>
      </c>
      <c r="D37" s="42" t="s">
        <v>1237</v>
      </c>
      <c r="E37" s="42" t="s">
        <v>1490</v>
      </c>
      <c r="F37" s="43" t="s">
        <v>1237</v>
      </c>
      <c r="G37" s="43" t="s">
        <v>1237</v>
      </c>
      <c r="H37" s="43" t="s">
        <v>1237</v>
      </c>
    </row>
    <row r="38" spans="1:8">
      <c r="A38" s="42" t="s">
        <v>831</v>
      </c>
      <c r="B38" s="42" t="s">
        <v>1491</v>
      </c>
      <c r="C38" s="42" t="s">
        <v>1237</v>
      </c>
      <c r="D38" s="42" t="s">
        <v>1237</v>
      </c>
      <c r="E38" s="42" t="s">
        <v>1492</v>
      </c>
      <c r="F38" s="43" t="s">
        <v>1237</v>
      </c>
      <c r="G38" s="43" t="s">
        <v>1237</v>
      </c>
      <c r="H38" s="43" t="s">
        <v>1237</v>
      </c>
    </row>
    <row r="39" spans="1:8">
      <c r="A39" s="42" t="s">
        <v>831</v>
      </c>
      <c r="B39" s="42" t="s">
        <v>1493</v>
      </c>
      <c r="C39" s="42" t="s">
        <v>1237</v>
      </c>
      <c r="D39" s="42"/>
      <c r="E39" s="42" t="s">
        <v>1494</v>
      </c>
      <c r="F39" s="43" t="s">
        <v>1237</v>
      </c>
      <c r="G39" s="43" t="s">
        <v>1237</v>
      </c>
      <c r="H39" s="43" t="s">
        <v>1237</v>
      </c>
    </row>
    <row r="40" spans="1:8">
      <c r="A40" s="42" t="s">
        <v>831</v>
      </c>
      <c r="B40" s="42" t="s">
        <v>1495</v>
      </c>
      <c r="C40" s="42" t="s">
        <v>1237</v>
      </c>
      <c r="D40" s="42" t="s">
        <v>916</v>
      </c>
      <c r="E40" s="42" t="s">
        <v>1496</v>
      </c>
      <c r="F40" s="43" t="s">
        <v>1237</v>
      </c>
      <c r="G40" s="43" t="s">
        <v>1237</v>
      </c>
      <c r="H40" s="43" t="s">
        <v>1237</v>
      </c>
    </row>
    <row r="41" spans="1:8">
      <c r="A41" s="42" t="s">
        <v>631</v>
      </c>
      <c r="B41" s="42" t="s">
        <v>924</v>
      </c>
      <c r="C41" s="42" t="s">
        <v>564</v>
      </c>
      <c r="D41" s="42" t="s">
        <v>788</v>
      </c>
      <c r="E41" s="42" t="s">
        <v>1237</v>
      </c>
      <c r="F41" s="43" t="s">
        <v>1237</v>
      </c>
      <c r="G41" s="43" t="s">
        <v>1237</v>
      </c>
      <c r="H41" s="43" t="s">
        <v>1237</v>
      </c>
    </row>
    <row r="42" spans="1:8">
      <c r="A42" s="42" t="s">
        <v>631</v>
      </c>
      <c r="B42" s="42" t="s">
        <v>928</v>
      </c>
      <c r="C42" s="42" t="s">
        <v>784</v>
      </c>
      <c r="D42" s="42" t="s">
        <v>785</v>
      </c>
      <c r="E42" s="42" t="s">
        <v>1237</v>
      </c>
      <c r="F42" s="43" t="s">
        <v>1237</v>
      </c>
      <c r="G42" s="43" t="s">
        <v>1237</v>
      </c>
      <c r="H42" s="43" t="s">
        <v>1237</v>
      </c>
    </row>
    <row r="43" spans="1:8">
      <c r="A43" s="42" t="s">
        <v>631</v>
      </c>
      <c r="B43" s="42" t="s">
        <v>1276</v>
      </c>
      <c r="C43" s="42" t="s">
        <v>1277</v>
      </c>
      <c r="D43" s="42" t="s">
        <v>1300</v>
      </c>
      <c r="E43" s="42" t="s">
        <v>1237</v>
      </c>
      <c r="F43" s="43" t="s">
        <v>1237</v>
      </c>
      <c r="G43" s="43" t="s">
        <v>1237</v>
      </c>
      <c r="H43" s="43" t="s">
        <v>1237</v>
      </c>
    </row>
    <row r="44" spans="1:8">
      <c r="A44" s="42" t="s">
        <v>631</v>
      </c>
      <c r="B44" s="42" t="s">
        <v>1309</v>
      </c>
      <c r="C44" s="42" t="s">
        <v>295</v>
      </c>
      <c r="D44" s="42" t="s">
        <v>1237</v>
      </c>
      <c r="E44" s="42" t="s">
        <v>1237</v>
      </c>
      <c r="F44" s="43" t="s">
        <v>1237</v>
      </c>
      <c r="G44" s="43" t="s">
        <v>1237</v>
      </c>
      <c r="H44" s="43" t="s">
        <v>1237</v>
      </c>
    </row>
    <row r="45" spans="1:8">
      <c r="A45" s="42" t="s">
        <v>631</v>
      </c>
      <c r="B45" s="42" t="s">
        <v>1336</v>
      </c>
      <c r="C45" s="42" t="s">
        <v>1337</v>
      </c>
      <c r="D45" s="42" t="s">
        <v>1237</v>
      </c>
      <c r="E45" s="42" t="s">
        <v>1237</v>
      </c>
      <c r="F45" s="43" t="s">
        <v>1237</v>
      </c>
      <c r="G45" s="43" t="s">
        <v>1237</v>
      </c>
      <c r="H45" s="43" t="s">
        <v>1237</v>
      </c>
    </row>
    <row r="46" spans="1:8" ht="39">
      <c r="A46" s="249" t="s">
        <v>636</v>
      </c>
      <c r="B46" s="265" t="s">
        <v>1409</v>
      </c>
      <c r="C46" s="265" t="s">
        <v>1410</v>
      </c>
      <c r="D46" s="264" t="s">
        <v>1419</v>
      </c>
      <c r="E46" s="265" t="s">
        <v>1446</v>
      </c>
      <c r="F46" s="264" t="s">
        <v>1237</v>
      </c>
      <c r="G46" s="265" t="s">
        <v>1497</v>
      </c>
      <c r="H46" s="264" t="s">
        <v>1237</v>
      </c>
    </row>
  </sheetData>
  <mergeCells count="2">
    <mergeCell ref="C2:H2"/>
    <mergeCell ref="C3:H3"/>
  </mergeCells>
  <hyperlinks>
    <hyperlink ref="B1" location="Summary!A1" display="Summary" xr:uid="{96E30D94-C4D4-4671-B4D1-F24D14A78AC8}"/>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8CC5-7B92-49FE-83D9-8BB3106923A4}">
  <dimension ref="A1:H176"/>
  <sheetViews>
    <sheetView topLeftCell="A179" workbookViewId="0">
      <selection activeCell="C184" sqref="C184"/>
    </sheetView>
  </sheetViews>
  <sheetFormatPr defaultRowHeight="15"/>
  <cols>
    <col min="1" max="3" width="29.7109375" customWidth="1"/>
    <col min="4" max="4" width="61.42578125" customWidth="1"/>
    <col min="5" max="8" width="29.7109375" customWidth="1"/>
  </cols>
  <sheetData>
    <row r="1" spans="1:8">
      <c r="A1" s="44"/>
      <c r="B1" s="1" t="s">
        <v>773</v>
      </c>
      <c r="C1" s="39"/>
      <c r="D1" s="39"/>
      <c r="E1" s="39"/>
      <c r="F1" s="39"/>
      <c r="G1" s="39"/>
      <c r="H1" s="39"/>
    </row>
    <row r="2" spans="1:8">
      <c r="A2" s="44"/>
      <c r="B2" s="40" t="s">
        <v>1498</v>
      </c>
      <c r="C2" s="319"/>
      <c r="D2" s="319"/>
      <c r="E2" s="319"/>
      <c r="F2" s="319"/>
      <c r="G2" s="319"/>
      <c r="H2" s="319"/>
    </row>
    <row r="3" spans="1:8">
      <c r="A3" s="44"/>
      <c r="B3" s="40" t="s">
        <v>571</v>
      </c>
      <c r="C3" s="319" t="str">
        <f>Summary!O156</f>
        <v>Usage Transactions are records of bill determinant calculations for a Usage Subscription. This is useful to the Client as it allows them to retrieve the Bill information to the usage and measurement</v>
      </c>
      <c r="D3" s="319"/>
      <c r="E3" s="319"/>
      <c r="F3" s="319"/>
      <c r="G3" s="319"/>
      <c r="H3" s="319"/>
    </row>
    <row r="4" spans="1:8">
      <c r="A4" s="44"/>
      <c r="B4" s="40" t="s">
        <v>566</v>
      </c>
      <c r="C4" s="39" t="s">
        <v>586</v>
      </c>
      <c r="D4" s="39"/>
      <c r="E4" s="39"/>
      <c r="F4" s="39"/>
      <c r="G4" s="39"/>
      <c r="H4" s="39"/>
    </row>
    <row r="5" spans="1:8">
      <c r="A5" s="44"/>
      <c r="B5" s="44"/>
      <c r="C5" s="44"/>
      <c r="D5" s="44"/>
      <c r="E5" s="44"/>
      <c r="F5" s="44"/>
      <c r="G5" s="44"/>
      <c r="H5" s="44"/>
    </row>
    <row r="6" spans="1:8">
      <c r="A6" s="241" t="s">
        <v>550</v>
      </c>
      <c r="B6" s="257" t="s">
        <v>775</v>
      </c>
      <c r="C6" s="257" t="s">
        <v>776</v>
      </c>
      <c r="D6" s="257" t="s">
        <v>777</v>
      </c>
      <c r="E6" s="257" t="s">
        <v>778</v>
      </c>
      <c r="F6" s="139" t="s">
        <v>779</v>
      </c>
      <c r="G6" s="139" t="s">
        <v>568</v>
      </c>
      <c r="H6" s="139" t="s">
        <v>780</v>
      </c>
    </row>
    <row r="7" spans="1:8">
      <c r="A7" s="258" t="s">
        <v>652</v>
      </c>
      <c r="B7" s="247" t="s">
        <v>924</v>
      </c>
      <c r="C7" s="247" t="s">
        <v>564</v>
      </c>
      <c r="D7" s="247" t="s">
        <v>788</v>
      </c>
      <c r="E7" s="247" t="s">
        <v>1237</v>
      </c>
      <c r="F7" s="247" t="s">
        <v>1237</v>
      </c>
      <c r="G7" s="247" t="s">
        <v>1237</v>
      </c>
      <c r="H7" s="247" t="s">
        <v>1237</v>
      </c>
    </row>
    <row r="8" spans="1:8">
      <c r="A8" s="258" t="s">
        <v>652</v>
      </c>
      <c r="B8" s="247" t="s">
        <v>926</v>
      </c>
      <c r="C8" s="247" t="s">
        <v>802</v>
      </c>
      <c r="D8" s="247" t="s">
        <v>803</v>
      </c>
      <c r="E8" s="247" t="s">
        <v>1237</v>
      </c>
      <c r="F8" s="247" t="s">
        <v>804</v>
      </c>
      <c r="G8" s="247" t="s">
        <v>1237</v>
      </c>
      <c r="H8" s="247" t="s">
        <v>1237</v>
      </c>
    </row>
    <row r="9" spans="1:8">
      <c r="A9" s="258" t="s">
        <v>652</v>
      </c>
      <c r="B9" s="247" t="s">
        <v>928</v>
      </c>
      <c r="C9" s="247" t="s">
        <v>784</v>
      </c>
      <c r="D9" s="247" t="s">
        <v>785</v>
      </c>
      <c r="E9" s="247" t="s">
        <v>1237</v>
      </c>
      <c r="F9" s="247" t="s">
        <v>786</v>
      </c>
      <c r="G9" s="247" t="s">
        <v>1237</v>
      </c>
      <c r="H9" s="247" t="s">
        <v>1237</v>
      </c>
    </row>
    <row r="10" spans="1:8">
      <c r="A10" s="258" t="s">
        <v>652</v>
      </c>
      <c r="B10" s="247" t="s">
        <v>1499</v>
      </c>
      <c r="C10" s="247" t="s">
        <v>858</v>
      </c>
      <c r="D10" s="247" t="s">
        <v>1237</v>
      </c>
      <c r="E10" s="247" t="s">
        <v>1237</v>
      </c>
      <c r="F10" s="247" t="s">
        <v>1237</v>
      </c>
      <c r="G10" s="247" t="s">
        <v>1237</v>
      </c>
      <c r="H10" s="247" t="s">
        <v>1237</v>
      </c>
    </row>
    <row r="11" spans="1:8">
      <c r="A11" s="258" t="s">
        <v>652</v>
      </c>
      <c r="B11" s="247" t="s">
        <v>933</v>
      </c>
      <c r="C11" s="247" t="s">
        <v>798</v>
      </c>
      <c r="D11" s="247" t="s">
        <v>1237</v>
      </c>
      <c r="E11" s="247" t="s">
        <v>1237</v>
      </c>
      <c r="F11" s="247" t="s">
        <v>1237</v>
      </c>
      <c r="G11" s="247" t="s">
        <v>1237</v>
      </c>
      <c r="H11" s="247" t="s">
        <v>1237</v>
      </c>
    </row>
    <row r="12" spans="1:8">
      <c r="A12" s="258" t="s">
        <v>652</v>
      </c>
      <c r="B12" s="247" t="s">
        <v>1098</v>
      </c>
      <c r="C12" s="247" t="s">
        <v>1099</v>
      </c>
      <c r="D12" s="247" t="s">
        <v>1237</v>
      </c>
      <c r="E12" s="247" t="s">
        <v>1237</v>
      </c>
      <c r="F12" s="247" t="s">
        <v>1237</v>
      </c>
      <c r="G12" s="247" t="s">
        <v>1237</v>
      </c>
      <c r="H12" s="247" t="s">
        <v>1237</v>
      </c>
    </row>
    <row r="13" spans="1:8">
      <c r="A13" s="258" t="s">
        <v>652</v>
      </c>
      <c r="B13" s="247" t="s">
        <v>1500</v>
      </c>
      <c r="C13" s="247" t="s">
        <v>1501</v>
      </c>
      <c r="D13" s="247" t="s">
        <v>1237</v>
      </c>
      <c r="E13" s="247" t="s">
        <v>1237</v>
      </c>
      <c r="F13" s="247" t="s">
        <v>1237</v>
      </c>
      <c r="G13" s="247" t="s">
        <v>1237</v>
      </c>
      <c r="H13" s="247" t="s">
        <v>1237</v>
      </c>
    </row>
    <row r="14" spans="1:8">
      <c r="A14" s="258" t="s">
        <v>652</v>
      </c>
      <c r="B14" s="247" t="s">
        <v>1502</v>
      </c>
      <c r="C14" s="247" t="s">
        <v>1503</v>
      </c>
      <c r="D14" s="247" t="s">
        <v>1504</v>
      </c>
      <c r="E14" s="247" t="s">
        <v>1502</v>
      </c>
      <c r="F14" s="247" t="s">
        <v>804</v>
      </c>
      <c r="G14" s="247" t="s">
        <v>1237</v>
      </c>
      <c r="H14" s="247" t="s">
        <v>1237</v>
      </c>
    </row>
    <row r="15" spans="1:8">
      <c r="A15" s="258" t="s">
        <v>652</v>
      </c>
      <c r="B15" s="247" t="s">
        <v>936</v>
      </c>
      <c r="C15" s="247" t="s">
        <v>796</v>
      </c>
      <c r="D15" s="247" t="s">
        <v>1237</v>
      </c>
      <c r="E15" s="247" t="s">
        <v>1237</v>
      </c>
      <c r="F15" s="247" t="s">
        <v>1237</v>
      </c>
      <c r="G15" s="247" t="s">
        <v>1237</v>
      </c>
      <c r="H15" s="247" t="s">
        <v>1237</v>
      </c>
    </row>
    <row r="16" spans="1:8">
      <c r="A16" s="258" t="s">
        <v>652</v>
      </c>
      <c r="B16" s="247" t="s">
        <v>939</v>
      </c>
      <c r="C16" s="247" t="s">
        <v>821</v>
      </c>
      <c r="D16" s="247" t="s">
        <v>1237</v>
      </c>
      <c r="E16" s="247" t="s">
        <v>1237</v>
      </c>
      <c r="F16" s="247" t="s">
        <v>1237</v>
      </c>
      <c r="G16" s="247" t="s">
        <v>1237</v>
      </c>
      <c r="H16" s="247" t="s">
        <v>1237</v>
      </c>
    </row>
    <row r="17" spans="1:8">
      <c r="A17" s="258" t="s">
        <v>652</v>
      </c>
      <c r="B17" s="247" t="s">
        <v>940</v>
      </c>
      <c r="C17" s="247" t="s">
        <v>818</v>
      </c>
      <c r="D17" s="247" t="s">
        <v>1237</v>
      </c>
      <c r="E17" s="247" t="s">
        <v>1237</v>
      </c>
      <c r="F17" s="247" t="s">
        <v>1237</v>
      </c>
      <c r="G17" s="247" t="s">
        <v>1237</v>
      </c>
      <c r="H17" s="247" t="s">
        <v>1237</v>
      </c>
    </row>
    <row r="18" spans="1:8">
      <c r="A18" s="258" t="s">
        <v>652</v>
      </c>
      <c r="B18" s="247" t="s">
        <v>1505</v>
      </c>
      <c r="C18" s="247" t="s">
        <v>1506</v>
      </c>
      <c r="D18" s="247" t="s">
        <v>1237</v>
      </c>
      <c r="E18" s="247" t="s">
        <v>1237</v>
      </c>
      <c r="F18" s="247" t="s">
        <v>1237</v>
      </c>
      <c r="G18" s="247" t="s">
        <v>1237</v>
      </c>
      <c r="H18" s="247" t="s">
        <v>1237</v>
      </c>
    </row>
    <row r="19" spans="1:8">
      <c r="A19" s="258" t="s">
        <v>652</v>
      </c>
      <c r="B19" s="247" t="s">
        <v>1031</v>
      </c>
      <c r="C19" s="247" t="s">
        <v>1032</v>
      </c>
      <c r="D19" s="247" t="s">
        <v>1507</v>
      </c>
      <c r="E19" s="247" t="s">
        <v>1237</v>
      </c>
      <c r="F19" s="247" t="s">
        <v>1237</v>
      </c>
      <c r="G19" s="247" t="s">
        <v>1237</v>
      </c>
      <c r="H19" s="247" t="s">
        <v>1237</v>
      </c>
    </row>
    <row r="20" spans="1:8">
      <c r="A20" s="258" t="s">
        <v>652</v>
      </c>
      <c r="B20" s="247" t="s">
        <v>1034</v>
      </c>
      <c r="C20" s="247" t="s">
        <v>1035</v>
      </c>
      <c r="D20" s="247" t="s">
        <v>1508</v>
      </c>
      <c r="E20" s="247" t="s">
        <v>1237</v>
      </c>
      <c r="F20" s="247" t="s">
        <v>1237</v>
      </c>
      <c r="G20" s="247" t="s">
        <v>1237</v>
      </c>
      <c r="H20" s="247" t="s">
        <v>1237</v>
      </c>
    </row>
    <row r="21" spans="1:8">
      <c r="A21" s="258" t="s">
        <v>652</v>
      </c>
      <c r="B21" s="247" t="s">
        <v>1509</v>
      </c>
      <c r="C21" s="247" t="s">
        <v>1510</v>
      </c>
      <c r="D21" s="247" t="s">
        <v>1237</v>
      </c>
      <c r="E21" s="247" t="s">
        <v>1237</v>
      </c>
      <c r="F21" s="247" t="s">
        <v>1237</v>
      </c>
      <c r="G21" s="247" t="s">
        <v>1237</v>
      </c>
      <c r="H21" s="247" t="s">
        <v>1237</v>
      </c>
    </row>
    <row r="22" spans="1:8">
      <c r="A22" s="258" t="s">
        <v>652</v>
      </c>
      <c r="B22" s="247" t="s">
        <v>1511</v>
      </c>
      <c r="C22" s="247" t="s">
        <v>1512</v>
      </c>
      <c r="D22" s="247" t="s">
        <v>1237</v>
      </c>
      <c r="E22" s="247" t="s">
        <v>1237</v>
      </c>
      <c r="F22" s="247" t="s">
        <v>1237</v>
      </c>
      <c r="G22" s="247" t="s">
        <v>1237</v>
      </c>
      <c r="H22" s="247" t="s">
        <v>1237</v>
      </c>
    </row>
    <row r="23" spans="1:8">
      <c r="A23" s="258" t="s">
        <v>652</v>
      </c>
      <c r="B23" s="247" t="s">
        <v>1513</v>
      </c>
      <c r="C23" s="247" t="s">
        <v>1514</v>
      </c>
      <c r="D23" s="247" t="s">
        <v>1237</v>
      </c>
      <c r="E23" s="247" t="s">
        <v>1237</v>
      </c>
      <c r="F23" s="247" t="s">
        <v>1237</v>
      </c>
      <c r="G23" s="247" t="s">
        <v>1237</v>
      </c>
      <c r="H23" s="247" t="s">
        <v>1237</v>
      </c>
    </row>
    <row r="24" spans="1:8">
      <c r="A24" s="258" t="s">
        <v>652</v>
      </c>
      <c r="B24" s="247" t="s">
        <v>944</v>
      </c>
      <c r="C24" s="247" t="s">
        <v>794</v>
      </c>
      <c r="D24" s="247" t="s">
        <v>1237</v>
      </c>
      <c r="E24" s="247" t="s">
        <v>1237</v>
      </c>
      <c r="F24" s="247" t="s">
        <v>1237</v>
      </c>
      <c r="G24" s="247" t="s">
        <v>1237</v>
      </c>
      <c r="H24" s="247" t="s">
        <v>1237</v>
      </c>
    </row>
    <row r="25" spans="1:8">
      <c r="A25" s="258" t="s">
        <v>652</v>
      </c>
      <c r="B25" s="247" t="s">
        <v>945</v>
      </c>
      <c r="C25" s="247" t="s">
        <v>800</v>
      </c>
      <c r="D25" s="247" t="s">
        <v>1237</v>
      </c>
      <c r="E25" s="247" t="s">
        <v>1237</v>
      </c>
      <c r="F25" s="247" t="s">
        <v>1237</v>
      </c>
      <c r="G25" s="247" t="s">
        <v>1237</v>
      </c>
      <c r="H25" s="247" t="s">
        <v>1237</v>
      </c>
    </row>
    <row r="26" spans="1:8">
      <c r="A26" s="258" t="s">
        <v>652</v>
      </c>
      <c r="B26" s="247" t="s">
        <v>1515</v>
      </c>
      <c r="C26" s="247" t="s">
        <v>1516</v>
      </c>
      <c r="D26" s="247" t="s">
        <v>1237</v>
      </c>
      <c r="E26" s="247" t="s">
        <v>1237</v>
      </c>
      <c r="F26" s="247" t="s">
        <v>1237</v>
      </c>
      <c r="G26" s="247" t="s">
        <v>1237</v>
      </c>
      <c r="H26" s="247" t="s">
        <v>1237</v>
      </c>
    </row>
    <row r="27" spans="1:8" ht="26.25">
      <c r="A27" s="258" t="s">
        <v>652</v>
      </c>
      <c r="B27" s="247" t="s">
        <v>1517</v>
      </c>
      <c r="C27" s="247" t="s">
        <v>1518</v>
      </c>
      <c r="D27" s="259" t="s">
        <v>1189</v>
      </c>
      <c r="E27" s="39" t="s">
        <v>1519</v>
      </c>
      <c r="F27" s="258" t="s">
        <v>804</v>
      </c>
      <c r="G27" s="247" t="s">
        <v>1237</v>
      </c>
      <c r="H27" s="247" t="s">
        <v>1237</v>
      </c>
    </row>
    <row r="28" spans="1:8">
      <c r="A28" s="258" t="s">
        <v>652</v>
      </c>
      <c r="B28" s="247" t="s">
        <v>1520</v>
      </c>
      <c r="C28" s="247" t="s">
        <v>1521</v>
      </c>
      <c r="D28" s="247" t="s">
        <v>1237</v>
      </c>
      <c r="E28" s="266" t="s">
        <v>1237</v>
      </c>
      <c r="F28" s="247" t="s">
        <v>1237</v>
      </c>
      <c r="G28" s="247" t="s">
        <v>1237</v>
      </c>
      <c r="H28" s="247" t="s">
        <v>1237</v>
      </c>
    </row>
    <row r="29" spans="1:8">
      <c r="A29" s="258" t="s">
        <v>652</v>
      </c>
      <c r="B29" s="247" t="s">
        <v>1522</v>
      </c>
      <c r="C29" s="247" t="s">
        <v>1523</v>
      </c>
      <c r="D29" s="247" t="s">
        <v>1524</v>
      </c>
      <c r="E29" s="247" t="s">
        <v>1237</v>
      </c>
      <c r="F29" s="247" t="s">
        <v>804</v>
      </c>
      <c r="G29" s="247" t="s">
        <v>1237</v>
      </c>
      <c r="H29" s="247" t="s">
        <v>1237</v>
      </c>
    </row>
    <row r="30" spans="1:8">
      <c r="A30" s="258" t="s">
        <v>652</v>
      </c>
      <c r="B30" s="247" t="s">
        <v>1525</v>
      </c>
      <c r="C30" s="247" t="s">
        <v>1526</v>
      </c>
      <c r="D30" s="247" t="s">
        <v>1237</v>
      </c>
      <c r="E30" s="247" t="s">
        <v>1237</v>
      </c>
      <c r="F30" s="247" t="s">
        <v>1237</v>
      </c>
      <c r="G30" s="247" t="s">
        <v>1237</v>
      </c>
      <c r="H30" s="247" t="s">
        <v>1237</v>
      </c>
    </row>
    <row r="31" spans="1:8">
      <c r="A31" s="258" t="s">
        <v>652</v>
      </c>
      <c r="B31" s="247" t="s">
        <v>1527</v>
      </c>
      <c r="C31" s="247" t="s">
        <v>315</v>
      </c>
      <c r="D31" s="247" t="s">
        <v>1528</v>
      </c>
      <c r="E31" s="247" t="s">
        <v>1529</v>
      </c>
      <c r="F31" s="247" t="s">
        <v>1237</v>
      </c>
      <c r="G31" s="247" t="s">
        <v>1237</v>
      </c>
      <c r="H31" s="247" t="s">
        <v>1237</v>
      </c>
    </row>
    <row r="32" spans="1:8">
      <c r="A32" s="258" t="s">
        <v>652</v>
      </c>
      <c r="B32" s="247" t="s">
        <v>946</v>
      </c>
      <c r="C32" s="247" t="s">
        <v>806</v>
      </c>
      <c r="D32" s="247" t="s">
        <v>1237</v>
      </c>
      <c r="E32" s="247" t="s">
        <v>1237</v>
      </c>
      <c r="F32" s="247" t="s">
        <v>1237</v>
      </c>
      <c r="G32" s="247" t="s">
        <v>1237</v>
      </c>
      <c r="H32" s="247" t="s">
        <v>1237</v>
      </c>
    </row>
    <row r="33" spans="1:8">
      <c r="A33" s="258" t="s">
        <v>652</v>
      </c>
      <c r="B33" s="247" t="s">
        <v>1530</v>
      </c>
      <c r="C33" s="259" t="s">
        <v>1531</v>
      </c>
      <c r="D33" s="247" t="s">
        <v>1237</v>
      </c>
      <c r="E33" s="247" t="s">
        <v>1237</v>
      </c>
      <c r="F33" s="247" t="s">
        <v>1237</v>
      </c>
      <c r="G33" s="247" t="s">
        <v>1237</v>
      </c>
      <c r="H33" s="247" t="s">
        <v>1237</v>
      </c>
    </row>
    <row r="34" spans="1:8">
      <c r="A34" s="258" t="s">
        <v>652</v>
      </c>
      <c r="B34" s="247" t="s">
        <v>1532</v>
      </c>
      <c r="C34" s="247" t="s">
        <v>1533</v>
      </c>
      <c r="D34" s="247" t="s">
        <v>1237</v>
      </c>
      <c r="E34" s="247" t="s">
        <v>1237</v>
      </c>
      <c r="F34" s="247" t="s">
        <v>1237</v>
      </c>
      <c r="G34" s="247" t="s">
        <v>1237</v>
      </c>
      <c r="H34" s="247" t="s">
        <v>1237</v>
      </c>
    </row>
    <row r="35" spans="1:8">
      <c r="A35" s="258" t="s">
        <v>652</v>
      </c>
      <c r="B35" s="247" t="s">
        <v>1534</v>
      </c>
      <c r="C35" s="247" t="s">
        <v>1535</v>
      </c>
      <c r="D35" s="247" t="s">
        <v>1237</v>
      </c>
      <c r="E35" s="247" t="s">
        <v>1237</v>
      </c>
      <c r="F35" s="247" t="s">
        <v>1237</v>
      </c>
      <c r="G35" s="247" t="s">
        <v>1237</v>
      </c>
      <c r="H35" s="247" t="s">
        <v>1237</v>
      </c>
    </row>
    <row r="36" spans="1:8">
      <c r="A36" s="258" t="s">
        <v>652</v>
      </c>
      <c r="B36" s="247" t="s">
        <v>1536</v>
      </c>
      <c r="C36" s="247" t="s">
        <v>1537</v>
      </c>
      <c r="D36" s="247" t="s">
        <v>1237</v>
      </c>
      <c r="E36" s="247" t="s">
        <v>1237</v>
      </c>
      <c r="F36" s="247" t="s">
        <v>1237</v>
      </c>
      <c r="G36" s="247" t="s">
        <v>1237</v>
      </c>
      <c r="H36" s="247" t="s">
        <v>1237</v>
      </c>
    </row>
    <row r="37" spans="1:8">
      <c r="A37" s="258" t="s">
        <v>652</v>
      </c>
      <c r="B37" s="247" t="s">
        <v>1538</v>
      </c>
      <c r="C37" s="247" t="s">
        <v>1539</v>
      </c>
      <c r="D37" s="247" t="s">
        <v>1237</v>
      </c>
      <c r="E37" s="247" t="s">
        <v>1237</v>
      </c>
      <c r="F37" s="247" t="s">
        <v>1237</v>
      </c>
      <c r="G37" s="247" t="s">
        <v>1237</v>
      </c>
      <c r="H37" s="247" t="s">
        <v>1237</v>
      </c>
    </row>
    <row r="38" spans="1:8">
      <c r="A38" s="258" t="s">
        <v>652</v>
      </c>
      <c r="B38" s="247" t="s">
        <v>1540</v>
      </c>
      <c r="C38" s="247" t="s">
        <v>1541</v>
      </c>
      <c r="D38" s="247" t="s">
        <v>1237</v>
      </c>
      <c r="E38" s="247" t="s">
        <v>1237</v>
      </c>
      <c r="F38" s="247" t="s">
        <v>1237</v>
      </c>
      <c r="G38" s="247" t="s">
        <v>1237</v>
      </c>
      <c r="H38" s="247" t="s">
        <v>1237</v>
      </c>
    </row>
    <row r="39" spans="1:8">
      <c r="A39" s="258" t="s">
        <v>652</v>
      </c>
      <c r="B39" s="247" t="s">
        <v>1542</v>
      </c>
      <c r="C39" s="247" t="s">
        <v>1543</v>
      </c>
      <c r="D39" s="247" t="s">
        <v>1237</v>
      </c>
      <c r="E39" s="247" t="s">
        <v>1237</v>
      </c>
      <c r="F39" s="247" t="s">
        <v>1237</v>
      </c>
      <c r="G39" s="247" t="s">
        <v>1237</v>
      </c>
      <c r="H39" s="247" t="s">
        <v>1237</v>
      </c>
    </row>
    <row r="40" spans="1:8">
      <c r="A40" s="258" t="s">
        <v>652</v>
      </c>
      <c r="B40" s="247" t="s">
        <v>1544</v>
      </c>
      <c r="C40" s="247" t="s">
        <v>1545</v>
      </c>
      <c r="D40" s="247" t="s">
        <v>1237</v>
      </c>
      <c r="E40" s="247" t="s">
        <v>1237</v>
      </c>
      <c r="F40" s="247" t="s">
        <v>1237</v>
      </c>
      <c r="G40" s="247" t="s">
        <v>1237</v>
      </c>
      <c r="H40" s="247" t="s">
        <v>1237</v>
      </c>
    </row>
    <row r="41" spans="1:8">
      <c r="A41" s="258" t="s">
        <v>652</v>
      </c>
      <c r="B41" s="247" t="s">
        <v>1546</v>
      </c>
      <c r="C41" s="247" t="s">
        <v>1547</v>
      </c>
      <c r="D41" s="247" t="s">
        <v>1237</v>
      </c>
      <c r="E41" s="247" t="s">
        <v>1237</v>
      </c>
      <c r="F41" s="247" t="s">
        <v>1237</v>
      </c>
      <c r="G41" s="247" t="s">
        <v>1237</v>
      </c>
      <c r="H41" s="247" t="s">
        <v>1237</v>
      </c>
    </row>
    <row r="42" spans="1:8">
      <c r="A42" s="258" t="s">
        <v>652</v>
      </c>
      <c r="B42" s="247" t="s">
        <v>1548</v>
      </c>
      <c r="C42" s="247" t="s">
        <v>1549</v>
      </c>
      <c r="D42" s="247" t="s">
        <v>1237</v>
      </c>
      <c r="E42" s="247" t="s">
        <v>1237</v>
      </c>
      <c r="F42" s="247" t="s">
        <v>1237</v>
      </c>
      <c r="G42" s="247" t="s">
        <v>1237</v>
      </c>
      <c r="H42" s="247" t="s">
        <v>1237</v>
      </c>
    </row>
    <row r="43" spans="1:8">
      <c r="A43" s="258" t="s">
        <v>652</v>
      </c>
      <c r="B43" s="247" t="s">
        <v>1550</v>
      </c>
      <c r="C43" s="247" t="s">
        <v>1551</v>
      </c>
      <c r="D43" s="247" t="s">
        <v>1237</v>
      </c>
      <c r="E43" s="247" t="s">
        <v>1237</v>
      </c>
      <c r="F43" s="247" t="s">
        <v>1237</v>
      </c>
      <c r="G43" s="247" t="s">
        <v>1237</v>
      </c>
      <c r="H43" s="247" t="s">
        <v>1237</v>
      </c>
    </row>
    <row r="44" spans="1:8">
      <c r="A44" s="258" t="s">
        <v>652</v>
      </c>
      <c r="B44" s="247" t="s">
        <v>1552</v>
      </c>
      <c r="C44" s="247" t="s">
        <v>1553</v>
      </c>
      <c r="D44" s="247" t="s">
        <v>1237</v>
      </c>
      <c r="E44" s="247" t="s">
        <v>1237</v>
      </c>
      <c r="F44" s="247" t="s">
        <v>1237</v>
      </c>
      <c r="G44" s="247" t="s">
        <v>1237</v>
      </c>
      <c r="H44" s="247" t="s">
        <v>1237</v>
      </c>
    </row>
    <row r="45" spans="1:8">
      <c r="A45" s="258" t="s">
        <v>652</v>
      </c>
      <c r="B45" s="247" t="s">
        <v>1554</v>
      </c>
      <c r="C45" s="247" t="s">
        <v>1555</v>
      </c>
      <c r="D45" s="247" t="s">
        <v>1237</v>
      </c>
      <c r="E45" s="247" t="s">
        <v>1237</v>
      </c>
      <c r="F45" s="247" t="s">
        <v>1237</v>
      </c>
      <c r="G45" s="247" t="s">
        <v>1237</v>
      </c>
      <c r="H45" s="247" t="s">
        <v>1237</v>
      </c>
    </row>
    <row r="46" spans="1:8">
      <c r="A46" s="258" t="s">
        <v>1556</v>
      </c>
      <c r="B46" s="247" t="s">
        <v>1557</v>
      </c>
      <c r="C46" s="247" t="s">
        <v>1558</v>
      </c>
      <c r="D46" s="247" t="s">
        <v>1559</v>
      </c>
      <c r="E46" s="247" t="s">
        <v>1237</v>
      </c>
      <c r="F46" s="247" t="s">
        <v>1237</v>
      </c>
      <c r="G46" s="247" t="s">
        <v>1560</v>
      </c>
      <c r="H46" s="247" t="s">
        <v>1237</v>
      </c>
    </row>
    <row r="47" spans="1:8">
      <c r="A47" s="258" t="s">
        <v>1556</v>
      </c>
      <c r="B47" s="247" t="s">
        <v>1561</v>
      </c>
      <c r="C47" s="247" t="s">
        <v>1453</v>
      </c>
      <c r="D47" s="247" t="s">
        <v>1562</v>
      </c>
      <c r="E47" s="247" t="s">
        <v>1237</v>
      </c>
      <c r="F47" s="247" t="s">
        <v>1237</v>
      </c>
      <c r="G47" s="247" t="s">
        <v>1560</v>
      </c>
      <c r="H47" s="247" t="s">
        <v>1237</v>
      </c>
    </row>
    <row r="48" spans="1:8">
      <c r="A48" s="258" t="s">
        <v>1556</v>
      </c>
      <c r="B48" s="247" t="s">
        <v>1563</v>
      </c>
      <c r="C48" s="247" t="s">
        <v>1564</v>
      </c>
      <c r="D48" s="247" t="s">
        <v>1565</v>
      </c>
      <c r="E48" s="247" t="s">
        <v>1563</v>
      </c>
      <c r="F48" s="247" t="s">
        <v>1237</v>
      </c>
      <c r="G48" s="247" t="s">
        <v>1560</v>
      </c>
      <c r="H48" s="247" t="s">
        <v>1237</v>
      </c>
    </row>
    <row r="49" spans="1:8">
      <c r="A49" s="258" t="s">
        <v>1556</v>
      </c>
      <c r="B49" s="247" t="s">
        <v>1566</v>
      </c>
      <c r="C49" s="247" t="s">
        <v>1567</v>
      </c>
      <c r="D49" s="247" t="s">
        <v>1568</v>
      </c>
      <c r="E49" s="247" t="s">
        <v>1566</v>
      </c>
      <c r="F49" s="247" t="s">
        <v>1237</v>
      </c>
      <c r="G49" s="247" t="s">
        <v>1560</v>
      </c>
      <c r="H49" s="247" t="s">
        <v>1237</v>
      </c>
    </row>
    <row r="50" spans="1:8">
      <c r="A50" s="258" t="s">
        <v>1556</v>
      </c>
      <c r="B50" s="247" t="s">
        <v>1569</v>
      </c>
      <c r="C50" s="247" t="s">
        <v>1570</v>
      </c>
      <c r="D50" s="247" t="s">
        <v>1237</v>
      </c>
      <c r="E50" s="247" t="s">
        <v>1237</v>
      </c>
      <c r="F50" s="247" t="s">
        <v>1237</v>
      </c>
      <c r="G50" s="247" t="s">
        <v>1560</v>
      </c>
      <c r="H50" s="247" t="s">
        <v>1237</v>
      </c>
    </row>
    <row r="51" spans="1:8">
      <c r="A51" s="258" t="s">
        <v>1556</v>
      </c>
      <c r="B51" s="247" t="s">
        <v>1571</v>
      </c>
      <c r="C51" s="247" t="s">
        <v>1572</v>
      </c>
      <c r="D51" s="247" t="s">
        <v>1573</v>
      </c>
      <c r="E51" s="247" t="s">
        <v>1237</v>
      </c>
      <c r="F51" s="247" t="s">
        <v>1237</v>
      </c>
      <c r="G51" s="247" t="s">
        <v>1560</v>
      </c>
      <c r="H51" s="247" t="s">
        <v>1237</v>
      </c>
    </row>
    <row r="52" spans="1:8">
      <c r="A52" s="258" t="s">
        <v>1556</v>
      </c>
      <c r="B52" s="247" t="s">
        <v>1574</v>
      </c>
      <c r="C52" s="247" t="s">
        <v>1575</v>
      </c>
      <c r="D52" s="247" t="s">
        <v>1237</v>
      </c>
      <c r="E52" s="247" t="s">
        <v>1237</v>
      </c>
      <c r="F52" s="247" t="s">
        <v>1237</v>
      </c>
      <c r="G52" s="247" t="s">
        <v>1560</v>
      </c>
      <c r="H52" s="247" t="s">
        <v>1237</v>
      </c>
    </row>
    <row r="53" spans="1:8">
      <c r="A53" s="258" t="s">
        <v>1556</v>
      </c>
      <c r="B53" s="247" t="s">
        <v>1576</v>
      </c>
      <c r="C53" s="247" t="s">
        <v>794</v>
      </c>
      <c r="D53" s="247" t="s">
        <v>1577</v>
      </c>
      <c r="E53" s="247" t="s">
        <v>1237</v>
      </c>
      <c r="F53" s="247" t="s">
        <v>1237</v>
      </c>
      <c r="G53" s="247" t="s">
        <v>1560</v>
      </c>
      <c r="H53" s="247" t="s">
        <v>1237</v>
      </c>
    </row>
    <row r="54" spans="1:8">
      <c r="A54" s="258" t="s">
        <v>1556</v>
      </c>
      <c r="B54" s="247" t="s">
        <v>1578</v>
      </c>
      <c r="C54" s="247" t="s">
        <v>1579</v>
      </c>
      <c r="D54" s="247" t="s">
        <v>1580</v>
      </c>
      <c r="E54" s="247" t="s">
        <v>1237</v>
      </c>
      <c r="F54" s="247" t="s">
        <v>1237</v>
      </c>
      <c r="G54" s="247" t="s">
        <v>1560</v>
      </c>
      <c r="H54" s="247" t="s">
        <v>1237</v>
      </c>
    </row>
    <row r="55" spans="1:8">
      <c r="A55" s="258" t="s">
        <v>1556</v>
      </c>
      <c r="B55" s="247" t="s">
        <v>1581</v>
      </c>
      <c r="C55" s="247" t="s">
        <v>1582</v>
      </c>
      <c r="D55" s="247" t="s">
        <v>1583</v>
      </c>
      <c r="E55" s="247" t="s">
        <v>1237</v>
      </c>
      <c r="F55" s="247" t="s">
        <v>1237</v>
      </c>
      <c r="G55" s="247" t="s">
        <v>1560</v>
      </c>
      <c r="H55" s="247" t="s">
        <v>1237</v>
      </c>
    </row>
    <row r="56" spans="1:8">
      <c r="A56" s="258" t="s">
        <v>1556</v>
      </c>
      <c r="B56" s="247" t="s">
        <v>1584</v>
      </c>
      <c r="C56" s="247" t="s">
        <v>1585</v>
      </c>
      <c r="D56" s="247" t="s">
        <v>1237</v>
      </c>
      <c r="E56" s="247" t="s">
        <v>1237</v>
      </c>
      <c r="F56" s="247" t="s">
        <v>1237</v>
      </c>
      <c r="G56" s="247" t="s">
        <v>1560</v>
      </c>
      <c r="H56" s="247" t="s">
        <v>1237</v>
      </c>
    </row>
    <row r="57" spans="1:8">
      <c r="A57" s="258" t="s">
        <v>1556</v>
      </c>
      <c r="B57" s="247" t="s">
        <v>944</v>
      </c>
      <c r="C57" s="247" t="s">
        <v>794</v>
      </c>
      <c r="D57" s="247" t="s">
        <v>1586</v>
      </c>
      <c r="E57" s="247" t="s">
        <v>1237</v>
      </c>
      <c r="F57" s="247" t="s">
        <v>1237</v>
      </c>
      <c r="G57" s="247" t="s">
        <v>1560</v>
      </c>
      <c r="H57" s="247" t="s">
        <v>1237</v>
      </c>
    </row>
    <row r="58" spans="1:8">
      <c r="A58" s="258" t="s">
        <v>1556</v>
      </c>
      <c r="B58" s="247" t="s">
        <v>1587</v>
      </c>
      <c r="C58" s="247" t="s">
        <v>1588</v>
      </c>
      <c r="D58" s="247" t="s">
        <v>1589</v>
      </c>
      <c r="E58" s="247" t="s">
        <v>1237</v>
      </c>
      <c r="F58" s="247" t="s">
        <v>1237</v>
      </c>
      <c r="G58" s="247" t="s">
        <v>1560</v>
      </c>
      <c r="H58" s="247" t="s">
        <v>1237</v>
      </c>
    </row>
    <row r="59" spans="1:8">
      <c r="A59" s="258" t="s">
        <v>1556</v>
      </c>
      <c r="B59" s="247" t="s">
        <v>1578</v>
      </c>
      <c r="C59" s="247" t="s">
        <v>1579</v>
      </c>
      <c r="D59" s="247" t="s">
        <v>1590</v>
      </c>
      <c r="E59" s="247" t="s">
        <v>1237</v>
      </c>
      <c r="F59" s="247" t="s">
        <v>1237</v>
      </c>
      <c r="G59" s="247" t="s">
        <v>1560</v>
      </c>
      <c r="H59" s="247" t="s">
        <v>1237</v>
      </c>
    </row>
    <row r="60" spans="1:8">
      <c r="A60" s="258" t="s">
        <v>1556</v>
      </c>
      <c r="B60" s="247" t="s">
        <v>1581</v>
      </c>
      <c r="C60" s="247" t="s">
        <v>1582</v>
      </c>
      <c r="D60" s="247" t="s">
        <v>1591</v>
      </c>
      <c r="E60" s="247" t="s">
        <v>1237</v>
      </c>
      <c r="F60" s="247" t="s">
        <v>1237</v>
      </c>
      <c r="G60" s="247" t="s">
        <v>1560</v>
      </c>
      <c r="H60" s="247" t="s">
        <v>1237</v>
      </c>
    </row>
    <row r="61" spans="1:8">
      <c r="A61" s="258" t="s">
        <v>1556</v>
      </c>
      <c r="B61" s="43" t="s">
        <v>1592</v>
      </c>
      <c r="C61" s="43" t="s">
        <v>1593</v>
      </c>
      <c r="D61" s="247" t="s">
        <v>1594</v>
      </c>
      <c r="E61" s="43" t="s">
        <v>1237</v>
      </c>
      <c r="F61" s="43" t="s">
        <v>1237</v>
      </c>
      <c r="G61" s="247" t="s">
        <v>1560</v>
      </c>
      <c r="H61" s="43" t="s">
        <v>1237</v>
      </c>
    </row>
    <row r="62" spans="1:8">
      <c r="A62" s="258" t="s">
        <v>1556</v>
      </c>
      <c r="B62" s="43" t="s">
        <v>1595</v>
      </c>
      <c r="C62" s="43" t="s">
        <v>1596</v>
      </c>
      <c r="D62" s="247" t="s">
        <v>1597</v>
      </c>
      <c r="E62" s="43" t="s">
        <v>1237</v>
      </c>
      <c r="F62" s="43" t="s">
        <v>1237</v>
      </c>
      <c r="G62" s="247" t="s">
        <v>1560</v>
      </c>
      <c r="H62" s="43" t="s">
        <v>1237</v>
      </c>
    </row>
    <row r="63" spans="1:8" ht="15.75">
      <c r="A63" s="258" t="s">
        <v>1556</v>
      </c>
      <c r="B63" s="287" t="s">
        <v>1598</v>
      </c>
      <c r="C63" s="43" t="s">
        <v>1599</v>
      </c>
      <c r="D63" s="247" t="s">
        <v>1600</v>
      </c>
      <c r="E63" s="43" t="s">
        <v>1237</v>
      </c>
      <c r="F63" s="43" t="s">
        <v>1237</v>
      </c>
      <c r="G63" s="247" t="s">
        <v>1560</v>
      </c>
      <c r="H63" s="43" t="s">
        <v>1237</v>
      </c>
    </row>
    <row r="64" spans="1:8">
      <c r="A64" s="258" t="s">
        <v>1556</v>
      </c>
      <c r="B64" s="43" t="s">
        <v>1601</v>
      </c>
      <c r="C64" s="43" t="s">
        <v>1602</v>
      </c>
      <c r="D64" s="247" t="s">
        <v>1603</v>
      </c>
      <c r="E64" s="43" t="s">
        <v>1237</v>
      </c>
      <c r="F64" s="43" t="s">
        <v>1237</v>
      </c>
      <c r="G64" s="247" t="s">
        <v>1560</v>
      </c>
      <c r="H64" s="43" t="s">
        <v>1237</v>
      </c>
    </row>
    <row r="65" spans="1:8">
      <c r="A65" s="258" t="s">
        <v>1556</v>
      </c>
      <c r="B65" s="43" t="s">
        <v>1604</v>
      </c>
      <c r="C65" s="43" t="s">
        <v>1605</v>
      </c>
      <c r="D65" s="247" t="s">
        <v>1606</v>
      </c>
      <c r="E65" s="43" t="s">
        <v>1237</v>
      </c>
      <c r="F65" s="43" t="s">
        <v>1237</v>
      </c>
      <c r="G65" s="247" t="s">
        <v>1560</v>
      </c>
      <c r="H65" s="43" t="s">
        <v>1237</v>
      </c>
    </row>
    <row r="66" spans="1:8">
      <c r="A66" s="258" t="s">
        <v>1556</v>
      </c>
      <c r="B66" s="43" t="s">
        <v>1607</v>
      </c>
      <c r="C66" s="43" t="s">
        <v>1608</v>
      </c>
      <c r="D66" s="247" t="s">
        <v>1609</v>
      </c>
      <c r="E66" s="43" t="s">
        <v>1237</v>
      </c>
      <c r="F66" s="43" t="s">
        <v>1237</v>
      </c>
      <c r="G66" s="247" t="s">
        <v>1560</v>
      </c>
      <c r="H66" s="43" t="s">
        <v>1237</v>
      </c>
    </row>
    <row r="67" spans="1:8">
      <c r="A67" s="49" t="s">
        <v>650</v>
      </c>
      <c r="B67" s="49" t="s">
        <v>984</v>
      </c>
      <c r="C67" s="49" t="s">
        <v>985</v>
      </c>
      <c r="D67" s="49"/>
      <c r="E67" s="49"/>
      <c r="F67" s="49"/>
      <c r="G67" s="100"/>
      <c r="H67" s="49"/>
    </row>
    <row r="68" spans="1:8">
      <c r="A68" s="49" t="s">
        <v>650</v>
      </c>
      <c r="B68" s="49" t="s">
        <v>924</v>
      </c>
      <c r="C68" s="49" t="s">
        <v>564</v>
      </c>
      <c r="D68" s="33" t="s">
        <v>788</v>
      </c>
      <c r="E68" s="33"/>
      <c r="F68" s="33" t="s">
        <v>786</v>
      </c>
      <c r="G68" s="100"/>
      <c r="H68" s="49"/>
    </row>
    <row r="69" spans="1:8">
      <c r="A69" s="49" t="s">
        <v>650</v>
      </c>
      <c r="B69" s="49" t="s">
        <v>926</v>
      </c>
      <c r="C69" s="49" t="s">
        <v>802</v>
      </c>
      <c r="D69" s="33" t="s">
        <v>803</v>
      </c>
      <c r="E69" s="33"/>
      <c r="F69" s="33" t="s">
        <v>804</v>
      </c>
      <c r="G69" s="100"/>
      <c r="H69" s="49"/>
    </row>
    <row r="70" spans="1:8">
      <c r="A70" s="49" t="s">
        <v>650</v>
      </c>
      <c r="B70" s="49" t="s">
        <v>928</v>
      </c>
      <c r="C70" s="49" t="s">
        <v>784</v>
      </c>
      <c r="D70" s="33" t="s">
        <v>785</v>
      </c>
      <c r="E70" s="33"/>
      <c r="F70" s="33" t="s">
        <v>786</v>
      </c>
      <c r="G70" s="100"/>
      <c r="H70" s="49"/>
    </row>
    <row r="71" spans="1:8">
      <c r="A71" s="49" t="s">
        <v>650</v>
      </c>
      <c r="B71" s="49" t="s">
        <v>933</v>
      </c>
      <c r="C71" s="49" t="s">
        <v>798</v>
      </c>
      <c r="D71" s="49"/>
      <c r="E71" s="49"/>
      <c r="F71" s="49"/>
      <c r="G71" s="100"/>
      <c r="H71" s="49"/>
    </row>
    <row r="72" spans="1:8">
      <c r="A72" s="49" t="s">
        <v>650</v>
      </c>
      <c r="B72" s="49" t="s">
        <v>1610</v>
      </c>
      <c r="C72" s="49" t="s">
        <v>1611</v>
      </c>
      <c r="D72" s="49" t="s">
        <v>1612</v>
      </c>
      <c r="E72" s="49"/>
      <c r="F72" s="49" t="s">
        <v>804</v>
      </c>
      <c r="G72" s="100"/>
      <c r="H72" s="49"/>
    </row>
    <row r="73" spans="1:8">
      <c r="A73" s="49" t="s">
        <v>650</v>
      </c>
      <c r="B73" s="49" t="s">
        <v>1098</v>
      </c>
      <c r="C73" s="49" t="s">
        <v>1099</v>
      </c>
      <c r="D73" s="49" t="s">
        <v>1378</v>
      </c>
      <c r="E73" s="49"/>
      <c r="F73" s="49" t="s">
        <v>804</v>
      </c>
      <c r="G73" s="100"/>
      <c r="H73" s="49"/>
    </row>
    <row r="74" spans="1:8">
      <c r="A74" s="49" t="s">
        <v>650</v>
      </c>
      <c r="B74" s="49" t="s">
        <v>1020</v>
      </c>
      <c r="C74" s="49" t="s">
        <v>1021</v>
      </c>
      <c r="D74" s="49" t="s">
        <v>1613</v>
      </c>
      <c r="E74" s="49"/>
      <c r="F74" s="49" t="s">
        <v>804</v>
      </c>
      <c r="G74" s="100"/>
      <c r="H74" s="49"/>
    </row>
    <row r="75" spans="1:8">
      <c r="A75" s="49" t="s">
        <v>650</v>
      </c>
      <c r="B75" s="49" t="s">
        <v>936</v>
      </c>
      <c r="C75" s="49" t="s">
        <v>796</v>
      </c>
      <c r="D75" s="49"/>
      <c r="E75" s="49"/>
      <c r="F75" s="49"/>
      <c r="G75" s="100"/>
      <c r="H75" s="49"/>
    </row>
    <row r="76" spans="1:8">
      <c r="A76" s="49" t="s">
        <v>650</v>
      </c>
      <c r="B76" s="49" t="s">
        <v>1614</v>
      </c>
      <c r="C76" s="49" t="s">
        <v>1615</v>
      </c>
      <c r="D76" s="49"/>
      <c r="E76" s="49"/>
      <c r="F76" s="49"/>
      <c r="G76" s="100"/>
      <c r="H76" s="49"/>
    </row>
    <row r="77" spans="1:8">
      <c r="A77" s="49" t="s">
        <v>650</v>
      </c>
      <c r="B77" s="49" t="s">
        <v>944</v>
      </c>
      <c r="C77" s="49" t="s">
        <v>794</v>
      </c>
      <c r="D77" s="49"/>
      <c r="E77" s="49"/>
      <c r="F77" s="49"/>
      <c r="G77" s="100"/>
      <c r="H77" s="49"/>
    </row>
    <row r="78" spans="1:8">
      <c r="A78" s="49" t="s">
        <v>650</v>
      </c>
      <c r="B78" s="49" t="s">
        <v>945</v>
      </c>
      <c r="C78" s="49" t="s">
        <v>800</v>
      </c>
      <c r="D78" s="49"/>
      <c r="E78" s="49"/>
      <c r="F78" s="49"/>
      <c r="G78" s="100"/>
      <c r="H78" s="49"/>
    </row>
    <row r="79" spans="1:8">
      <c r="A79" s="49" t="s">
        <v>650</v>
      </c>
      <c r="B79" s="49" t="s">
        <v>1049</v>
      </c>
      <c r="C79" s="49" t="s">
        <v>1050</v>
      </c>
      <c r="D79" s="49"/>
      <c r="E79" s="49"/>
      <c r="F79" s="49"/>
      <c r="G79" s="100"/>
      <c r="H79" s="49"/>
    </row>
    <row r="80" spans="1:8">
      <c r="A80" s="49" t="s">
        <v>650</v>
      </c>
      <c r="B80" s="49" t="s">
        <v>1616</v>
      </c>
      <c r="C80" s="49" t="s">
        <v>1617</v>
      </c>
      <c r="D80" s="49"/>
      <c r="E80" s="49"/>
      <c r="F80" s="49"/>
      <c r="G80" s="100"/>
      <c r="H80" s="49"/>
    </row>
    <row r="81" spans="1:8">
      <c r="A81" s="49" t="s">
        <v>650</v>
      </c>
      <c r="B81" s="49" t="s">
        <v>1527</v>
      </c>
      <c r="C81" s="49" t="s">
        <v>315</v>
      </c>
      <c r="D81" s="49" t="s">
        <v>1618</v>
      </c>
      <c r="E81" s="49" t="s">
        <v>1529</v>
      </c>
      <c r="F81" s="49"/>
      <c r="G81" s="100"/>
      <c r="H81" s="49"/>
    </row>
    <row r="82" spans="1:8">
      <c r="A82" s="49" t="s">
        <v>650</v>
      </c>
      <c r="B82" s="49" t="s">
        <v>1619</v>
      </c>
      <c r="C82" s="49" t="s">
        <v>1620</v>
      </c>
      <c r="D82" s="49" t="s">
        <v>1621</v>
      </c>
      <c r="E82" s="49" t="s">
        <v>1529</v>
      </c>
      <c r="F82" s="49" t="s">
        <v>804</v>
      </c>
      <c r="G82" s="100"/>
      <c r="H82" s="49"/>
    </row>
    <row r="83" spans="1:8">
      <c r="A83" s="49" t="s">
        <v>650</v>
      </c>
      <c r="B83" s="49" t="s">
        <v>1622</v>
      </c>
      <c r="C83" s="49" t="s">
        <v>1623</v>
      </c>
      <c r="D83" s="49"/>
      <c r="E83" s="49"/>
      <c r="F83" s="49"/>
      <c r="G83" s="100"/>
      <c r="H83" s="49"/>
    </row>
    <row r="84" spans="1:8">
      <c r="A84" s="49" t="s">
        <v>650</v>
      </c>
      <c r="B84" s="49" t="s">
        <v>1624</v>
      </c>
      <c r="C84" s="49" t="s">
        <v>1625</v>
      </c>
      <c r="D84" s="49" t="s">
        <v>1626</v>
      </c>
      <c r="E84" s="49"/>
      <c r="F84" s="49" t="s">
        <v>786</v>
      </c>
      <c r="G84" s="100"/>
      <c r="H84" s="49"/>
    </row>
    <row r="85" spans="1:8">
      <c r="A85" s="58" t="s">
        <v>650</v>
      </c>
      <c r="B85" s="58" t="s">
        <v>946</v>
      </c>
      <c r="C85" s="58" t="s">
        <v>806</v>
      </c>
      <c r="D85" s="58"/>
      <c r="E85" s="58"/>
      <c r="F85" s="58"/>
      <c r="G85" s="236"/>
      <c r="H85" s="58"/>
    </row>
    <row r="86" spans="1:8">
      <c r="A86" s="49" t="s">
        <v>650</v>
      </c>
      <c r="B86" s="49" t="s">
        <v>922</v>
      </c>
      <c r="C86" s="49" t="s">
        <v>923</v>
      </c>
      <c r="D86" s="3"/>
      <c r="E86" s="3"/>
      <c r="F86" s="3"/>
      <c r="G86" s="3"/>
      <c r="H86" s="3"/>
    </row>
    <row r="87" spans="1:8" s="244" customFormat="1">
      <c r="A87" s="288" t="s">
        <v>584</v>
      </c>
      <c r="B87" s="288" t="s">
        <v>1627</v>
      </c>
      <c r="C87" s="288" t="s">
        <v>1611</v>
      </c>
      <c r="D87" s="288" t="s">
        <v>1237</v>
      </c>
      <c r="E87" s="288" t="s">
        <v>1237</v>
      </c>
      <c r="F87" s="288" t="s">
        <v>1237</v>
      </c>
      <c r="G87" s="288" t="s">
        <v>1237</v>
      </c>
      <c r="H87" s="288" t="s">
        <v>1237</v>
      </c>
    </row>
    <row r="88" spans="1:8" s="244" customFormat="1">
      <c r="A88" s="288" t="s">
        <v>584</v>
      </c>
      <c r="B88" s="288" t="s">
        <v>924</v>
      </c>
      <c r="C88" s="288" t="s">
        <v>564</v>
      </c>
      <c r="D88" s="288" t="s">
        <v>788</v>
      </c>
      <c r="E88" s="288" t="s">
        <v>1628</v>
      </c>
      <c r="F88" s="288" t="s">
        <v>804</v>
      </c>
      <c r="G88" s="288" t="s">
        <v>1629</v>
      </c>
      <c r="H88" s="288" t="s">
        <v>1237</v>
      </c>
    </row>
    <row r="89" spans="1:8" s="244" customFormat="1">
      <c r="A89" s="288" t="s">
        <v>584</v>
      </c>
      <c r="B89" s="288" t="s">
        <v>1630</v>
      </c>
      <c r="C89" s="288" t="s">
        <v>1631</v>
      </c>
      <c r="D89" s="288"/>
      <c r="H89" s="288"/>
    </row>
    <row r="90" spans="1:8" s="244" customFormat="1">
      <c r="A90" s="288" t="s">
        <v>584</v>
      </c>
      <c r="B90" s="288" t="s">
        <v>928</v>
      </c>
      <c r="C90" s="288" t="s">
        <v>784</v>
      </c>
      <c r="D90" s="290" t="s">
        <v>785</v>
      </c>
      <c r="E90" s="290" t="s">
        <v>1237</v>
      </c>
      <c r="F90" s="290" t="s">
        <v>786</v>
      </c>
      <c r="G90" s="288"/>
      <c r="H90" s="288"/>
    </row>
    <row r="91" spans="1:8" s="244" customFormat="1">
      <c r="A91" s="288" t="s">
        <v>584</v>
      </c>
      <c r="B91" s="288" t="s">
        <v>933</v>
      </c>
      <c r="C91" s="288" t="s">
        <v>798</v>
      </c>
      <c r="D91" s="288"/>
      <c r="E91" s="288"/>
      <c r="F91" s="288"/>
      <c r="G91" s="288"/>
      <c r="H91" s="288"/>
    </row>
    <row r="92" spans="1:8" s="244" customFormat="1">
      <c r="A92" s="288" t="s">
        <v>584</v>
      </c>
      <c r="B92" s="288" t="s">
        <v>936</v>
      </c>
      <c r="C92" s="288" t="s">
        <v>796</v>
      </c>
      <c r="H92" s="288"/>
    </row>
    <row r="93" spans="1:8" s="244" customFormat="1">
      <c r="A93" s="288" t="s">
        <v>584</v>
      </c>
      <c r="B93" s="146" t="s">
        <v>1632</v>
      </c>
      <c r="C93" s="146" t="s">
        <v>879</v>
      </c>
      <c r="D93" s="146"/>
      <c r="E93" s="146"/>
      <c r="F93" s="146"/>
      <c r="G93" s="146"/>
      <c r="H93" s="288"/>
    </row>
    <row r="94" spans="1:8" s="244" customFormat="1">
      <c r="A94" s="288" t="s">
        <v>584</v>
      </c>
      <c r="B94" s="146" t="s">
        <v>939</v>
      </c>
      <c r="C94" s="146" t="s">
        <v>821</v>
      </c>
      <c r="D94" s="146"/>
      <c r="E94" s="146"/>
      <c r="F94" s="146"/>
      <c r="G94" s="146"/>
      <c r="H94" s="288"/>
    </row>
    <row r="95" spans="1:8" s="244" customFormat="1">
      <c r="A95" s="288" t="s">
        <v>584</v>
      </c>
      <c r="B95" s="146" t="s">
        <v>940</v>
      </c>
      <c r="C95" s="146" t="s">
        <v>818</v>
      </c>
      <c r="D95" s="146"/>
      <c r="E95" s="146"/>
      <c r="F95" s="146"/>
      <c r="G95" s="146"/>
      <c r="H95" s="288"/>
    </row>
    <row r="96" spans="1:8" s="244" customFormat="1">
      <c r="A96" s="288" t="s">
        <v>584</v>
      </c>
      <c r="B96" s="146" t="s">
        <v>1633</v>
      </c>
      <c r="C96" s="146" t="s">
        <v>1634</v>
      </c>
      <c r="D96" s="146"/>
      <c r="E96" s="146"/>
      <c r="F96" s="146"/>
      <c r="G96" s="146"/>
      <c r="H96" s="288"/>
    </row>
    <row r="97" spans="1:8" s="244" customFormat="1">
      <c r="A97" s="288" t="s">
        <v>584</v>
      </c>
      <c r="B97" s="146" t="s">
        <v>1635</v>
      </c>
      <c r="C97" s="146" t="s">
        <v>1636</v>
      </c>
      <c r="D97" s="146"/>
      <c r="E97" s="146"/>
      <c r="F97" s="146"/>
      <c r="G97" s="146"/>
      <c r="H97" s="288"/>
    </row>
    <row r="98" spans="1:8" s="244" customFormat="1">
      <c r="A98" s="288" t="s">
        <v>584</v>
      </c>
      <c r="B98" s="146" t="s">
        <v>1637</v>
      </c>
      <c r="C98" s="146" t="s">
        <v>1638</v>
      </c>
      <c r="D98" s="146"/>
      <c r="E98" s="146"/>
      <c r="F98" s="146"/>
      <c r="G98" s="146"/>
      <c r="H98" s="288"/>
    </row>
    <row r="99" spans="1:8" s="244" customFormat="1">
      <c r="A99" s="288" t="s">
        <v>584</v>
      </c>
      <c r="B99" s="146" t="s">
        <v>1639</v>
      </c>
      <c r="C99" s="146" t="s">
        <v>1012</v>
      </c>
      <c r="D99" s="146"/>
      <c r="E99" s="146"/>
      <c r="F99" s="146"/>
      <c r="G99" s="146"/>
      <c r="H99" s="288"/>
    </row>
    <row r="100" spans="1:8" s="244" customFormat="1">
      <c r="A100" s="288" t="s">
        <v>584</v>
      </c>
      <c r="B100" s="146" t="s">
        <v>944</v>
      </c>
      <c r="C100" s="146" t="s">
        <v>794</v>
      </c>
      <c r="D100" s="146"/>
      <c r="E100" s="146"/>
      <c r="F100" s="146"/>
      <c r="G100" s="146"/>
      <c r="H100" s="288"/>
    </row>
    <row r="101" spans="1:8" s="244" customFormat="1">
      <c r="A101" s="288" t="s">
        <v>584</v>
      </c>
      <c r="B101" s="146" t="s">
        <v>945</v>
      </c>
      <c r="C101" s="146" t="s">
        <v>800</v>
      </c>
      <c r="D101" s="146"/>
      <c r="E101" s="146"/>
      <c r="F101" s="146"/>
      <c r="G101" s="146"/>
      <c r="H101" s="288"/>
    </row>
    <row r="102" spans="1:8" s="244" customFormat="1">
      <c r="A102" s="288" t="s">
        <v>584</v>
      </c>
      <c r="B102" s="146" t="s">
        <v>1640</v>
      </c>
      <c r="C102" s="146" t="s">
        <v>1641</v>
      </c>
      <c r="D102" s="146" t="s">
        <v>1618</v>
      </c>
      <c r="E102" s="288" t="s">
        <v>1642</v>
      </c>
      <c r="F102" s="288"/>
      <c r="G102" s="288" t="s">
        <v>1643</v>
      </c>
      <c r="H102" s="288"/>
    </row>
    <row r="103" spans="1:8" s="244" customFormat="1">
      <c r="A103" s="288" t="s">
        <v>584</v>
      </c>
      <c r="B103" s="146" t="s">
        <v>1293</v>
      </c>
      <c r="C103" s="146" t="s">
        <v>1294</v>
      </c>
      <c r="D103" s="146"/>
      <c r="E103" s="146"/>
      <c r="F103" s="146"/>
      <c r="G103" s="146"/>
      <c r="H103" s="288"/>
    </row>
    <row r="104" spans="1:8" s="244" customFormat="1">
      <c r="A104" s="288" t="s">
        <v>584</v>
      </c>
      <c r="B104" s="146" t="s">
        <v>1644</v>
      </c>
      <c r="C104" s="146" t="s">
        <v>1645</v>
      </c>
      <c r="D104" s="146"/>
      <c r="E104" s="146"/>
      <c r="F104" s="146"/>
      <c r="G104" s="146"/>
      <c r="H104" s="288"/>
    </row>
    <row r="105" spans="1:8" s="244" customFormat="1">
      <c r="A105" s="288" t="s">
        <v>584</v>
      </c>
      <c r="B105" s="146" t="s">
        <v>946</v>
      </c>
      <c r="C105" s="146" t="s">
        <v>806</v>
      </c>
      <c r="D105" s="146"/>
      <c r="E105" s="146"/>
      <c r="F105" s="146"/>
      <c r="G105" s="146"/>
      <c r="H105" s="288"/>
    </row>
    <row r="106" spans="1:8" s="244" customFormat="1">
      <c r="A106" s="288" t="s">
        <v>584</v>
      </c>
      <c r="B106" s="146" t="s">
        <v>1646</v>
      </c>
      <c r="C106" s="146" t="s">
        <v>1647</v>
      </c>
      <c r="D106" s="146"/>
      <c r="E106" s="146"/>
      <c r="F106" s="146"/>
      <c r="G106" s="146"/>
      <c r="H106" s="288"/>
    </row>
    <row r="107" spans="1:8" s="244" customFormat="1">
      <c r="A107" s="290" t="s">
        <v>601</v>
      </c>
      <c r="B107" s="290" t="s">
        <v>1627</v>
      </c>
      <c r="C107" s="290" t="s">
        <v>1611</v>
      </c>
      <c r="D107" s="290"/>
      <c r="E107" s="290"/>
      <c r="F107" s="290"/>
      <c r="G107" s="290"/>
      <c r="H107" s="290"/>
    </row>
    <row r="108" spans="1:8" s="244" customFormat="1">
      <c r="A108" s="290" t="s">
        <v>601</v>
      </c>
      <c r="B108" s="290" t="s">
        <v>1648</v>
      </c>
      <c r="C108" s="290" t="s">
        <v>1649</v>
      </c>
      <c r="D108" s="290"/>
      <c r="E108" s="290"/>
      <c r="F108" s="290"/>
      <c r="G108" s="290"/>
      <c r="H108" s="290"/>
    </row>
    <row r="109" spans="1:8" s="244" customFormat="1">
      <c r="A109" s="290" t="s">
        <v>601</v>
      </c>
      <c r="B109" s="290" t="s">
        <v>1650</v>
      </c>
      <c r="C109" s="290" t="s">
        <v>1651</v>
      </c>
      <c r="D109" s="290"/>
      <c r="E109" s="290"/>
      <c r="F109" s="290"/>
      <c r="G109" s="290"/>
      <c r="H109" s="290"/>
    </row>
    <row r="110" spans="1:8" s="244" customFormat="1">
      <c r="A110" s="290" t="s">
        <v>601</v>
      </c>
      <c r="B110" s="290" t="s">
        <v>1652</v>
      </c>
      <c r="C110" s="290" t="s">
        <v>1653</v>
      </c>
      <c r="D110" s="290"/>
      <c r="E110" s="290"/>
      <c r="F110" s="290"/>
      <c r="G110" s="290"/>
      <c r="H110" s="290"/>
    </row>
    <row r="111" spans="1:8" s="244" customFormat="1">
      <c r="A111" s="290" t="s">
        <v>601</v>
      </c>
      <c r="B111" s="290" t="s">
        <v>1630</v>
      </c>
      <c r="C111" s="290" t="s">
        <v>1631</v>
      </c>
      <c r="D111" s="290" t="s">
        <v>1654</v>
      </c>
      <c r="E111" s="290" t="s">
        <v>1655</v>
      </c>
      <c r="F111" s="290" t="s">
        <v>804</v>
      </c>
      <c r="G111" s="290" t="s">
        <v>1656</v>
      </c>
      <c r="H111" s="290"/>
    </row>
    <row r="112" spans="1:8" s="244" customFormat="1">
      <c r="A112" s="290" t="s">
        <v>601</v>
      </c>
      <c r="B112" s="290" t="s">
        <v>1657</v>
      </c>
      <c r="C112" s="290" t="s">
        <v>1658</v>
      </c>
      <c r="D112" s="290"/>
      <c r="E112" s="290"/>
      <c r="F112" s="290"/>
      <c r="G112" s="290"/>
      <c r="H112" s="290"/>
    </row>
    <row r="113" spans="1:8" s="244" customFormat="1">
      <c r="A113" s="290" t="s">
        <v>601</v>
      </c>
      <c r="B113" s="290" t="s">
        <v>1659</v>
      </c>
      <c r="C113" s="290" t="s">
        <v>1660</v>
      </c>
      <c r="D113" s="290"/>
      <c r="E113" s="290"/>
      <c r="F113" s="290"/>
      <c r="G113" s="290"/>
      <c r="H113" s="290"/>
    </row>
    <row r="114" spans="1:8" s="244" customFormat="1">
      <c r="A114" s="290" t="s">
        <v>601</v>
      </c>
      <c r="B114" s="290" t="s">
        <v>1661</v>
      </c>
      <c r="C114" s="290" t="s">
        <v>814</v>
      </c>
      <c r="D114" s="290"/>
      <c r="E114" s="290"/>
      <c r="F114" s="290"/>
      <c r="G114" s="290"/>
      <c r="H114" s="290"/>
    </row>
    <row r="115" spans="1:8" s="244" customFormat="1">
      <c r="A115" s="290" t="s">
        <v>601</v>
      </c>
      <c r="B115" s="290" t="s">
        <v>1662</v>
      </c>
      <c r="C115" s="290" t="s">
        <v>1663</v>
      </c>
      <c r="D115" s="290"/>
      <c r="E115" s="290"/>
      <c r="F115" s="290"/>
      <c r="G115" s="290"/>
      <c r="H115" s="290"/>
    </row>
    <row r="116" spans="1:8" s="244" customFormat="1">
      <c r="A116" s="290" t="s">
        <v>601</v>
      </c>
      <c r="B116" s="290" t="s">
        <v>933</v>
      </c>
      <c r="C116" s="290" t="s">
        <v>798</v>
      </c>
      <c r="D116" s="290"/>
      <c r="E116" s="290"/>
      <c r="F116" s="290"/>
      <c r="G116" s="290"/>
      <c r="H116" s="290"/>
    </row>
    <row r="117" spans="1:8" s="244" customFormat="1">
      <c r="A117" s="290" t="s">
        <v>601</v>
      </c>
      <c r="B117" s="290" t="s">
        <v>1664</v>
      </c>
      <c r="C117" s="290" t="s">
        <v>1665</v>
      </c>
      <c r="D117" s="305"/>
      <c r="E117" s="290"/>
      <c r="F117" s="290"/>
      <c r="G117" s="290"/>
      <c r="H117" s="288"/>
    </row>
    <row r="118" spans="1:8" s="244" customFormat="1">
      <c r="A118" s="290" t="s">
        <v>601</v>
      </c>
      <c r="B118" s="290" t="s">
        <v>1666</v>
      </c>
      <c r="C118" s="290" t="s">
        <v>1667</v>
      </c>
      <c r="D118" s="290"/>
      <c r="E118" s="290"/>
      <c r="F118" s="290"/>
      <c r="G118" s="290"/>
      <c r="H118" s="146"/>
    </row>
    <row r="119" spans="1:8" s="244" customFormat="1">
      <c r="A119" s="290" t="s">
        <v>601</v>
      </c>
      <c r="B119" s="290" t="s">
        <v>939</v>
      </c>
      <c r="C119" s="290" t="s">
        <v>821</v>
      </c>
      <c r="D119" s="305"/>
      <c r="E119" s="290"/>
      <c r="F119" s="290"/>
      <c r="G119" s="290"/>
      <c r="H119" s="146"/>
    </row>
    <row r="120" spans="1:8" s="244" customFormat="1">
      <c r="A120" s="290" t="s">
        <v>601</v>
      </c>
      <c r="B120" s="290" t="s">
        <v>940</v>
      </c>
      <c r="C120" s="290" t="s">
        <v>818</v>
      </c>
      <c r="D120" s="290"/>
      <c r="E120" s="290"/>
      <c r="F120" s="290"/>
      <c r="G120" s="290"/>
      <c r="H120" s="146"/>
    </row>
    <row r="121" spans="1:8" s="244" customFormat="1">
      <c r="A121" s="290" t="s">
        <v>601</v>
      </c>
      <c r="B121" s="290" t="s">
        <v>1668</v>
      </c>
      <c r="C121" s="290" t="s">
        <v>1669</v>
      </c>
      <c r="D121" s="290"/>
      <c r="E121" s="290"/>
      <c r="F121" s="290"/>
      <c r="G121" s="290"/>
      <c r="H121" s="146"/>
    </row>
    <row r="122" spans="1:8" s="244" customFormat="1">
      <c r="A122" s="290" t="s">
        <v>601</v>
      </c>
      <c r="B122" s="290" t="s">
        <v>1670</v>
      </c>
      <c r="C122" s="290" t="s">
        <v>1671</v>
      </c>
      <c r="D122" s="290"/>
      <c r="E122" s="290"/>
      <c r="F122" s="290"/>
      <c r="G122" s="290"/>
      <c r="H122" s="146"/>
    </row>
    <row r="123" spans="1:8" s="244" customFormat="1">
      <c r="A123" s="290" t="s">
        <v>601</v>
      </c>
      <c r="B123" s="290" t="s">
        <v>1672</v>
      </c>
      <c r="C123" s="290" t="s">
        <v>1673</v>
      </c>
      <c r="D123" s="290"/>
      <c r="E123" s="290"/>
      <c r="F123" s="290"/>
      <c r="G123" s="290"/>
      <c r="H123" s="146"/>
    </row>
    <row r="124" spans="1:8" s="244" customFormat="1">
      <c r="A124" s="290" t="s">
        <v>601</v>
      </c>
      <c r="B124" s="290" t="s">
        <v>1674</v>
      </c>
      <c r="C124" s="290" t="s">
        <v>1675</v>
      </c>
      <c r="D124" s="290"/>
      <c r="E124" s="290"/>
      <c r="F124" s="290"/>
      <c r="G124" s="290"/>
      <c r="H124" s="146"/>
    </row>
    <row r="125" spans="1:8" s="244" customFormat="1">
      <c r="A125" s="290" t="s">
        <v>601</v>
      </c>
      <c r="B125" s="290" t="s">
        <v>1228</v>
      </c>
      <c r="C125" s="290" t="s">
        <v>1229</v>
      </c>
      <c r="D125" s="290"/>
      <c r="E125" s="290"/>
      <c r="F125" s="290"/>
      <c r="G125" s="290"/>
      <c r="H125" s="146"/>
    </row>
    <row r="126" spans="1:8" s="244" customFormat="1">
      <c r="A126" s="290" t="s">
        <v>601</v>
      </c>
      <c r="B126" s="290" t="s">
        <v>1676</v>
      </c>
      <c r="C126" s="290" t="s">
        <v>1677</v>
      </c>
      <c r="D126" s="290"/>
      <c r="E126" s="290"/>
      <c r="F126" s="290"/>
      <c r="G126" s="290"/>
      <c r="H126" s="146"/>
    </row>
    <row r="127" spans="1:8" s="244" customFormat="1">
      <c r="A127" s="290" t="s">
        <v>601</v>
      </c>
      <c r="B127" s="290" t="s">
        <v>1678</v>
      </c>
      <c r="C127" s="290" t="s">
        <v>1679</v>
      </c>
      <c r="D127" s="305"/>
      <c r="E127" s="290"/>
      <c r="F127" s="290"/>
      <c r="G127" s="290"/>
      <c r="H127" s="146"/>
    </row>
    <row r="128" spans="1:8" s="244" customFormat="1">
      <c r="A128" s="290" t="s">
        <v>601</v>
      </c>
      <c r="B128" s="290" t="s">
        <v>1635</v>
      </c>
      <c r="C128" s="290" t="s">
        <v>1636</v>
      </c>
      <c r="D128" s="290"/>
      <c r="E128" s="290"/>
      <c r="F128" s="290"/>
      <c r="G128" s="290"/>
      <c r="H128" s="146"/>
    </row>
    <row r="129" spans="1:8" s="244" customFormat="1">
      <c r="A129" s="290" t="s">
        <v>601</v>
      </c>
      <c r="B129" s="290" t="s">
        <v>1680</v>
      </c>
      <c r="C129" s="290" t="s">
        <v>1681</v>
      </c>
      <c r="D129" s="290"/>
      <c r="E129" s="290"/>
      <c r="F129" s="290"/>
      <c r="G129" s="290"/>
      <c r="H129" s="146"/>
    </row>
    <row r="130" spans="1:8" s="244" customFormat="1">
      <c r="A130" s="290" t="s">
        <v>601</v>
      </c>
      <c r="B130" s="290" t="s">
        <v>1682</v>
      </c>
      <c r="C130" s="290" t="s">
        <v>1683</v>
      </c>
      <c r="D130" s="305"/>
      <c r="E130" s="290"/>
      <c r="F130" s="290"/>
      <c r="G130" s="290"/>
      <c r="H130" s="146"/>
    </row>
    <row r="131" spans="1:8" s="244" customFormat="1">
      <c r="A131" s="290" t="s">
        <v>601</v>
      </c>
      <c r="B131" s="290" t="s">
        <v>1684</v>
      </c>
      <c r="C131" s="290" t="s">
        <v>1685</v>
      </c>
      <c r="D131" s="290"/>
      <c r="E131" s="290"/>
      <c r="F131" s="290"/>
      <c r="G131" s="290"/>
      <c r="H131" s="146"/>
    </row>
    <row r="132" spans="1:8" s="244" customFormat="1">
      <c r="A132" s="290" t="s">
        <v>601</v>
      </c>
      <c r="B132" s="290" t="s">
        <v>946</v>
      </c>
      <c r="C132" s="290" t="s">
        <v>806</v>
      </c>
      <c r="D132" s="290"/>
      <c r="E132" s="290"/>
      <c r="F132" s="290"/>
      <c r="G132" s="290"/>
      <c r="H132" s="146"/>
    </row>
    <row r="133" spans="1:8" s="244" customFormat="1">
      <c r="A133" s="290" t="s">
        <v>601</v>
      </c>
      <c r="B133" s="290" t="s">
        <v>1646</v>
      </c>
      <c r="C133" s="290" t="s">
        <v>1647</v>
      </c>
      <c r="D133" s="290"/>
      <c r="E133" s="290"/>
      <c r="F133" s="290"/>
      <c r="G133" s="290"/>
      <c r="H133" s="146"/>
    </row>
    <row r="134" spans="1:8">
      <c r="A134" s="3" t="s">
        <v>1145</v>
      </c>
      <c r="B134" s="3" t="s">
        <v>922</v>
      </c>
      <c r="C134" s="3" t="s">
        <v>923</v>
      </c>
      <c r="D134" s="3"/>
      <c r="E134" s="3"/>
      <c r="F134" s="3"/>
      <c r="G134" s="3"/>
      <c r="H134" s="3"/>
    </row>
    <row r="135" spans="1:8">
      <c r="A135" s="3" t="s">
        <v>1145</v>
      </c>
      <c r="B135" s="3" t="s">
        <v>1450</v>
      </c>
      <c r="C135" s="3" t="s">
        <v>1451</v>
      </c>
      <c r="D135" s="3"/>
      <c r="E135" s="3"/>
      <c r="F135" s="3"/>
      <c r="G135" s="3"/>
      <c r="H135" s="3"/>
    </row>
    <row r="136" spans="1:8">
      <c r="A136" s="3" t="s">
        <v>1145</v>
      </c>
      <c r="B136" s="3" t="s">
        <v>1452</v>
      </c>
      <c r="C136" s="3" t="s">
        <v>1453</v>
      </c>
      <c r="D136" s="3"/>
      <c r="E136" s="3"/>
      <c r="F136" s="3"/>
      <c r="G136" s="3"/>
      <c r="H136" s="3"/>
    </row>
    <row r="137" spans="1:8">
      <c r="A137" s="3" t="s">
        <v>1145</v>
      </c>
      <c r="B137" s="3" t="s">
        <v>1686</v>
      </c>
      <c r="C137" s="3" t="s">
        <v>1687</v>
      </c>
      <c r="D137" s="3"/>
      <c r="E137" s="3"/>
      <c r="F137" s="3"/>
      <c r="G137" s="3"/>
      <c r="H137" s="3"/>
    </row>
    <row r="138" spans="1:8">
      <c r="A138" s="3" t="s">
        <v>1145</v>
      </c>
      <c r="B138" s="3" t="s">
        <v>1011</v>
      </c>
      <c r="C138" s="3" t="s">
        <v>1012</v>
      </c>
      <c r="D138" s="255" t="s">
        <v>1255</v>
      </c>
      <c r="E138" s="255" t="s">
        <v>1191</v>
      </c>
      <c r="F138" s="3"/>
      <c r="G138" s="3"/>
      <c r="H138" s="80"/>
    </row>
    <row r="139" spans="1:8">
      <c r="A139" s="3" t="s">
        <v>1145</v>
      </c>
      <c r="B139" s="3" t="s">
        <v>1688</v>
      </c>
      <c r="C139" s="3" t="s">
        <v>1689</v>
      </c>
      <c r="D139" s="255" t="s">
        <v>1690</v>
      </c>
      <c r="E139" s="3"/>
      <c r="F139" s="3"/>
      <c r="G139" s="3"/>
      <c r="H139" s="3"/>
    </row>
    <row r="140" spans="1:8">
      <c r="A140" s="3" t="s">
        <v>1145</v>
      </c>
      <c r="B140" s="3" t="s">
        <v>1691</v>
      </c>
      <c r="C140" s="3" t="s">
        <v>1692</v>
      </c>
      <c r="D140" s="255" t="s">
        <v>1693</v>
      </c>
      <c r="E140" s="3"/>
      <c r="F140" s="3"/>
      <c r="G140" s="3"/>
      <c r="H140" s="3"/>
    </row>
    <row r="141" spans="1:8">
      <c r="A141" s="3" t="s">
        <v>1145</v>
      </c>
      <c r="B141" s="3" t="s">
        <v>1694</v>
      </c>
      <c r="C141" s="3" t="s">
        <v>1695</v>
      </c>
      <c r="D141" s="3"/>
      <c r="E141" s="3"/>
      <c r="F141" s="3"/>
      <c r="G141" s="3"/>
      <c r="H141" s="3"/>
    </row>
    <row r="142" spans="1:8">
      <c r="A142" s="3" t="s">
        <v>1145</v>
      </c>
      <c r="B142" s="3" t="s">
        <v>1696</v>
      </c>
      <c r="C142" s="3" t="s">
        <v>1697</v>
      </c>
      <c r="D142" s="255" t="s">
        <v>1698</v>
      </c>
      <c r="E142" s="3"/>
      <c r="F142" s="3"/>
      <c r="G142" s="3"/>
      <c r="H142" s="3"/>
    </row>
    <row r="143" spans="1:8">
      <c r="A143" s="3" t="s">
        <v>1145</v>
      </c>
      <c r="B143" s="3" t="s">
        <v>1500</v>
      </c>
      <c r="C143" s="3" t="s">
        <v>1501</v>
      </c>
      <c r="D143" s="255" t="s">
        <v>1618</v>
      </c>
      <c r="E143" s="255" t="s">
        <v>1699</v>
      </c>
      <c r="F143" s="3"/>
      <c r="G143" s="3"/>
      <c r="H143" s="3"/>
    </row>
    <row r="144" spans="1:8">
      <c r="A144" s="3" t="s">
        <v>1145</v>
      </c>
      <c r="B144" s="3" t="s">
        <v>1700</v>
      </c>
      <c r="C144" s="3" t="s">
        <v>1701</v>
      </c>
      <c r="D144" s="3"/>
      <c r="E144" s="3"/>
      <c r="F144" s="3"/>
      <c r="G144" s="3"/>
      <c r="H144" s="3"/>
    </row>
    <row r="145" spans="1:8" ht="30">
      <c r="A145" s="3" t="s">
        <v>1145</v>
      </c>
      <c r="B145" s="3" t="s">
        <v>1702</v>
      </c>
      <c r="C145" s="3" t="s">
        <v>1703</v>
      </c>
      <c r="D145" s="20" t="s">
        <v>1189</v>
      </c>
      <c r="E145" s="3"/>
      <c r="F145" s="3"/>
      <c r="G145" s="3"/>
      <c r="H145" s="3"/>
    </row>
    <row r="146" spans="1:8">
      <c r="A146" s="3" t="s">
        <v>1145</v>
      </c>
      <c r="B146" s="3" t="s">
        <v>1704</v>
      </c>
      <c r="C146" s="3" t="s">
        <v>1705</v>
      </c>
      <c r="D146" s="3"/>
      <c r="E146" s="3"/>
      <c r="F146" s="3"/>
      <c r="G146" s="3"/>
      <c r="H146" s="3"/>
    </row>
    <row r="147" spans="1:8">
      <c r="A147" s="3" t="s">
        <v>1145</v>
      </c>
      <c r="B147" s="3" t="s">
        <v>1706</v>
      </c>
      <c r="C147" s="3" t="s">
        <v>1707</v>
      </c>
      <c r="D147" s="3"/>
      <c r="E147" s="3"/>
      <c r="F147" s="3"/>
      <c r="G147" s="3"/>
      <c r="H147" s="3"/>
    </row>
    <row r="148" spans="1:8" ht="30">
      <c r="A148" s="3" t="s">
        <v>1145</v>
      </c>
      <c r="B148" s="3" t="s">
        <v>1708</v>
      </c>
      <c r="C148" s="3" t="s">
        <v>1709</v>
      </c>
      <c r="D148" s="20" t="s">
        <v>1189</v>
      </c>
      <c r="E148" s="3"/>
      <c r="F148" s="3"/>
      <c r="G148" s="3"/>
      <c r="H148" s="3"/>
    </row>
    <row r="149" spans="1:8">
      <c r="A149" s="3" t="s">
        <v>1145</v>
      </c>
      <c r="B149" s="3" t="s">
        <v>1276</v>
      </c>
      <c r="C149" s="3" t="s">
        <v>1277</v>
      </c>
      <c r="D149" s="255" t="s">
        <v>1300</v>
      </c>
      <c r="E149" s="3"/>
      <c r="F149" s="3"/>
      <c r="G149" s="3"/>
      <c r="H149" s="3"/>
    </row>
    <row r="150" spans="1:8">
      <c r="A150" s="3" t="s">
        <v>1145</v>
      </c>
      <c r="B150" s="3" t="s">
        <v>1710</v>
      </c>
      <c r="C150" s="3" t="s">
        <v>1711</v>
      </c>
      <c r="D150" s="3"/>
      <c r="E150" s="3"/>
      <c r="F150" s="3"/>
      <c r="G150" s="3"/>
      <c r="H150" s="3"/>
    </row>
    <row r="151" spans="1:8">
      <c r="A151" s="3" t="s">
        <v>1145</v>
      </c>
      <c r="B151" s="3" t="s">
        <v>1712</v>
      </c>
      <c r="C151" s="3" t="s">
        <v>1713</v>
      </c>
      <c r="D151" s="3"/>
      <c r="E151" s="3"/>
      <c r="F151" s="3"/>
      <c r="G151" s="3"/>
      <c r="H151" s="3"/>
    </row>
    <row r="152" spans="1:8">
      <c r="A152" s="3" t="s">
        <v>1145</v>
      </c>
      <c r="B152" s="3" t="s">
        <v>1714</v>
      </c>
      <c r="C152" s="3" t="s">
        <v>1715</v>
      </c>
      <c r="D152" s="3"/>
      <c r="E152" s="3"/>
      <c r="F152" s="3"/>
      <c r="G152" s="3"/>
      <c r="H152" s="3"/>
    </row>
    <row r="153" spans="1:8">
      <c r="A153" s="3" t="s">
        <v>1145</v>
      </c>
      <c r="B153" s="3" t="s">
        <v>1716</v>
      </c>
      <c r="C153" s="3" t="s">
        <v>1717</v>
      </c>
      <c r="D153" s="3"/>
      <c r="E153" s="3"/>
      <c r="F153" s="3"/>
      <c r="G153" s="3"/>
      <c r="H153" s="3"/>
    </row>
    <row r="154" spans="1:8">
      <c r="A154" s="3" t="s">
        <v>1145</v>
      </c>
      <c r="B154" s="3" t="s">
        <v>1718</v>
      </c>
      <c r="C154" s="3" t="s">
        <v>1719</v>
      </c>
      <c r="D154" s="3"/>
      <c r="E154" s="3"/>
      <c r="F154" s="3"/>
      <c r="G154" s="3"/>
      <c r="H154" s="80"/>
    </row>
    <row r="155" spans="1:8" ht="30">
      <c r="A155" s="3" t="s">
        <v>1145</v>
      </c>
      <c r="B155" s="3" t="s">
        <v>1720</v>
      </c>
      <c r="C155" s="3" t="s">
        <v>1721</v>
      </c>
      <c r="D155" s="20" t="s">
        <v>1189</v>
      </c>
      <c r="E155" s="3"/>
      <c r="F155" s="3"/>
      <c r="G155" s="211"/>
      <c r="H155" s="3"/>
    </row>
    <row r="156" spans="1:8">
      <c r="A156" s="3" t="s">
        <v>1145</v>
      </c>
      <c r="B156" s="3" t="s">
        <v>1522</v>
      </c>
      <c r="C156" s="3" t="s">
        <v>1523</v>
      </c>
      <c r="D156" s="255" t="s">
        <v>1524</v>
      </c>
      <c r="E156" s="3"/>
      <c r="F156" s="3"/>
      <c r="G156" s="211"/>
      <c r="H156" s="3"/>
    </row>
    <row r="157" spans="1:8">
      <c r="A157" s="3" t="s">
        <v>1145</v>
      </c>
      <c r="B157" s="3" t="s">
        <v>1722</v>
      </c>
      <c r="C157" s="3" t="s">
        <v>1723</v>
      </c>
      <c r="D157" s="255" t="s">
        <v>1724</v>
      </c>
      <c r="E157" s="3"/>
      <c r="F157" s="3"/>
      <c r="G157" s="211"/>
      <c r="H157" s="3"/>
    </row>
    <row r="158" spans="1:8">
      <c r="A158" s="80" t="s">
        <v>1145</v>
      </c>
      <c r="B158" s="80" t="s">
        <v>946</v>
      </c>
      <c r="C158" s="80" t="s">
        <v>806</v>
      </c>
      <c r="D158" s="80"/>
      <c r="E158" s="80"/>
      <c r="F158" s="80"/>
      <c r="G158" s="203"/>
      <c r="H158" s="3"/>
    </row>
    <row r="159" spans="1:8">
      <c r="A159" s="146" t="s">
        <v>654</v>
      </c>
      <c r="B159" s="146" t="s">
        <v>922</v>
      </c>
      <c r="C159" s="146" t="s">
        <v>923</v>
      </c>
      <c r="D159" s="146"/>
      <c r="E159" s="146"/>
      <c r="F159" s="146"/>
      <c r="G159" s="211"/>
      <c r="H159" s="3"/>
    </row>
    <row r="160" spans="1:8">
      <c r="A160" s="146" t="s">
        <v>654</v>
      </c>
      <c r="B160" s="146" t="s">
        <v>924</v>
      </c>
      <c r="C160" s="146" t="s">
        <v>564</v>
      </c>
      <c r="D160" s="288" t="s">
        <v>788</v>
      </c>
      <c r="E160" s="288" t="s">
        <v>1237</v>
      </c>
      <c r="F160" s="288" t="s">
        <v>1237</v>
      </c>
      <c r="G160" s="211"/>
      <c r="H160" s="3"/>
    </row>
    <row r="161" spans="1:8">
      <c r="A161" s="146" t="s">
        <v>654</v>
      </c>
      <c r="B161" s="146" t="s">
        <v>926</v>
      </c>
      <c r="C161" s="146" t="s">
        <v>802</v>
      </c>
      <c r="D161" s="288" t="s">
        <v>803</v>
      </c>
      <c r="E161" s="288" t="s">
        <v>1237</v>
      </c>
      <c r="F161" s="288" t="s">
        <v>804</v>
      </c>
      <c r="G161" s="211"/>
      <c r="H161" s="3"/>
    </row>
    <row r="162" spans="1:8">
      <c r="A162" s="146" t="s">
        <v>654</v>
      </c>
      <c r="B162" s="146" t="s">
        <v>928</v>
      </c>
      <c r="C162" s="146" t="s">
        <v>784</v>
      </c>
      <c r="D162" s="288" t="s">
        <v>785</v>
      </c>
      <c r="E162" s="288" t="s">
        <v>1237</v>
      </c>
      <c r="F162" s="288" t="s">
        <v>786</v>
      </c>
      <c r="G162" s="211"/>
      <c r="H162" s="3"/>
    </row>
    <row r="163" spans="1:8">
      <c r="A163" s="146" t="s">
        <v>654</v>
      </c>
      <c r="B163" s="146" t="s">
        <v>933</v>
      </c>
      <c r="C163" s="146" t="s">
        <v>798</v>
      </c>
      <c r="D163" s="146"/>
      <c r="E163" s="146"/>
      <c r="F163" s="146"/>
      <c r="G163" s="211"/>
      <c r="H163" s="3"/>
    </row>
    <row r="164" spans="1:8">
      <c r="A164" s="146" t="s">
        <v>654</v>
      </c>
      <c r="B164" s="146" t="s">
        <v>1500</v>
      </c>
      <c r="C164" s="146" t="s">
        <v>1501</v>
      </c>
      <c r="D164" s="288" t="s">
        <v>1618</v>
      </c>
      <c r="E164" s="288" t="s">
        <v>1699</v>
      </c>
      <c r="F164" s="288" t="s">
        <v>786</v>
      </c>
      <c r="G164" s="211"/>
      <c r="H164" s="3"/>
    </row>
    <row r="165" spans="1:8" ht="30">
      <c r="A165" s="146" t="s">
        <v>654</v>
      </c>
      <c r="B165" s="146" t="s">
        <v>1421</v>
      </c>
      <c r="C165" s="146" t="s">
        <v>1422</v>
      </c>
      <c r="D165" s="289" t="s">
        <v>1189</v>
      </c>
      <c r="E165" s="146"/>
      <c r="F165" s="146"/>
      <c r="G165" s="211"/>
      <c r="H165" s="3"/>
    </row>
    <row r="166" spans="1:8">
      <c r="A166" s="146" t="s">
        <v>654</v>
      </c>
      <c r="B166" s="146" t="s">
        <v>939</v>
      </c>
      <c r="C166" s="146" t="s">
        <v>821</v>
      </c>
      <c r="D166" s="146"/>
      <c r="E166" s="146"/>
      <c r="F166" s="146"/>
      <c r="G166" s="211"/>
      <c r="H166" s="3"/>
    </row>
    <row r="167" spans="1:8">
      <c r="A167" s="146" t="s">
        <v>654</v>
      </c>
      <c r="B167" s="146" t="s">
        <v>940</v>
      </c>
      <c r="C167" s="146" t="s">
        <v>818</v>
      </c>
      <c r="D167" s="146"/>
      <c r="E167" s="146"/>
      <c r="F167" s="146"/>
      <c r="G167" s="211"/>
      <c r="H167" s="3"/>
    </row>
    <row r="168" spans="1:8">
      <c r="A168" s="146" t="s">
        <v>654</v>
      </c>
      <c r="B168" s="146" t="s">
        <v>1426</v>
      </c>
      <c r="C168" s="146" t="s">
        <v>1427</v>
      </c>
      <c r="D168" s="290" t="s">
        <v>1725</v>
      </c>
      <c r="E168" s="290" t="s">
        <v>1237</v>
      </c>
      <c r="F168" s="290" t="s">
        <v>804</v>
      </c>
      <c r="G168" s="211"/>
      <c r="H168" s="3"/>
    </row>
    <row r="169" spans="1:8">
      <c r="A169" s="146" t="s">
        <v>654</v>
      </c>
      <c r="B169" s="146" t="s">
        <v>1429</v>
      </c>
      <c r="C169" s="146" t="s">
        <v>1430</v>
      </c>
      <c r="D169" s="290" t="s">
        <v>1428</v>
      </c>
      <c r="E169" s="290" t="s">
        <v>1237</v>
      </c>
      <c r="F169" s="290" t="s">
        <v>804</v>
      </c>
      <c r="G169" s="211"/>
      <c r="H169" s="3"/>
    </row>
    <row r="170" spans="1:8" ht="30">
      <c r="A170" s="146" t="s">
        <v>654</v>
      </c>
      <c r="B170" s="146" t="s">
        <v>1431</v>
      </c>
      <c r="C170" s="146" t="s">
        <v>1432</v>
      </c>
      <c r="D170" s="289" t="s">
        <v>1189</v>
      </c>
      <c r="E170" s="146"/>
      <c r="F170" s="146"/>
      <c r="G170" s="211"/>
      <c r="H170" s="3"/>
    </row>
    <row r="171" spans="1:8">
      <c r="A171" s="146" t="s">
        <v>654</v>
      </c>
      <c r="B171" s="146" t="s">
        <v>945</v>
      </c>
      <c r="C171" s="146" t="s">
        <v>800</v>
      </c>
      <c r="D171" s="146"/>
      <c r="E171" s="146"/>
      <c r="F171" s="146"/>
      <c r="G171" s="211"/>
      <c r="H171" s="3"/>
    </row>
    <row r="172" spans="1:8">
      <c r="A172" s="146" t="s">
        <v>654</v>
      </c>
      <c r="B172" s="146" t="s">
        <v>1726</v>
      </c>
      <c r="C172" s="146" t="s">
        <v>318</v>
      </c>
      <c r="D172" s="146"/>
      <c r="E172" s="146"/>
      <c r="F172" s="146"/>
      <c r="G172" s="211"/>
      <c r="H172" s="3"/>
    </row>
    <row r="173" spans="1:8">
      <c r="A173" s="146" t="s">
        <v>654</v>
      </c>
      <c r="B173" s="146" t="s">
        <v>1727</v>
      </c>
      <c r="C173" s="146" t="s">
        <v>1424</v>
      </c>
      <c r="D173" s="290" t="s">
        <v>1728</v>
      </c>
      <c r="E173" s="290" t="s">
        <v>1237</v>
      </c>
      <c r="F173" s="290" t="s">
        <v>786</v>
      </c>
      <c r="G173" s="211"/>
      <c r="H173" s="3"/>
    </row>
    <row r="174" spans="1:8">
      <c r="A174" s="146" t="s">
        <v>654</v>
      </c>
      <c r="B174" s="146" t="s">
        <v>1522</v>
      </c>
      <c r="C174" s="146" t="s">
        <v>1523</v>
      </c>
      <c r="D174" s="290" t="s">
        <v>1524</v>
      </c>
      <c r="E174" s="290" t="s">
        <v>1237</v>
      </c>
      <c r="F174" s="290" t="s">
        <v>786</v>
      </c>
      <c r="G174" s="211"/>
      <c r="H174" s="3"/>
    </row>
    <row r="175" spans="1:8">
      <c r="A175" s="146" t="s">
        <v>654</v>
      </c>
      <c r="B175" s="146" t="s">
        <v>1722</v>
      </c>
      <c r="C175" s="146" t="s">
        <v>1723</v>
      </c>
      <c r="D175" s="290" t="s">
        <v>1724</v>
      </c>
      <c r="E175" s="290" t="s">
        <v>1237</v>
      </c>
      <c r="F175" s="290" t="s">
        <v>1237</v>
      </c>
      <c r="G175" s="211"/>
      <c r="H175" s="3"/>
    </row>
    <row r="176" spans="1:8">
      <c r="A176" s="146" t="s">
        <v>654</v>
      </c>
      <c r="B176" s="146" t="s">
        <v>946</v>
      </c>
      <c r="C176" s="146" t="s">
        <v>806</v>
      </c>
      <c r="D176" s="146"/>
      <c r="E176" s="146"/>
      <c r="F176" s="146"/>
      <c r="G176" s="211"/>
      <c r="H176" s="3"/>
    </row>
  </sheetData>
  <mergeCells count="2">
    <mergeCell ref="C2:H2"/>
    <mergeCell ref="C3:H3"/>
  </mergeCells>
  <hyperlinks>
    <hyperlink ref="B1" location="Summary!A1" display="Summary" xr:uid="{DA0F15CC-A64A-4B67-94B7-35A949E536D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7121-F070-48C1-8D76-A69AB9274E5D}">
  <dimension ref="A1:K184"/>
  <sheetViews>
    <sheetView workbookViewId="0"/>
  </sheetViews>
  <sheetFormatPr defaultRowHeight="15"/>
  <cols>
    <col min="1" max="8" width="26.5703125" customWidth="1"/>
  </cols>
  <sheetData>
    <row r="1" spans="1:11">
      <c r="A1" s="28" t="s">
        <v>773</v>
      </c>
    </row>
    <row r="2" spans="1:11">
      <c r="A2" s="29" t="s">
        <v>1729</v>
      </c>
    </row>
    <row r="4" spans="1:11">
      <c r="A4" s="285" t="s">
        <v>550</v>
      </c>
      <c r="B4" s="286" t="s">
        <v>775</v>
      </c>
      <c r="C4" s="74" t="s">
        <v>776</v>
      </c>
      <c r="D4" s="74" t="s">
        <v>777</v>
      </c>
      <c r="E4" s="74" t="s">
        <v>778</v>
      </c>
      <c r="F4" s="75" t="s">
        <v>779</v>
      </c>
      <c r="G4" s="75" t="s">
        <v>568</v>
      </c>
      <c r="H4" s="75" t="s">
        <v>780</v>
      </c>
      <c r="K4" t="s">
        <v>1730</v>
      </c>
    </row>
    <row r="5" spans="1:11">
      <c r="A5" s="3" t="s">
        <v>1731</v>
      </c>
      <c r="B5" s="3" t="s">
        <v>984</v>
      </c>
      <c r="C5" s="3" t="s">
        <v>985</v>
      </c>
      <c r="D5" s="3"/>
      <c r="E5" s="3"/>
      <c r="F5" s="3"/>
      <c r="G5" s="3"/>
      <c r="H5" s="3"/>
      <c r="K5" t="s">
        <v>1732</v>
      </c>
    </row>
    <row r="6" spans="1:11">
      <c r="A6" s="3" t="s">
        <v>1731</v>
      </c>
      <c r="B6" s="3" t="s">
        <v>1733</v>
      </c>
      <c r="C6" s="3" t="s">
        <v>1734</v>
      </c>
      <c r="D6" s="3"/>
      <c r="E6" s="3"/>
      <c r="F6" s="3"/>
      <c r="G6" s="3"/>
      <c r="H6" s="3"/>
    </row>
    <row r="7" spans="1:11">
      <c r="A7" s="3" t="s">
        <v>1731</v>
      </c>
      <c r="B7" s="3" t="s">
        <v>1735</v>
      </c>
      <c r="C7" s="3" t="s">
        <v>911</v>
      </c>
      <c r="D7" s="3"/>
      <c r="E7" s="3"/>
      <c r="F7" s="3"/>
      <c r="G7" s="3" t="s">
        <v>1736</v>
      </c>
      <c r="H7" s="3"/>
      <c r="K7" t="s">
        <v>1737</v>
      </c>
    </row>
    <row r="8" spans="1:11">
      <c r="A8" s="3" t="s">
        <v>1731</v>
      </c>
      <c r="B8" s="3" t="s">
        <v>1738</v>
      </c>
      <c r="C8" s="3" t="s">
        <v>1739</v>
      </c>
      <c r="D8" s="3"/>
      <c r="E8" s="3"/>
      <c r="F8" s="3"/>
      <c r="G8" s="3"/>
      <c r="H8" s="3"/>
    </row>
    <row r="9" spans="1:11">
      <c r="A9" s="3" t="s">
        <v>1731</v>
      </c>
      <c r="B9" s="3" t="s">
        <v>1740</v>
      </c>
      <c r="C9" s="3" t="s">
        <v>1741</v>
      </c>
      <c r="D9" s="3"/>
      <c r="E9" s="3"/>
      <c r="F9" s="3"/>
      <c r="G9" s="3"/>
      <c r="H9" s="3"/>
    </row>
    <row r="10" spans="1:11">
      <c r="A10" s="3" t="s">
        <v>1731</v>
      </c>
      <c r="B10" s="3" t="s">
        <v>1742</v>
      </c>
      <c r="C10" s="3" t="s">
        <v>1743</v>
      </c>
      <c r="D10" s="3"/>
      <c r="E10" s="3"/>
      <c r="F10" s="3"/>
      <c r="G10" s="3"/>
      <c r="H10" s="3"/>
    </row>
    <row r="11" spans="1:11">
      <c r="A11" s="3" t="s">
        <v>1731</v>
      </c>
      <c r="B11" s="3" t="s">
        <v>1627</v>
      </c>
      <c r="C11" s="3" t="s">
        <v>1611</v>
      </c>
      <c r="D11" s="3"/>
      <c r="E11" s="3"/>
      <c r="F11" s="3"/>
      <c r="G11" s="3"/>
      <c r="H11" s="3"/>
    </row>
    <row r="12" spans="1:11">
      <c r="A12" s="3" t="s">
        <v>1731</v>
      </c>
      <c r="B12" s="3" t="s">
        <v>1744</v>
      </c>
      <c r="C12" s="3" t="s">
        <v>1745</v>
      </c>
      <c r="D12" s="3"/>
      <c r="E12" s="3"/>
      <c r="F12" s="3"/>
      <c r="G12" s="3"/>
      <c r="H12" s="3"/>
    </row>
    <row r="13" spans="1:11">
      <c r="A13" s="3" t="s">
        <v>1731</v>
      </c>
      <c r="B13" s="3" t="s">
        <v>1746</v>
      </c>
      <c r="C13" s="3" t="s">
        <v>1747</v>
      </c>
      <c r="D13" s="3"/>
      <c r="E13" s="3"/>
      <c r="F13" s="3"/>
      <c r="G13" s="3"/>
      <c r="H13" s="3"/>
    </row>
    <row r="14" spans="1:11">
      <c r="A14" s="3" t="s">
        <v>1731</v>
      </c>
      <c r="B14" s="3" t="s">
        <v>1204</v>
      </c>
      <c r="C14" s="3" t="s">
        <v>1205</v>
      </c>
      <c r="D14" s="3"/>
      <c r="E14" s="3"/>
      <c r="F14" s="3"/>
      <c r="G14" s="3"/>
      <c r="H14" s="3"/>
    </row>
    <row r="15" spans="1:11">
      <c r="A15" s="3" t="s">
        <v>1731</v>
      </c>
      <c r="B15" s="3" t="s">
        <v>1748</v>
      </c>
      <c r="C15" s="3" t="s">
        <v>1749</v>
      </c>
      <c r="D15" s="3"/>
      <c r="E15" s="3"/>
      <c r="F15" s="3"/>
      <c r="G15" s="3"/>
      <c r="H15" s="3"/>
    </row>
    <row r="16" spans="1:11">
      <c r="A16" s="3" t="s">
        <v>1731</v>
      </c>
      <c r="B16" s="3" t="s">
        <v>1750</v>
      </c>
      <c r="C16" s="3" t="s">
        <v>1751</v>
      </c>
      <c r="D16" s="3"/>
      <c r="E16" s="3"/>
      <c r="F16" s="3"/>
      <c r="G16" s="3"/>
      <c r="H16" s="3"/>
    </row>
    <row r="17" spans="1:8">
      <c r="A17" s="3" t="s">
        <v>1731</v>
      </c>
      <c r="B17" s="3" t="s">
        <v>1752</v>
      </c>
      <c r="C17" s="3" t="s">
        <v>1753</v>
      </c>
      <c r="D17" s="3"/>
      <c r="E17" s="3"/>
      <c r="F17" s="3"/>
      <c r="G17" s="3"/>
      <c r="H17" s="3"/>
    </row>
    <row r="18" spans="1:8">
      <c r="A18" s="3" t="s">
        <v>1731</v>
      </c>
      <c r="B18" s="3" t="s">
        <v>1754</v>
      </c>
      <c r="C18" s="3" t="s">
        <v>1755</v>
      </c>
      <c r="D18" s="3"/>
      <c r="E18" s="3"/>
      <c r="F18" s="3"/>
      <c r="G18" s="3" t="s">
        <v>1756</v>
      </c>
      <c r="H18" s="3"/>
    </row>
    <row r="19" spans="1:8">
      <c r="A19" s="3" t="s">
        <v>1731</v>
      </c>
      <c r="B19" s="3" t="s">
        <v>1757</v>
      </c>
      <c r="C19" s="3" t="s">
        <v>1758</v>
      </c>
      <c r="D19" s="3"/>
      <c r="E19" s="3"/>
      <c r="F19" s="3"/>
      <c r="G19" s="3"/>
      <c r="H19" s="3"/>
    </row>
    <row r="20" spans="1:8">
      <c r="A20" s="3" t="s">
        <v>1731</v>
      </c>
      <c r="B20" s="3" t="s">
        <v>1759</v>
      </c>
      <c r="C20" s="3" t="s">
        <v>1760</v>
      </c>
      <c r="D20" s="3"/>
      <c r="E20" s="3"/>
      <c r="F20" s="3"/>
      <c r="G20" s="3"/>
      <c r="H20" s="3"/>
    </row>
    <row r="21" spans="1:8">
      <c r="A21" s="3" t="s">
        <v>1731</v>
      </c>
      <c r="B21" s="3" t="s">
        <v>1761</v>
      </c>
      <c r="C21" s="3" t="s">
        <v>1762</v>
      </c>
      <c r="D21" s="3"/>
      <c r="E21" s="3"/>
      <c r="F21" s="3"/>
      <c r="G21" s="3"/>
      <c r="H21" s="3"/>
    </row>
    <row r="22" spans="1:8">
      <c r="A22" s="3" t="s">
        <v>1731</v>
      </c>
      <c r="B22" s="3" t="s">
        <v>1763</v>
      </c>
      <c r="C22" s="3" t="s">
        <v>1764</v>
      </c>
      <c r="D22" s="3"/>
      <c r="E22" s="3"/>
      <c r="F22" s="3"/>
      <c r="G22" s="3"/>
      <c r="H22" s="3"/>
    </row>
    <row r="23" spans="1:8">
      <c r="A23" s="3" t="s">
        <v>1731</v>
      </c>
      <c r="B23" s="3" t="s">
        <v>1765</v>
      </c>
      <c r="C23" s="3" t="s">
        <v>1766</v>
      </c>
      <c r="D23" s="3"/>
      <c r="E23" s="3"/>
      <c r="F23" s="3"/>
      <c r="G23" s="3"/>
      <c r="H23" s="3"/>
    </row>
    <row r="24" spans="1:8">
      <c r="A24" s="3" t="s">
        <v>1731</v>
      </c>
      <c r="B24" s="3" t="s">
        <v>1767</v>
      </c>
      <c r="C24" s="3" t="s">
        <v>1768</v>
      </c>
      <c r="D24" s="3"/>
      <c r="E24" s="3"/>
      <c r="F24" s="3"/>
      <c r="G24" s="3"/>
      <c r="H24" s="3"/>
    </row>
    <row r="25" spans="1:8">
      <c r="A25" s="3" t="s">
        <v>1731</v>
      </c>
      <c r="B25" s="3" t="s">
        <v>1769</v>
      </c>
      <c r="C25" s="3" t="s">
        <v>1770</v>
      </c>
      <c r="D25" s="3"/>
      <c r="E25" s="3"/>
      <c r="F25" s="3"/>
      <c r="G25" s="3"/>
      <c r="H25" s="3"/>
    </row>
    <row r="26" spans="1:8">
      <c r="A26" s="3" t="s">
        <v>1731</v>
      </c>
      <c r="B26" s="3" t="s">
        <v>1771</v>
      </c>
      <c r="C26" s="3" t="s">
        <v>1772</v>
      </c>
      <c r="D26" s="3"/>
      <c r="E26" s="3"/>
      <c r="F26" s="3"/>
      <c r="G26" s="3"/>
      <c r="H26" s="3"/>
    </row>
    <row r="27" spans="1:8">
      <c r="A27" s="3" t="s">
        <v>1731</v>
      </c>
      <c r="B27" s="3" t="s">
        <v>946</v>
      </c>
      <c r="C27" s="3" t="s">
        <v>806</v>
      </c>
      <c r="D27" s="3"/>
      <c r="E27" s="3"/>
      <c r="F27" s="3"/>
      <c r="G27" s="3"/>
      <c r="H27" s="3"/>
    </row>
    <row r="28" spans="1:8">
      <c r="A28" s="3" t="s">
        <v>1171</v>
      </c>
      <c r="B28" s="3" t="s">
        <v>1735</v>
      </c>
      <c r="C28" s="3" t="s">
        <v>911</v>
      </c>
      <c r="D28" s="3" t="s">
        <v>1773</v>
      </c>
      <c r="E28" s="3" t="s">
        <v>1774</v>
      </c>
      <c r="F28" s="3"/>
      <c r="G28" s="3"/>
      <c r="H28" s="3"/>
    </row>
    <row r="29" spans="1:8">
      <c r="A29" s="3" t="s">
        <v>1171</v>
      </c>
      <c r="B29" s="3" t="s">
        <v>1775</v>
      </c>
      <c r="C29" s="3" t="s">
        <v>1776</v>
      </c>
      <c r="D29" s="3"/>
      <c r="E29" s="3"/>
      <c r="F29" s="3"/>
      <c r="G29" s="3"/>
      <c r="H29" s="3"/>
    </row>
    <row r="30" spans="1:8">
      <c r="A30" s="3" t="s">
        <v>1171</v>
      </c>
      <c r="B30" s="3" t="s">
        <v>1777</v>
      </c>
      <c r="C30" s="3" t="s">
        <v>1778</v>
      </c>
      <c r="D30" s="3"/>
      <c r="E30" s="3"/>
      <c r="F30" s="3"/>
      <c r="G30" s="3"/>
      <c r="H30" s="3"/>
    </row>
    <row r="31" spans="1:8">
      <c r="A31" s="3" t="s">
        <v>1171</v>
      </c>
      <c r="B31" s="3" t="s">
        <v>1779</v>
      </c>
      <c r="C31" s="3" t="s">
        <v>1229</v>
      </c>
      <c r="D31" s="3"/>
      <c r="E31" s="3"/>
      <c r="F31" s="3"/>
      <c r="G31" s="3"/>
      <c r="H31" s="3"/>
    </row>
    <row r="32" spans="1:8">
      <c r="A32" s="3" t="s">
        <v>1171</v>
      </c>
      <c r="B32" s="3" t="s">
        <v>1780</v>
      </c>
      <c r="C32" s="3" t="s">
        <v>1781</v>
      </c>
      <c r="D32" s="3"/>
      <c r="E32" s="3"/>
      <c r="F32" s="3"/>
      <c r="G32" s="3"/>
      <c r="H32" s="3"/>
    </row>
    <row r="33" spans="1:8">
      <c r="A33" s="3" t="s">
        <v>1171</v>
      </c>
      <c r="B33" s="3" t="s">
        <v>1204</v>
      </c>
      <c r="C33" s="3" t="s">
        <v>1205</v>
      </c>
      <c r="D33" s="3"/>
      <c r="E33" s="3"/>
      <c r="F33" s="3"/>
      <c r="G33" s="3"/>
      <c r="H33" s="3"/>
    </row>
    <row r="34" spans="1:8">
      <c r="A34" s="3" t="s">
        <v>1171</v>
      </c>
      <c r="B34" s="3" t="s">
        <v>1752</v>
      </c>
      <c r="C34" s="3" t="s">
        <v>1753</v>
      </c>
      <c r="D34" s="3"/>
      <c r="E34" s="3"/>
      <c r="F34" s="3"/>
      <c r="G34" s="3"/>
      <c r="H34" s="3"/>
    </row>
    <row r="35" spans="1:8">
      <c r="A35" s="3" t="s">
        <v>1171</v>
      </c>
      <c r="B35" s="3" t="s">
        <v>1782</v>
      </c>
      <c r="C35" s="3" t="s">
        <v>1783</v>
      </c>
      <c r="D35" s="3"/>
      <c r="E35" s="3"/>
      <c r="F35" s="3"/>
      <c r="G35" s="3"/>
      <c r="H35" s="3"/>
    </row>
    <row r="36" spans="1:8">
      <c r="A36" s="3" t="s">
        <v>1171</v>
      </c>
      <c r="B36" s="3" t="s">
        <v>1664</v>
      </c>
      <c r="C36" s="3" t="s">
        <v>1665</v>
      </c>
      <c r="D36" s="3"/>
      <c r="E36" s="3"/>
      <c r="F36" s="3"/>
      <c r="G36" s="3"/>
      <c r="H36" s="3"/>
    </row>
    <row r="37" spans="1:8">
      <c r="A37" s="3" t="s">
        <v>1171</v>
      </c>
      <c r="B37" s="3" t="s">
        <v>1784</v>
      </c>
      <c r="C37" s="3" t="s">
        <v>1785</v>
      </c>
      <c r="D37" s="3"/>
      <c r="E37" s="3"/>
      <c r="F37" s="3"/>
      <c r="G37" s="3"/>
      <c r="H37" s="3"/>
    </row>
    <row r="38" spans="1:8">
      <c r="A38" s="3" t="s">
        <v>1171</v>
      </c>
      <c r="B38" s="3" t="s">
        <v>1786</v>
      </c>
      <c r="C38" s="3" t="s">
        <v>1787</v>
      </c>
      <c r="D38" s="3"/>
      <c r="E38" s="3"/>
      <c r="F38" s="3"/>
      <c r="G38" s="3"/>
      <c r="H38" s="3"/>
    </row>
    <row r="39" spans="1:8">
      <c r="A39" s="3" t="s">
        <v>1171</v>
      </c>
      <c r="B39" s="3" t="s">
        <v>1788</v>
      </c>
      <c r="C39" s="3" t="s">
        <v>1789</v>
      </c>
      <c r="D39" s="3"/>
      <c r="E39" s="3"/>
      <c r="F39" s="3"/>
      <c r="G39" s="3"/>
      <c r="H39" s="3"/>
    </row>
    <row r="40" spans="1:8">
      <c r="A40" s="3" t="s">
        <v>1171</v>
      </c>
      <c r="B40" s="3" t="s">
        <v>1790</v>
      </c>
      <c r="C40" s="3" t="s">
        <v>1791</v>
      </c>
      <c r="D40" s="3"/>
      <c r="E40" s="3"/>
      <c r="F40" s="3"/>
      <c r="G40" s="3"/>
      <c r="H40" s="3"/>
    </row>
    <row r="41" spans="1:8">
      <c r="A41" s="3" t="s">
        <v>1171</v>
      </c>
      <c r="B41" s="3" t="s">
        <v>1792</v>
      </c>
      <c r="C41" s="3" t="s">
        <v>1793</v>
      </c>
      <c r="D41" s="3"/>
      <c r="E41" s="3"/>
      <c r="F41" s="3"/>
      <c r="G41" s="3"/>
      <c r="H41" s="3"/>
    </row>
    <row r="42" spans="1:8">
      <c r="A42" s="3" t="s">
        <v>1171</v>
      </c>
      <c r="B42" s="3" t="s">
        <v>1794</v>
      </c>
      <c r="C42" s="3" t="s">
        <v>1795</v>
      </c>
      <c r="D42" s="3"/>
      <c r="E42" s="3"/>
      <c r="F42" s="3"/>
      <c r="G42" s="3"/>
      <c r="H42" s="3"/>
    </row>
    <row r="43" spans="1:8">
      <c r="A43" s="3" t="s">
        <v>1171</v>
      </c>
      <c r="B43" s="3" t="s">
        <v>1796</v>
      </c>
      <c r="C43" s="3" t="s">
        <v>1797</v>
      </c>
      <c r="D43" s="3"/>
      <c r="E43" s="3"/>
      <c r="F43" s="3"/>
      <c r="G43" s="3"/>
      <c r="H43" s="3"/>
    </row>
    <row r="44" spans="1:8">
      <c r="A44" s="3" t="s">
        <v>1171</v>
      </c>
      <c r="B44" s="3" t="s">
        <v>1798</v>
      </c>
      <c r="C44" s="3" t="s">
        <v>1799</v>
      </c>
      <c r="D44" s="3"/>
      <c r="E44" s="3"/>
      <c r="F44" s="3"/>
      <c r="G44" s="3"/>
      <c r="H44" s="3"/>
    </row>
    <row r="45" spans="1:8">
      <c r="A45" s="3" t="s">
        <v>1171</v>
      </c>
      <c r="B45" s="3" t="s">
        <v>1800</v>
      </c>
      <c r="C45" s="3" t="s">
        <v>1801</v>
      </c>
      <c r="D45" s="3"/>
      <c r="E45" s="3"/>
      <c r="F45" s="3"/>
      <c r="G45" s="3"/>
      <c r="H45" s="3"/>
    </row>
    <row r="46" spans="1:8">
      <c r="A46" s="3" t="s">
        <v>1171</v>
      </c>
      <c r="B46" s="3" t="s">
        <v>1802</v>
      </c>
      <c r="C46" s="3" t="s">
        <v>1803</v>
      </c>
      <c r="D46" s="3"/>
      <c r="E46" s="3"/>
      <c r="F46" s="3"/>
      <c r="G46" s="3"/>
      <c r="H46" s="3"/>
    </row>
    <row r="47" spans="1:8">
      <c r="A47" s="3" t="s">
        <v>1171</v>
      </c>
      <c r="B47" s="3" t="s">
        <v>1804</v>
      </c>
      <c r="C47" s="3" t="s">
        <v>1805</v>
      </c>
      <c r="D47" s="3"/>
      <c r="E47" s="3"/>
      <c r="F47" s="3"/>
      <c r="G47" s="3"/>
      <c r="H47" s="3"/>
    </row>
    <row r="48" spans="1:8">
      <c r="A48" s="3" t="s">
        <v>1171</v>
      </c>
      <c r="B48" s="3" t="s">
        <v>1806</v>
      </c>
      <c r="C48" s="3" t="s">
        <v>1807</v>
      </c>
      <c r="D48" s="3"/>
      <c r="E48" s="3"/>
      <c r="F48" s="3"/>
      <c r="G48" s="3"/>
      <c r="H48" s="3"/>
    </row>
    <row r="49" spans="1:8">
      <c r="A49" s="3" t="s">
        <v>1171</v>
      </c>
      <c r="B49" s="3" t="s">
        <v>1808</v>
      </c>
      <c r="C49" s="3" t="s">
        <v>1809</v>
      </c>
      <c r="D49" s="3"/>
      <c r="E49" s="3"/>
      <c r="F49" s="3"/>
      <c r="G49" s="3"/>
      <c r="H49" s="3"/>
    </row>
    <row r="50" spans="1:8">
      <c r="A50" s="3" t="s">
        <v>1171</v>
      </c>
      <c r="B50" s="3" t="s">
        <v>1810</v>
      </c>
      <c r="C50" s="3" t="s">
        <v>1811</v>
      </c>
      <c r="D50" s="3"/>
      <c r="E50" s="3"/>
      <c r="F50" s="3"/>
      <c r="G50" s="3"/>
      <c r="H50" s="3"/>
    </row>
    <row r="51" spans="1:8">
      <c r="A51" s="3" t="s">
        <v>1171</v>
      </c>
      <c r="B51" s="3" t="s">
        <v>1812</v>
      </c>
      <c r="C51" s="3" t="s">
        <v>1813</v>
      </c>
      <c r="D51" s="3"/>
      <c r="E51" s="3"/>
      <c r="F51" s="3"/>
      <c r="G51" s="3"/>
      <c r="H51" s="3"/>
    </row>
    <row r="52" spans="1:8">
      <c r="A52" s="3" t="s">
        <v>1171</v>
      </c>
      <c r="B52" s="3" t="s">
        <v>1635</v>
      </c>
      <c r="C52" s="3" t="s">
        <v>1636</v>
      </c>
      <c r="D52" s="3"/>
      <c r="E52" s="3"/>
      <c r="F52" s="3"/>
      <c r="G52" s="3"/>
      <c r="H52" s="3"/>
    </row>
    <row r="53" spans="1:8">
      <c r="A53" s="3" t="s">
        <v>1171</v>
      </c>
      <c r="B53" s="3" t="s">
        <v>1637</v>
      </c>
      <c r="C53" s="3" t="s">
        <v>1638</v>
      </c>
      <c r="D53" s="3"/>
      <c r="E53" s="3"/>
      <c r="F53" s="3"/>
      <c r="G53" s="3"/>
      <c r="H53" s="3"/>
    </row>
    <row r="54" spans="1:8" s="248" customFormat="1">
      <c r="A54" s="300" t="s">
        <v>1171</v>
      </c>
      <c r="B54" s="300" t="s">
        <v>1814</v>
      </c>
      <c r="C54" s="300" t="s">
        <v>1815</v>
      </c>
      <c r="D54" s="300"/>
      <c r="E54" s="300" t="s">
        <v>1816</v>
      </c>
      <c r="F54" s="300"/>
      <c r="G54" s="300"/>
      <c r="H54" s="300"/>
    </row>
    <row r="55" spans="1:8">
      <c r="A55" s="3" t="s">
        <v>1171</v>
      </c>
      <c r="B55" s="3" t="s">
        <v>1817</v>
      </c>
      <c r="C55" s="3" t="s">
        <v>1818</v>
      </c>
      <c r="D55" s="3"/>
      <c r="E55" s="3"/>
      <c r="F55" s="3"/>
      <c r="G55" s="3"/>
      <c r="H55" s="3"/>
    </row>
    <row r="56" spans="1:8">
      <c r="A56" s="3" t="s">
        <v>1171</v>
      </c>
      <c r="B56" s="3" t="s">
        <v>1819</v>
      </c>
      <c r="C56" s="3" t="s">
        <v>1820</v>
      </c>
      <c r="D56" s="3"/>
      <c r="E56" s="3"/>
      <c r="F56" s="3"/>
      <c r="G56" s="3"/>
      <c r="H56" s="3"/>
    </row>
    <row r="57" spans="1:8">
      <c r="A57" s="3" t="s">
        <v>1171</v>
      </c>
      <c r="B57" s="3" t="s">
        <v>1821</v>
      </c>
      <c r="C57" s="3" t="s">
        <v>1822</v>
      </c>
      <c r="D57" s="3"/>
      <c r="E57" s="3"/>
      <c r="F57" s="3"/>
      <c r="G57" s="3"/>
      <c r="H57" s="3"/>
    </row>
    <row r="58" spans="1:8">
      <c r="A58" s="3" t="s">
        <v>1171</v>
      </c>
      <c r="B58" s="3" t="s">
        <v>1682</v>
      </c>
      <c r="C58" s="3" t="s">
        <v>1683</v>
      </c>
      <c r="D58" s="3"/>
      <c r="E58" s="3"/>
      <c r="F58" s="3"/>
      <c r="G58" s="3"/>
      <c r="H58" s="3"/>
    </row>
    <row r="59" spans="1:8">
      <c r="A59" s="3" t="s">
        <v>1171</v>
      </c>
      <c r="B59" s="3" t="s">
        <v>1823</v>
      </c>
      <c r="C59" s="3" t="s">
        <v>1824</v>
      </c>
      <c r="D59" s="3"/>
      <c r="E59" s="3"/>
      <c r="F59" s="3"/>
      <c r="G59" s="3"/>
      <c r="H59" s="3"/>
    </row>
    <row r="60" spans="1:8">
      <c r="A60" s="3" t="s">
        <v>1171</v>
      </c>
      <c r="B60" s="3" t="s">
        <v>1825</v>
      </c>
      <c r="C60" s="3" t="s">
        <v>1826</v>
      </c>
      <c r="D60" s="3"/>
      <c r="E60" s="3"/>
      <c r="F60" s="3"/>
      <c r="G60" s="3"/>
      <c r="H60" s="3"/>
    </row>
    <row r="61" spans="1:8">
      <c r="A61" s="3" t="s">
        <v>1171</v>
      </c>
      <c r="B61" s="3" t="s">
        <v>1827</v>
      </c>
      <c r="C61" s="3" t="s">
        <v>1828</v>
      </c>
      <c r="D61" s="3"/>
      <c r="E61" s="3"/>
      <c r="F61" s="3"/>
      <c r="G61" s="3"/>
      <c r="H61" s="3"/>
    </row>
    <row r="62" spans="1:8">
      <c r="A62" s="3" t="s">
        <v>1171</v>
      </c>
      <c r="B62" s="3" t="s">
        <v>1829</v>
      </c>
      <c r="C62" s="3" t="s">
        <v>1830</v>
      </c>
      <c r="D62" s="3"/>
      <c r="E62" s="3"/>
      <c r="F62" s="3"/>
      <c r="G62" s="3"/>
      <c r="H62" s="3"/>
    </row>
    <row r="63" spans="1:8">
      <c r="A63" s="3" t="s">
        <v>1171</v>
      </c>
      <c r="B63" s="3" t="s">
        <v>1831</v>
      </c>
      <c r="C63" s="3" t="s">
        <v>1832</v>
      </c>
      <c r="D63" s="3"/>
      <c r="E63" s="3"/>
      <c r="F63" s="3"/>
      <c r="G63" s="3"/>
      <c r="H63" s="3"/>
    </row>
    <row r="64" spans="1:8">
      <c r="A64" s="3" t="s">
        <v>1171</v>
      </c>
      <c r="B64" s="3" t="s">
        <v>1833</v>
      </c>
      <c r="C64" s="3" t="s">
        <v>1834</v>
      </c>
      <c r="D64" s="3"/>
      <c r="E64" s="3"/>
      <c r="F64" s="3"/>
      <c r="G64" s="3"/>
      <c r="H64" s="3"/>
    </row>
    <row r="65" spans="1:8">
      <c r="A65" s="80" t="s">
        <v>1171</v>
      </c>
      <c r="B65" s="80" t="s">
        <v>946</v>
      </c>
      <c r="C65" s="80" t="s">
        <v>806</v>
      </c>
      <c r="D65" s="80"/>
      <c r="E65" s="80"/>
      <c r="F65" s="80"/>
      <c r="G65" s="80"/>
      <c r="H65" s="80"/>
    </row>
    <row r="66" spans="1:8">
      <c r="A66" s="3" t="s">
        <v>584</v>
      </c>
      <c r="B66" s="3" t="s">
        <v>1627</v>
      </c>
      <c r="C66" s="3" t="s">
        <v>1611</v>
      </c>
      <c r="D66" s="3"/>
      <c r="E66" s="3"/>
      <c r="F66" s="3"/>
      <c r="G66" s="3"/>
      <c r="H66" s="3"/>
    </row>
    <row r="67" spans="1:8" s="248" customFormat="1">
      <c r="A67" s="300" t="s">
        <v>584</v>
      </c>
      <c r="B67" s="300" t="s">
        <v>924</v>
      </c>
      <c r="C67" s="300" t="s">
        <v>564</v>
      </c>
      <c r="D67" s="300"/>
      <c r="E67" s="300" t="s">
        <v>1835</v>
      </c>
      <c r="F67" s="300"/>
      <c r="G67" s="300"/>
      <c r="H67" s="300"/>
    </row>
    <row r="68" spans="1:8">
      <c r="A68" s="3" t="s">
        <v>584</v>
      </c>
      <c r="B68" s="3" t="s">
        <v>1630</v>
      </c>
      <c r="C68" s="3" t="s">
        <v>1631</v>
      </c>
      <c r="D68" s="3"/>
      <c r="E68" s="3"/>
      <c r="F68" s="3"/>
      <c r="G68" s="3"/>
      <c r="H68" s="3"/>
    </row>
    <row r="69" spans="1:8">
      <c r="A69" s="3" t="s">
        <v>584</v>
      </c>
      <c r="B69" s="3" t="s">
        <v>928</v>
      </c>
      <c r="C69" s="3" t="s">
        <v>784</v>
      </c>
      <c r="D69" s="3"/>
      <c r="E69" s="3"/>
      <c r="F69" s="3"/>
      <c r="G69" s="3"/>
      <c r="H69" s="3"/>
    </row>
    <row r="70" spans="1:8">
      <c r="A70" s="3" t="s">
        <v>584</v>
      </c>
      <c r="B70" s="3" t="s">
        <v>933</v>
      </c>
      <c r="C70" s="3" t="s">
        <v>798</v>
      </c>
      <c r="D70" s="3"/>
      <c r="E70" s="3"/>
      <c r="F70" s="3"/>
      <c r="G70" s="3"/>
      <c r="H70" s="3"/>
    </row>
    <row r="71" spans="1:8">
      <c r="A71" s="3" t="s">
        <v>584</v>
      </c>
      <c r="B71" s="3" t="s">
        <v>936</v>
      </c>
      <c r="C71" s="3" t="s">
        <v>796</v>
      </c>
      <c r="D71" s="3"/>
      <c r="E71" s="3"/>
      <c r="F71" s="3"/>
      <c r="G71" s="3"/>
      <c r="H71" s="3"/>
    </row>
    <row r="72" spans="1:8">
      <c r="A72" s="3" t="s">
        <v>584</v>
      </c>
      <c r="B72" s="80" t="s">
        <v>1632</v>
      </c>
      <c r="C72" s="80" t="s">
        <v>879</v>
      </c>
      <c r="D72" s="80"/>
      <c r="E72" s="80"/>
      <c r="F72" s="80"/>
      <c r="G72" s="80"/>
      <c r="H72" s="80"/>
    </row>
    <row r="73" spans="1:8">
      <c r="A73" s="3" t="s">
        <v>584</v>
      </c>
      <c r="B73" s="3" t="s">
        <v>939</v>
      </c>
      <c r="C73" s="3" t="s">
        <v>821</v>
      </c>
      <c r="D73" s="3"/>
      <c r="E73" s="3"/>
      <c r="F73" s="3"/>
      <c r="G73" s="3"/>
      <c r="H73" s="3"/>
    </row>
    <row r="74" spans="1:8">
      <c r="A74" s="3" t="s">
        <v>584</v>
      </c>
      <c r="B74" s="3" t="s">
        <v>940</v>
      </c>
      <c r="C74" s="3" t="s">
        <v>818</v>
      </c>
      <c r="D74" s="3"/>
      <c r="E74" s="3"/>
      <c r="F74" s="3"/>
      <c r="G74" s="3"/>
      <c r="H74" s="3"/>
    </row>
    <row r="75" spans="1:8">
      <c r="A75" s="3" t="s">
        <v>584</v>
      </c>
      <c r="B75" s="3" t="s">
        <v>1633</v>
      </c>
      <c r="C75" s="3" t="s">
        <v>1634</v>
      </c>
      <c r="D75" s="3"/>
      <c r="E75" s="3"/>
      <c r="F75" s="3"/>
      <c r="G75" s="3"/>
      <c r="H75" s="3"/>
    </row>
    <row r="76" spans="1:8" s="248" customFormat="1">
      <c r="A76" s="300" t="s">
        <v>584</v>
      </c>
      <c r="B76" s="300" t="s">
        <v>1635</v>
      </c>
      <c r="C76" s="300" t="s">
        <v>1636</v>
      </c>
      <c r="D76" s="300"/>
      <c r="E76" s="300" t="s">
        <v>1836</v>
      </c>
      <c r="F76" s="300"/>
      <c r="G76" s="300"/>
      <c r="H76" s="300"/>
    </row>
    <row r="77" spans="1:8">
      <c r="A77" s="3" t="s">
        <v>584</v>
      </c>
      <c r="B77" s="3" t="s">
        <v>1637</v>
      </c>
      <c r="C77" s="3" t="s">
        <v>1638</v>
      </c>
      <c r="D77" s="3"/>
      <c r="E77" s="3"/>
      <c r="F77" s="3"/>
      <c r="G77" s="3"/>
      <c r="H77" s="3"/>
    </row>
    <row r="78" spans="1:8">
      <c r="A78" s="3" t="s">
        <v>584</v>
      </c>
      <c r="B78" s="3" t="s">
        <v>1639</v>
      </c>
      <c r="C78" s="3" t="s">
        <v>1012</v>
      </c>
      <c r="D78" s="3"/>
      <c r="E78" s="3"/>
      <c r="F78" s="3"/>
      <c r="G78" s="3"/>
      <c r="H78" s="3"/>
    </row>
    <row r="79" spans="1:8">
      <c r="A79" s="3" t="s">
        <v>584</v>
      </c>
      <c r="B79" s="3" t="s">
        <v>944</v>
      </c>
      <c r="C79" s="3" t="s">
        <v>794</v>
      </c>
      <c r="D79" s="3"/>
      <c r="E79" s="3"/>
      <c r="F79" s="3"/>
      <c r="G79" s="3"/>
      <c r="H79" s="3"/>
    </row>
    <row r="80" spans="1:8">
      <c r="A80" s="3" t="s">
        <v>584</v>
      </c>
      <c r="B80" s="3" t="s">
        <v>945</v>
      </c>
      <c r="C80" s="3" t="s">
        <v>800</v>
      </c>
      <c r="D80" s="3"/>
      <c r="E80" s="3"/>
      <c r="F80" s="3"/>
      <c r="G80" s="3"/>
      <c r="H80" s="3"/>
    </row>
    <row r="81" spans="1:8">
      <c r="A81" s="3" t="s">
        <v>584</v>
      </c>
      <c r="B81" s="3" t="s">
        <v>1640</v>
      </c>
      <c r="C81" s="3" t="s">
        <v>1641</v>
      </c>
      <c r="D81" s="3"/>
      <c r="E81" s="3"/>
      <c r="F81" s="3"/>
      <c r="G81" s="3"/>
      <c r="H81" s="3"/>
    </row>
    <row r="82" spans="1:8">
      <c r="A82" s="3" t="s">
        <v>584</v>
      </c>
      <c r="B82" s="3" t="s">
        <v>1293</v>
      </c>
      <c r="C82" s="3" t="s">
        <v>1294</v>
      </c>
      <c r="D82" s="3"/>
      <c r="E82" s="3"/>
      <c r="F82" s="3"/>
      <c r="G82" s="3"/>
      <c r="H82" s="3"/>
    </row>
    <row r="83" spans="1:8">
      <c r="A83" s="3" t="s">
        <v>584</v>
      </c>
      <c r="B83" s="3" t="s">
        <v>1644</v>
      </c>
      <c r="C83" s="3" t="s">
        <v>1645</v>
      </c>
      <c r="D83" s="3"/>
      <c r="E83" s="3"/>
      <c r="F83" s="3"/>
      <c r="G83" s="3"/>
      <c r="H83" s="3"/>
    </row>
    <row r="84" spans="1:8">
      <c r="A84" s="3" t="s">
        <v>584</v>
      </c>
      <c r="B84" s="3" t="s">
        <v>946</v>
      </c>
      <c r="C84" s="3" t="s">
        <v>806</v>
      </c>
      <c r="D84" s="3"/>
      <c r="E84" s="3"/>
      <c r="F84" s="3"/>
      <c r="G84" s="3"/>
      <c r="H84" s="3"/>
    </row>
    <row r="85" spans="1:8" s="248" customFormat="1">
      <c r="A85" s="300" t="s">
        <v>584</v>
      </c>
      <c r="B85" s="300" t="s">
        <v>1646</v>
      </c>
      <c r="C85" s="300" t="s">
        <v>1647</v>
      </c>
      <c r="D85" s="300"/>
      <c r="E85" s="300" t="s">
        <v>1837</v>
      </c>
      <c r="F85" s="300"/>
      <c r="G85" s="300" t="s">
        <v>1838</v>
      </c>
      <c r="H85" s="300"/>
    </row>
    <row r="86" spans="1:8">
      <c r="A86" s="3" t="s">
        <v>652</v>
      </c>
      <c r="B86" s="3" t="s">
        <v>922</v>
      </c>
      <c r="C86" s="3" t="s">
        <v>923</v>
      </c>
      <c r="D86" s="3"/>
      <c r="E86" s="3"/>
      <c r="F86" s="3"/>
      <c r="G86" s="3"/>
      <c r="H86" s="3"/>
    </row>
    <row r="87" spans="1:8">
      <c r="A87" s="3" t="s">
        <v>652</v>
      </c>
      <c r="B87" s="3" t="s">
        <v>924</v>
      </c>
      <c r="C87" s="3" t="s">
        <v>564</v>
      </c>
      <c r="D87" s="3"/>
      <c r="E87" s="3" t="s">
        <v>1839</v>
      </c>
      <c r="F87" s="3"/>
      <c r="G87" s="3"/>
      <c r="H87" s="3"/>
    </row>
    <row r="88" spans="1:8">
      <c r="A88" s="3" t="s">
        <v>652</v>
      </c>
      <c r="B88" s="3" t="s">
        <v>926</v>
      </c>
      <c r="C88" s="3" t="s">
        <v>802</v>
      </c>
      <c r="D88" s="3"/>
      <c r="E88" s="3"/>
      <c r="F88" s="3"/>
      <c r="G88" s="3"/>
      <c r="H88" s="3"/>
    </row>
    <row r="89" spans="1:8">
      <c r="A89" s="3" t="s">
        <v>652</v>
      </c>
      <c r="B89" s="3" t="s">
        <v>928</v>
      </c>
      <c r="C89" s="3" t="s">
        <v>784</v>
      </c>
      <c r="D89" s="3"/>
      <c r="E89" s="3"/>
      <c r="F89" s="3"/>
      <c r="G89" s="3"/>
      <c r="H89" s="3"/>
    </row>
    <row r="90" spans="1:8">
      <c r="A90" s="3" t="s">
        <v>652</v>
      </c>
      <c r="B90" s="3" t="s">
        <v>1499</v>
      </c>
      <c r="C90" s="3" t="s">
        <v>858</v>
      </c>
      <c r="D90" s="3"/>
      <c r="E90" s="3"/>
      <c r="F90" s="3"/>
      <c r="G90" s="3"/>
      <c r="H90" s="3"/>
    </row>
    <row r="91" spans="1:8">
      <c r="A91" s="3" t="s">
        <v>652</v>
      </c>
      <c r="B91" s="3" t="s">
        <v>933</v>
      </c>
      <c r="C91" s="3" t="s">
        <v>798</v>
      </c>
      <c r="D91" s="3"/>
      <c r="E91" s="3"/>
      <c r="F91" s="3"/>
      <c r="G91" s="3"/>
      <c r="H91" s="3"/>
    </row>
    <row r="92" spans="1:8">
      <c r="A92" s="3" t="s">
        <v>652</v>
      </c>
      <c r="B92" s="3" t="s">
        <v>1098</v>
      </c>
      <c r="C92" s="3" t="s">
        <v>1099</v>
      </c>
      <c r="D92" s="3"/>
      <c r="E92" s="3"/>
      <c r="F92" s="3"/>
      <c r="G92" s="3"/>
      <c r="H92" s="3"/>
    </row>
    <row r="93" spans="1:8">
      <c r="A93" s="3" t="s">
        <v>652</v>
      </c>
      <c r="B93" s="3" t="s">
        <v>1500</v>
      </c>
      <c r="C93" s="3" t="s">
        <v>1501</v>
      </c>
      <c r="D93" s="3"/>
      <c r="E93" s="3"/>
      <c r="F93" s="3"/>
      <c r="G93" s="3"/>
      <c r="H93" s="3"/>
    </row>
    <row r="94" spans="1:8">
      <c r="A94" s="3" t="s">
        <v>652</v>
      </c>
      <c r="B94" s="3" t="s">
        <v>1502</v>
      </c>
      <c r="C94" s="3" t="s">
        <v>1503</v>
      </c>
      <c r="D94" s="3"/>
      <c r="E94" s="3"/>
      <c r="F94" s="3"/>
      <c r="G94" s="3"/>
      <c r="H94" s="3"/>
    </row>
    <row r="95" spans="1:8">
      <c r="A95" s="3" t="s">
        <v>652</v>
      </c>
      <c r="B95" s="3" t="s">
        <v>936</v>
      </c>
      <c r="C95" s="3" t="s">
        <v>796</v>
      </c>
      <c r="D95" s="3"/>
      <c r="E95" s="3"/>
      <c r="F95" s="3"/>
      <c r="G95" s="3"/>
      <c r="H95" s="3"/>
    </row>
    <row r="96" spans="1:8">
      <c r="A96" s="3" t="s">
        <v>652</v>
      </c>
      <c r="B96" s="3" t="s">
        <v>939</v>
      </c>
      <c r="C96" s="3" t="s">
        <v>821</v>
      </c>
      <c r="D96" s="3"/>
      <c r="E96" s="3"/>
      <c r="F96" s="3"/>
      <c r="G96" s="3"/>
      <c r="H96" s="3"/>
    </row>
    <row r="97" spans="1:8">
      <c r="A97" s="3" t="s">
        <v>652</v>
      </c>
      <c r="B97" s="3" t="s">
        <v>940</v>
      </c>
      <c r="C97" s="3" t="s">
        <v>818</v>
      </c>
      <c r="D97" s="3"/>
      <c r="E97" s="3"/>
      <c r="F97" s="3"/>
      <c r="G97" s="3"/>
      <c r="H97" s="3"/>
    </row>
    <row r="98" spans="1:8">
      <c r="A98" s="80" t="s">
        <v>652</v>
      </c>
      <c r="B98" s="80" t="s">
        <v>1505</v>
      </c>
      <c r="C98" s="80" t="s">
        <v>1506</v>
      </c>
      <c r="D98" s="80"/>
      <c r="E98" s="80"/>
      <c r="F98" s="80"/>
      <c r="G98" s="80"/>
      <c r="H98" s="80"/>
    </row>
    <row r="99" spans="1:8">
      <c r="A99" s="3" t="s">
        <v>652</v>
      </c>
      <c r="B99" s="3" t="s">
        <v>1031</v>
      </c>
      <c r="C99" s="3" t="s">
        <v>1032</v>
      </c>
      <c r="D99" s="3"/>
      <c r="E99" s="3"/>
      <c r="F99" s="3"/>
      <c r="G99" s="3"/>
      <c r="H99" s="3"/>
    </row>
    <row r="100" spans="1:8">
      <c r="A100" s="3" t="s">
        <v>652</v>
      </c>
      <c r="B100" s="3" t="s">
        <v>1034</v>
      </c>
      <c r="C100" s="3" t="s">
        <v>1035</v>
      </c>
      <c r="D100" s="3"/>
      <c r="E100" s="3"/>
      <c r="F100" s="3"/>
      <c r="G100" s="3"/>
      <c r="H100" s="3"/>
    </row>
    <row r="101" spans="1:8">
      <c r="A101" s="3" t="s">
        <v>652</v>
      </c>
      <c r="B101" s="3" t="s">
        <v>1509</v>
      </c>
      <c r="C101" s="3" t="s">
        <v>1510</v>
      </c>
      <c r="D101" s="3"/>
      <c r="E101" s="3"/>
      <c r="F101" s="3"/>
      <c r="G101" s="3"/>
      <c r="H101" s="3"/>
    </row>
    <row r="102" spans="1:8">
      <c r="A102" s="3" t="s">
        <v>652</v>
      </c>
      <c r="B102" s="3" t="s">
        <v>1511</v>
      </c>
      <c r="C102" s="3" t="s">
        <v>1512</v>
      </c>
      <c r="D102" s="3"/>
      <c r="E102" s="3"/>
      <c r="F102" s="3"/>
      <c r="G102" s="3"/>
      <c r="H102" s="3"/>
    </row>
    <row r="103" spans="1:8">
      <c r="A103" s="3" t="s">
        <v>652</v>
      </c>
      <c r="B103" s="3" t="s">
        <v>1513</v>
      </c>
      <c r="C103" s="3" t="s">
        <v>1514</v>
      </c>
      <c r="D103" s="3"/>
      <c r="E103" s="3"/>
      <c r="F103" s="3"/>
      <c r="G103" s="3"/>
      <c r="H103" s="3"/>
    </row>
    <row r="104" spans="1:8">
      <c r="A104" s="3" t="s">
        <v>652</v>
      </c>
      <c r="B104" s="3" t="s">
        <v>944</v>
      </c>
      <c r="C104" s="3" t="s">
        <v>794</v>
      </c>
      <c r="D104" s="3"/>
      <c r="E104" s="3"/>
      <c r="F104" s="3"/>
      <c r="G104" s="3"/>
      <c r="H104" s="3"/>
    </row>
    <row r="105" spans="1:8">
      <c r="A105" s="3" t="s">
        <v>652</v>
      </c>
      <c r="B105" s="3" t="s">
        <v>945</v>
      </c>
      <c r="C105" s="3" t="s">
        <v>800</v>
      </c>
      <c r="D105" s="3"/>
      <c r="E105" s="3"/>
      <c r="F105" s="3"/>
      <c r="G105" s="3"/>
      <c r="H105" s="3"/>
    </row>
    <row r="106" spans="1:8">
      <c r="A106" s="3" t="s">
        <v>652</v>
      </c>
      <c r="B106" s="3" t="s">
        <v>1515</v>
      </c>
      <c r="C106" s="3" t="s">
        <v>1516</v>
      </c>
      <c r="D106" s="3"/>
      <c r="E106" s="3"/>
      <c r="F106" s="3"/>
      <c r="G106" s="3"/>
      <c r="H106" s="3"/>
    </row>
    <row r="107" spans="1:8">
      <c r="A107" s="3" t="s">
        <v>652</v>
      </c>
      <c r="B107" s="3" t="s">
        <v>1517</v>
      </c>
      <c r="C107" s="3" t="s">
        <v>1518</v>
      </c>
      <c r="D107" s="3"/>
      <c r="E107" s="3"/>
      <c r="F107" s="3"/>
      <c r="G107" s="3"/>
      <c r="H107" s="3"/>
    </row>
    <row r="108" spans="1:8" s="248" customFormat="1">
      <c r="A108" s="300" t="s">
        <v>652</v>
      </c>
      <c r="B108" s="300" t="s">
        <v>1520</v>
      </c>
      <c r="C108" s="300" t="s">
        <v>1521</v>
      </c>
      <c r="D108" s="300" t="s">
        <v>1840</v>
      </c>
      <c r="E108" s="300" t="s">
        <v>1841</v>
      </c>
      <c r="F108" s="300"/>
      <c r="G108" s="300"/>
      <c r="H108" s="300"/>
    </row>
    <row r="109" spans="1:8">
      <c r="A109" s="3" t="s">
        <v>652</v>
      </c>
      <c r="B109" s="3" t="s">
        <v>1522</v>
      </c>
      <c r="C109" s="3" t="s">
        <v>1523</v>
      </c>
      <c r="D109" s="3"/>
      <c r="E109" s="3"/>
      <c r="F109" s="3"/>
      <c r="G109" s="3"/>
      <c r="H109" s="3"/>
    </row>
    <row r="110" spans="1:8">
      <c r="A110" s="3" t="s">
        <v>652</v>
      </c>
      <c r="B110" s="3" t="s">
        <v>1525</v>
      </c>
      <c r="C110" s="3" t="s">
        <v>1526</v>
      </c>
      <c r="D110" s="3"/>
      <c r="E110" s="3"/>
      <c r="F110" s="3"/>
      <c r="G110" s="3"/>
      <c r="H110" s="3"/>
    </row>
    <row r="111" spans="1:8">
      <c r="A111" s="3" t="s">
        <v>652</v>
      </c>
      <c r="B111" s="3" t="s">
        <v>1527</v>
      </c>
      <c r="C111" s="3" t="s">
        <v>315</v>
      </c>
      <c r="D111" s="3"/>
      <c r="E111" s="3"/>
      <c r="F111" s="3"/>
      <c r="G111" s="3"/>
      <c r="H111" s="3"/>
    </row>
    <row r="112" spans="1:8">
      <c r="A112" s="80" t="s">
        <v>652</v>
      </c>
      <c r="B112" s="80" t="s">
        <v>946</v>
      </c>
      <c r="C112" s="80" t="s">
        <v>806</v>
      </c>
      <c r="D112" s="80"/>
      <c r="E112" s="80"/>
      <c r="F112" s="80"/>
      <c r="G112" s="80"/>
      <c r="H112" s="80"/>
    </row>
    <row r="113" spans="1:8">
      <c r="A113" s="3" t="s">
        <v>1842</v>
      </c>
      <c r="B113" s="3" t="s">
        <v>1843</v>
      </c>
      <c r="C113" s="3" t="s">
        <v>1844</v>
      </c>
      <c r="D113" s="3"/>
      <c r="E113" s="3"/>
      <c r="F113" s="3"/>
      <c r="G113" s="3"/>
      <c r="H113" s="3"/>
    </row>
    <row r="114" spans="1:8">
      <c r="A114" s="3" t="s">
        <v>1842</v>
      </c>
      <c r="B114" s="3" t="s">
        <v>922</v>
      </c>
      <c r="C114" s="3" t="s">
        <v>923</v>
      </c>
      <c r="D114" s="3"/>
      <c r="E114" s="3"/>
      <c r="F114" s="3"/>
      <c r="G114" s="3"/>
      <c r="H114" s="3"/>
    </row>
    <row r="115" spans="1:8">
      <c r="A115" s="3" t="s">
        <v>1842</v>
      </c>
      <c r="B115" s="3" t="s">
        <v>1845</v>
      </c>
      <c r="C115" s="3" t="s">
        <v>1846</v>
      </c>
      <c r="D115" s="3"/>
      <c r="E115" s="3"/>
      <c r="F115" s="3"/>
      <c r="G115" s="3"/>
      <c r="H115" s="3"/>
    </row>
    <row r="116" spans="1:8">
      <c r="A116" s="3" t="s">
        <v>1842</v>
      </c>
      <c r="B116" s="3" t="s">
        <v>1847</v>
      </c>
      <c r="C116" s="3" t="s">
        <v>1848</v>
      </c>
      <c r="D116" s="3"/>
      <c r="E116" s="3"/>
      <c r="F116" s="3"/>
      <c r="G116" s="3"/>
      <c r="H116" s="3"/>
    </row>
    <row r="117" spans="1:8">
      <c r="A117" s="3" t="s">
        <v>1842</v>
      </c>
      <c r="B117" s="3" t="s">
        <v>1849</v>
      </c>
      <c r="C117" s="3" t="s">
        <v>1850</v>
      </c>
      <c r="D117" s="3"/>
      <c r="E117" s="3"/>
      <c r="F117" s="3"/>
      <c r="G117" s="3"/>
      <c r="H117" s="3"/>
    </row>
    <row r="118" spans="1:8">
      <c r="A118" s="3" t="s">
        <v>1842</v>
      </c>
      <c r="B118" s="3" t="s">
        <v>1011</v>
      </c>
      <c r="C118" s="3" t="s">
        <v>1012</v>
      </c>
      <c r="D118" s="3"/>
      <c r="E118" s="3"/>
      <c r="F118" s="3"/>
      <c r="G118" s="3"/>
      <c r="H118" s="3"/>
    </row>
    <row r="119" spans="1:8">
      <c r="A119" s="3" t="s">
        <v>1842</v>
      </c>
      <c r="B119" s="3" t="s">
        <v>1688</v>
      </c>
      <c r="C119" s="3" t="s">
        <v>1689</v>
      </c>
      <c r="D119" s="3"/>
      <c r="E119" s="3"/>
      <c r="F119" s="3"/>
      <c r="G119" s="3"/>
      <c r="H119" s="3"/>
    </row>
    <row r="120" spans="1:8">
      <c r="A120" s="3" t="s">
        <v>1842</v>
      </c>
      <c r="B120" s="3" t="s">
        <v>1691</v>
      </c>
      <c r="C120" s="3" t="s">
        <v>1692</v>
      </c>
      <c r="D120" s="3"/>
      <c r="E120" s="3"/>
      <c r="F120" s="3"/>
      <c r="G120" s="3"/>
      <c r="H120" s="3"/>
    </row>
    <row r="121" spans="1:8">
      <c r="A121" s="3" t="s">
        <v>1842</v>
      </c>
      <c r="B121" s="3" t="s">
        <v>1696</v>
      </c>
      <c r="C121" s="3" t="s">
        <v>1697</v>
      </c>
      <c r="D121" s="3"/>
      <c r="E121" s="3"/>
      <c r="F121" s="3"/>
      <c r="G121" s="3"/>
      <c r="H121" s="3"/>
    </row>
    <row r="122" spans="1:8">
      <c r="A122" s="3" t="s">
        <v>1842</v>
      </c>
      <c r="B122" s="3" t="s">
        <v>1851</v>
      </c>
      <c r="C122" s="3" t="s">
        <v>51</v>
      </c>
      <c r="D122" s="3"/>
      <c r="E122" s="3"/>
      <c r="F122" s="3"/>
      <c r="G122" s="3"/>
      <c r="H122" s="3"/>
    </row>
    <row r="123" spans="1:8">
      <c r="A123" s="3" t="s">
        <v>1842</v>
      </c>
      <c r="B123" s="3" t="s">
        <v>1500</v>
      </c>
      <c r="C123" s="3" t="s">
        <v>1501</v>
      </c>
      <c r="D123" s="3" t="s">
        <v>1618</v>
      </c>
      <c r="E123" s="3" t="s">
        <v>1699</v>
      </c>
      <c r="F123" s="3"/>
      <c r="G123" s="3"/>
      <c r="H123" s="3"/>
    </row>
    <row r="124" spans="1:8">
      <c r="A124" s="3" t="s">
        <v>1842</v>
      </c>
      <c r="B124" s="3" t="s">
        <v>936</v>
      </c>
      <c r="C124" s="3" t="s">
        <v>796</v>
      </c>
      <c r="D124" s="3"/>
      <c r="E124" s="3"/>
      <c r="F124" s="3"/>
      <c r="G124" s="3"/>
      <c r="H124" s="3"/>
    </row>
    <row r="125" spans="1:8">
      <c r="A125" s="3" t="s">
        <v>1842</v>
      </c>
      <c r="B125" s="3" t="s">
        <v>1852</v>
      </c>
      <c r="C125" s="3" t="s">
        <v>1853</v>
      </c>
      <c r="D125" s="3"/>
      <c r="E125" s="3"/>
      <c r="F125" s="3"/>
      <c r="G125" s="3"/>
      <c r="H125" s="3"/>
    </row>
    <row r="126" spans="1:8">
      <c r="A126" s="3" t="s">
        <v>1842</v>
      </c>
      <c r="B126" s="3" t="s">
        <v>1854</v>
      </c>
      <c r="C126" s="3" t="s">
        <v>1855</v>
      </c>
      <c r="D126" s="3"/>
      <c r="E126" s="3"/>
      <c r="F126" s="3"/>
      <c r="G126" s="3" t="s">
        <v>1856</v>
      </c>
      <c r="H126" s="3"/>
    </row>
    <row r="127" spans="1:8">
      <c r="A127" s="3" t="s">
        <v>1842</v>
      </c>
      <c r="B127" s="3" t="s">
        <v>1276</v>
      </c>
      <c r="C127" s="3" t="s">
        <v>1277</v>
      </c>
      <c r="D127" s="3"/>
      <c r="E127" s="3"/>
      <c r="F127" s="3"/>
      <c r="G127" s="3"/>
      <c r="H127" s="3"/>
    </row>
    <row r="128" spans="1:8">
      <c r="A128" s="3" t="s">
        <v>1842</v>
      </c>
      <c r="B128" s="3" t="s">
        <v>1283</v>
      </c>
      <c r="C128" s="3" t="s">
        <v>1284</v>
      </c>
      <c r="D128" s="3"/>
      <c r="E128" s="3"/>
      <c r="F128" s="3"/>
      <c r="G128" s="3"/>
      <c r="H128" s="3"/>
    </row>
    <row r="129" spans="1:8">
      <c r="A129" s="3" t="s">
        <v>1842</v>
      </c>
      <c r="B129" s="3" t="s">
        <v>1301</v>
      </c>
      <c r="C129" s="3" t="s">
        <v>1302</v>
      </c>
      <c r="D129" s="3"/>
      <c r="E129" s="3"/>
      <c r="F129" s="3"/>
      <c r="G129" s="3"/>
      <c r="H129" s="3"/>
    </row>
    <row r="130" spans="1:8">
      <c r="A130" s="3" t="s">
        <v>1842</v>
      </c>
      <c r="B130" s="3" t="s">
        <v>1857</v>
      </c>
      <c r="C130" s="3" t="s">
        <v>1858</v>
      </c>
      <c r="D130" s="3"/>
      <c r="E130" s="3"/>
      <c r="F130" s="3"/>
      <c r="G130" s="3"/>
      <c r="H130" s="3"/>
    </row>
    <row r="131" spans="1:8">
      <c r="A131" s="3" t="s">
        <v>1842</v>
      </c>
      <c r="B131" s="3" t="s">
        <v>1714</v>
      </c>
      <c r="C131" s="3" t="s">
        <v>1715</v>
      </c>
      <c r="D131" s="3"/>
      <c r="E131" s="3"/>
      <c r="F131" s="3"/>
      <c r="G131" s="3"/>
      <c r="H131" s="3"/>
    </row>
    <row r="132" spans="1:8">
      <c r="A132" s="3" t="s">
        <v>1842</v>
      </c>
      <c r="B132" s="3" t="s">
        <v>1859</v>
      </c>
      <c r="C132" s="3" t="s">
        <v>1038</v>
      </c>
      <c r="D132" s="3"/>
      <c r="E132" s="3"/>
      <c r="F132" s="3"/>
      <c r="G132" s="3"/>
      <c r="H132" s="3"/>
    </row>
    <row r="133" spans="1:8">
      <c r="A133" s="3" t="s">
        <v>1842</v>
      </c>
      <c r="B133" s="3" t="s">
        <v>944</v>
      </c>
      <c r="C133" s="3" t="s">
        <v>794</v>
      </c>
      <c r="D133" s="3"/>
      <c r="E133" s="3"/>
      <c r="F133" s="3"/>
      <c r="G133" s="3"/>
      <c r="H133" s="3"/>
    </row>
    <row r="134" spans="1:8">
      <c r="A134" s="3" t="s">
        <v>1842</v>
      </c>
      <c r="B134" s="3" t="s">
        <v>1860</v>
      </c>
      <c r="C134" s="3" t="s">
        <v>1861</v>
      </c>
      <c r="D134" s="3"/>
      <c r="E134" s="3"/>
      <c r="F134" s="3"/>
      <c r="G134" s="3"/>
      <c r="H134" s="3"/>
    </row>
    <row r="135" spans="1:8">
      <c r="A135" s="3" t="s">
        <v>1842</v>
      </c>
      <c r="B135" s="3" t="s">
        <v>1862</v>
      </c>
      <c r="C135" s="3" t="s">
        <v>1863</v>
      </c>
      <c r="D135" s="3"/>
      <c r="E135" s="3"/>
      <c r="F135" s="3"/>
      <c r="G135" s="3"/>
      <c r="H135" s="3"/>
    </row>
    <row r="136" spans="1:8">
      <c r="A136" s="3" t="s">
        <v>1842</v>
      </c>
      <c r="B136" s="3" t="s">
        <v>1522</v>
      </c>
      <c r="C136" s="3" t="s">
        <v>1523</v>
      </c>
      <c r="D136" s="3"/>
      <c r="E136" s="3"/>
      <c r="F136" s="3"/>
      <c r="G136" s="3"/>
      <c r="H136" s="3"/>
    </row>
    <row r="137" spans="1:8">
      <c r="A137" s="3" t="s">
        <v>1842</v>
      </c>
      <c r="B137" s="3" t="s">
        <v>1722</v>
      </c>
      <c r="C137" s="3" t="s">
        <v>1723</v>
      </c>
      <c r="D137" s="3"/>
      <c r="E137" s="3"/>
      <c r="F137" s="3"/>
      <c r="G137" s="3"/>
      <c r="H137" s="3"/>
    </row>
    <row r="138" spans="1:8">
      <c r="A138" s="80" t="s">
        <v>1842</v>
      </c>
      <c r="B138" s="80" t="s">
        <v>946</v>
      </c>
      <c r="C138" s="80" t="s">
        <v>806</v>
      </c>
      <c r="D138" s="80"/>
      <c r="E138" s="80"/>
      <c r="F138" s="80"/>
      <c r="G138" s="80"/>
      <c r="H138" s="80"/>
    </row>
    <row r="139" spans="1:8">
      <c r="A139" s="3" t="s">
        <v>614</v>
      </c>
      <c r="B139" s="3" t="s">
        <v>987</v>
      </c>
      <c r="C139" s="3" t="s">
        <v>882</v>
      </c>
      <c r="D139" s="3"/>
      <c r="E139" s="3"/>
      <c r="F139" s="3"/>
      <c r="G139" s="3"/>
      <c r="H139" s="3"/>
    </row>
    <row r="140" spans="1:8">
      <c r="A140" s="3" t="s">
        <v>614</v>
      </c>
      <c r="B140" s="3" t="s">
        <v>1202</v>
      </c>
      <c r="C140" s="3" t="s">
        <v>1203</v>
      </c>
      <c r="D140" s="3"/>
      <c r="E140" s="3"/>
      <c r="F140" s="3"/>
      <c r="G140" s="3"/>
      <c r="H140" s="3"/>
    </row>
    <row r="141" spans="1:8">
      <c r="A141" s="3" t="s">
        <v>614</v>
      </c>
      <c r="B141" s="3" t="s">
        <v>990</v>
      </c>
      <c r="C141" s="3" t="s">
        <v>991</v>
      </c>
      <c r="D141" s="3"/>
      <c r="E141" s="3"/>
      <c r="F141" s="3"/>
      <c r="G141" s="3"/>
      <c r="H141" s="3"/>
    </row>
    <row r="142" spans="1:8">
      <c r="A142" s="3" t="s">
        <v>614</v>
      </c>
      <c r="B142" s="3" t="s">
        <v>992</v>
      </c>
      <c r="C142" s="3" t="s">
        <v>993</v>
      </c>
      <c r="D142" s="3"/>
      <c r="E142" s="3"/>
      <c r="F142" s="3"/>
      <c r="G142" s="3"/>
      <c r="H142" s="3"/>
    </row>
    <row r="143" spans="1:8">
      <c r="A143" s="3" t="s">
        <v>614</v>
      </c>
      <c r="B143" s="3" t="s">
        <v>994</v>
      </c>
      <c r="C143" s="3" t="s">
        <v>995</v>
      </c>
      <c r="D143" s="3"/>
      <c r="E143" s="3"/>
      <c r="F143" s="3"/>
      <c r="G143" s="3"/>
      <c r="H143" s="3"/>
    </row>
    <row r="144" spans="1:8">
      <c r="A144" s="3" t="s">
        <v>614</v>
      </c>
      <c r="B144" s="3" t="s">
        <v>1204</v>
      </c>
      <c r="C144" s="3" t="s">
        <v>1205</v>
      </c>
      <c r="D144" s="3"/>
      <c r="E144" s="3"/>
      <c r="F144" s="3"/>
      <c r="G144" s="3"/>
      <c r="H144" s="3"/>
    </row>
    <row r="145" spans="1:8">
      <c r="A145" s="3" t="s">
        <v>614</v>
      </c>
      <c r="B145" s="3" t="s">
        <v>996</v>
      </c>
      <c r="C145" s="3" t="s">
        <v>885</v>
      </c>
      <c r="D145" s="3"/>
      <c r="E145" s="3"/>
      <c r="F145" s="3"/>
      <c r="G145" s="3"/>
      <c r="H145" s="3"/>
    </row>
    <row r="146" spans="1:8">
      <c r="A146" s="3" t="s">
        <v>614</v>
      </c>
      <c r="B146" s="3" t="s">
        <v>1206</v>
      </c>
      <c r="C146" s="3" t="s">
        <v>1207</v>
      </c>
      <c r="D146" s="3"/>
      <c r="E146" s="3"/>
      <c r="F146" s="3"/>
      <c r="G146" s="3"/>
      <c r="H146" s="3"/>
    </row>
    <row r="147" spans="1:8">
      <c r="A147" s="3" t="s">
        <v>614</v>
      </c>
      <c r="B147" s="3" t="s">
        <v>999</v>
      </c>
      <c r="C147" s="3" t="s">
        <v>893</v>
      </c>
      <c r="D147" s="3"/>
      <c r="E147" s="3"/>
      <c r="F147" s="3"/>
      <c r="G147" s="3"/>
      <c r="H147" s="3"/>
    </row>
    <row r="148" spans="1:8">
      <c r="A148" s="3" t="s">
        <v>614</v>
      </c>
      <c r="B148" s="3" t="s">
        <v>1000</v>
      </c>
      <c r="C148" s="3" t="s">
        <v>887</v>
      </c>
      <c r="D148" s="3"/>
      <c r="E148" s="3"/>
      <c r="F148" s="3"/>
      <c r="G148" s="3"/>
      <c r="H148" s="3"/>
    </row>
    <row r="149" spans="1:8">
      <c r="A149" s="3" t="s">
        <v>614</v>
      </c>
      <c r="B149" s="3" t="s">
        <v>1022</v>
      </c>
      <c r="C149" s="3" t="s">
        <v>1023</v>
      </c>
      <c r="D149" s="3"/>
      <c r="E149" s="3"/>
      <c r="F149" s="3"/>
      <c r="G149" s="3"/>
      <c r="H149" s="3"/>
    </row>
    <row r="150" spans="1:8">
      <c r="A150" s="3" t="s">
        <v>614</v>
      </c>
      <c r="B150" s="3" t="s">
        <v>1024</v>
      </c>
      <c r="C150" s="3" t="s">
        <v>1025</v>
      </c>
      <c r="D150" s="3"/>
      <c r="E150" s="3"/>
      <c r="F150" s="3"/>
      <c r="G150" s="3"/>
      <c r="H150" s="3"/>
    </row>
    <row r="151" spans="1:8">
      <c r="A151" s="3" t="s">
        <v>614</v>
      </c>
      <c r="B151" s="3" t="s">
        <v>1026</v>
      </c>
      <c r="C151" s="3" t="s">
        <v>1027</v>
      </c>
      <c r="D151" s="3"/>
      <c r="E151" s="3"/>
      <c r="F151" s="3"/>
      <c r="G151" s="3"/>
      <c r="H151" s="3"/>
    </row>
    <row r="152" spans="1:8">
      <c r="A152" s="3" t="s">
        <v>614</v>
      </c>
      <c r="B152" s="3" t="s">
        <v>1208</v>
      </c>
      <c r="C152" s="3" t="s">
        <v>1209</v>
      </c>
      <c r="D152" s="3"/>
      <c r="E152" s="3"/>
      <c r="F152" s="3"/>
      <c r="G152" s="3"/>
      <c r="H152" s="3"/>
    </row>
    <row r="153" spans="1:8">
      <c r="A153" s="3" t="s">
        <v>614</v>
      </c>
      <c r="B153" s="3" t="s">
        <v>1210</v>
      </c>
      <c r="C153" s="3" t="s">
        <v>1211</v>
      </c>
      <c r="D153" s="3"/>
      <c r="E153" s="3"/>
      <c r="F153" s="3"/>
      <c r="G153" s="3"/>
      <c r="H153" s="3"/>
    </row>
    <row r="154" spans="1:8">
      <c r="A154" s="3" t="s">
        <v>614</v>
      </c>
      <c r="B154" s="3" t="s">
        <v>1212</v>
      </c>
      <c r="C154" s="3" t="s">
        <v>1213</v>
      </c>
      <c r="D154" s="3"/>
      <c r="E154" s="3"/>
      <c r="F154" s="3"/>
      <c r="G154" s="3"/>
      <c r="H154" s="3"/>
    </row>
    <row r="155" spans="1:8">
      <c r="A155" s="3" t="s">
        <v>614</v>
      </c>
      <c r="B155" s="3" t="s">
        <v>1214</v>
      </c>
      <c r="C155" s="3" t="s">
        <v>1010</v>
      </c>
      <c r="D155" s="3"/>
      <c r="E155" s="3"/>
      <c r="F155" s="3"/>
      <c r="G155" s="3"/>
      <c r="H155" s="3"/>
    </row>
    <row r="156" spans="1:8">
      <c r="A156" s="3" t="s">
        <v>614</v>
      </c>
      <c r="B156" s="3" t="s">
        <v>1215</v>
      </c>
      <c r="C156" s="3" t="s">
        <v>1010</v>
      </c>
      <c r="D156" s="3"/>
      <c r="E156" s="3"/>
      <c r="F156" s="3"/>
      <c r="G156" s="3"/>
      <c r="H156" s="3"/>
    </row>
    <row r="157" spans="1:8">
      <c r="A157" s="3" t="s">
        <v>614</v>
      </c>
      <c r="B157" s="3" t="s">
        <v>1216</v>
      </c>
      <c r="C157" s="3" t="s">
        <v>1217</v>
      </c>
      <c r="D157" s="3"/>
      <c r="E157" s="3"/>
      <c r="F157" s="3"/>
      <c r="G157" s="3"/>
      <c r="H157" s="3"/>
    </row>
    <row r="158" spans="1:8">
      <c r="A158" s="3" t="s">
        <v>614</v>
      </c>
      <c r="B158" s="3" t="s">
        <v>1218</v>
      </c>
      <c r="C158" s="3" t="s">
        <v>1219</v>
      </c>
      <c r="D158" s="3"/>
      <c r="E158" s="3"/>
      <c r="F158" s="3"/>
      <c r="G158" s="3"/>
      <c r="H158" s="3"/>
    </row>
    <row r="159" spans="1:8">
      <c r="A159" s="3" t="s">
        <v>614</v>
      </c>
      <c r="B159" s="3" t="s">
        <v>1220</v>
      </c>
      <c r="C159" s="3" t="s">
        <v>1221</v>
      </c>
      <c r="D159" s="3"/>
      <c r="E159" s="3"/>
      <c r="F159" s="3"/>
      <c r="G159" s="3"/>
      <c r="H159" s="3"/>
    </row>
    <row r="160" spans="1:8">
      <c r="A160" s="3" t="s">
        <v>614</v>
      </c>
      <c r="B160" s="3" t="s">
        <v>1222</v>
      </c>
      <c r="C160" s="3" t="s">
        <v>1223</v>
      </c>
      <c r="D160" s="3"/>
      <c r="E160" s="3"/>
      <c r="F160" s="3"/>
      <c r="G160" s="3"/>
      <c r="H160" s="3"/>
    </row>
    <row r="161" spans="1:8">
      <c r="A161" s="3" t="s">
        <v>614</v>
      </c>
      <c r="B161" s="3" t="s">
        <v>1039</v>
      </c>
      <c r="C161" s="3" t="s">
        <v>1040</v>
      </c>
      <c r="D161" s="3"/>
      <c r="E161" s="3"/>
      <c r="F161" s="3"/>
      <c r="G161" s="3"/>
      <c r="H161" s="3"/>
    </row>
    <row r="162" spans="1:8">
      <c r="A162" s="3" t="s">
        <v>614</v>
      </c>
      <c r="B162" s="3" t="s">
        <v>1041</v>
      </c>
      <c r="C162" s="3" t="s">
        <v>1042</v>
      </c>
      <c r="D162" s="3"/>
      <c r="E162" s="3"/>
      <c r="F162" s="3"/>
      <c r="G162" s="3"/>
      <c r="H162" s="3"/>
    </row>
    <row r="163" spans="1:8">
      <c r="A163" s="3" t="s">
        <v>614</v>
      </c>
      <c r="B163" s="3" t="s">
        <v>1224</v>
      </c>
      <c r="C163" s="3" t="s">
        <v>1225</v>
      </c>
      <c r="D163" s="3"/>
      <c r="E163" s="3"/>
      <c r="F163" s="3"/>
      <c r="G163" s="3"/>
      <c r="H163" s="3"/>
    </row>
    <row r="164" spans="1:8">
      <c r="A164" s="3" t="s">
        <v>614</v>
      </c>
      <c r="B164" s="3" t="s">
        <v>1043</v>
      </c>
      <c r="C164" s="3" t="s">
        <v>889</v>
      </c>
      <c r="D164" s="3"/>
      <c r="E164" s="3"/>
      <c r="F164" s="3"/>
      <c r="G164" s="3"/>
      <c r="H164" s="3"/>
    </row>
    <row r="165" spans="1:8">
      <c r="A165" s="3" t="s">
        <v>614</v>
      </c>
      <c r="B165" s="3" t="s">
        <v>1226</v>
      </c>
      <c r="C165" s="3" t="s">
        <v>1227</v>
      </c>
      <c r="D165" s="3"/>
      <c r="E165" s="3"/>
      <c r="F165" s="3"/>
      <c r="G165" s="3"/>
      <c r="H165" s="3"/>
    </row>
    <row r="166" spans="1:8" s="248" customFormat="1">
      <c r="A166" s="300" t="s">
        <v>614</v>
      </c>
      <c r="B166" s="300" t="s">
        <v>1228</v>
      </c>
      <c r="C166" s="300" t="s">
        <v>1229</v>
      </c>
      <c r="D166" s="300" t="s">
        <v>1864</v>
      </c>
      <c r="E166" s="300" t="s">
        <v>1865</v>
      </c>
      <c r="F166" s="300" t="s">
        <v>1866</v>
      </c>
      <c r="G166" s="300" t="s">
        <v>1867</v>
      </c>
      <c r="H166" s="300"/>
    </row>
    <row r="167" spans="1:8">
      <c r="A167" s="3" t="s">
        <v>614</v>
      </c>
      <c r="B167" s="3" t="s">
        <v>1231</v>
      </c>
      <c r="C167" s="3" t="s">
        <v>1232</v>
      </c>
      <c r="D167" s="3"/>
      <c r="E167" s="3"/>
      <c r="F167" s="3"/>
      <c r="G167" s="3"/>
      <c r="H167" s="3"/>
    </row>
    <row r="168" spans="1:8">
      <c r="A168" s="3" t="s">
        <v>614</v>
      </c>
      <c r="B168" s="3" t="s">
        <v>1233</v>
      </c>
      <c r="C168" s="3" t="s">
        <v>1234</v>
      </c>
      <c r="D168" s="3"/>
      <c r="E168" s="3"/>
      <c r="F168" s="3"/>
      <c r="G168" s="3"/>
      <c r="H168" s="3"/>
    </row>
    <row r="169" spans="1:8">
      <c r="A169" s="3" t="s">
        <v>614</v>
      </c>
      <c r="B169" s="3" t="s">
        <v>1047</v>
      </c>
      <c r="C169" s="3" t="s">
        <v>891</v>
      </c>
      <c r="D169" s="3"/>
      <c r="E169" s="3"/>
      <c r="F169" s="3"/>
      <c r="G169" s="3"/>
      <c r="H169" s="3"/>
    </row>
    <row r="170" spans="1:8">
      <c r="A170" s="3" t="s">
        <v>614</v>
      </c>
      <c r="B170" s="3" t="s">
        <v>1049</v>
      </c>
      <c r="C170" s="3" t="s">
        <v>1050</v>
      </c>
      <c r="D170" s="3"/>
      <c r="E170" s="3"/>
      <c r="F170" s="3"/>
      <c r="G170" s="3"/>
      <c r="H170" s="3"/>
    </row>
    <row r="171" spans="1:8">
      <c r="A171" s="3" t="s">
        <v>614</v>
      </c>
      <c r="B171" s="3" t="s">
        <v>1235</v>
      </c>
      <c r="C171" s="3" t="s">
        <v>1236</v>
      </c>
      <c r="D171" s="3"/>
      <c r="E171" s="3"/>
      <c r="F171" s="3"/>
      <c r="G171" s="3"/>
      <c r="H171" s="3"/>
    </row>
    <row r="172" spans="1:8">
      <c r="A172" s="3" t="s">
        <v>614</v>
      </c>
      <c r="B172" s="3" t="s">
        <v>946</v>
      </c>
      <c r="C172" s="3" t="s">
        <v>806</v>
      </c>
      <c r="D172" s="3"/>
      <c r="E172" s="3"/>
      <c r="F172" s="3"/>
      <c r="G172" s="3"/>
      <c r="H172" s="3"/>
    </row>
    <row r="175" spans="1:8">
      <c r="A175" t="s">
        <v>1730</v>
      </c>
    </row>
    <row r="176" spans="1:8" ht="409.5">
      <c r="A176" s="78" t="s">
        <v>1732</v>
      </c>
    </row>
    <row r="178" spans="1:1">
      <c r="A178" t="s">
        <v>1868</v>
      </c>
    </row>
    <row r="179" spans="1:1" ht="409.5">
      <c r="A179" s="78" t="s">
        <v>1869</v>
      </c>
    </row>
    <row r="182" spans="1:1">
      <c r="A182" t="s">
        <v>1870</v>
      </c>
    </row>
    <row r="183" spans="1:1">
      <c r="A183" t="s">
        <v>1871</v>
      </c>
    </row>
    <row r="184" spans="1:1">
      <c r="A184" t="s">
        <v>1872</v>
      </c>
    </row>
  </sheetData>
  <hyperlinks>
    <hyperlink ref="A1" location="Summary!A1" display="Summary" xr:uid="{D1E50FB6-27EA-407D-9300-0AD3DDF9C23A}"/>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BDC5-B25F-47C9-B295-A8E9ED6A9794}">
  <dimension ref="A1:H29"/>
  <sheetViews>
    <sheetView workbookViewId="0">
      <selection activeCell="A6" sqref="A6"/>
    </sheetView>
  </sheetViews>
  <sheetFormatPr defaultRowHeight="15"/>
  <cols>
    <col min="1" max="8" width="30" customWidth="1"/>
  </cols>
  <sheetData>
    <row r="1" spans="1:8">
      <c r="A1" s="44"/>
      <c r="B1" s="1" t="s">
        <v>773</v>
      </c>
      <c r="C1" s="39"/>
      <c r="D1" s="39"/>
      <c r="E1" s="39"/>
      <c r="F1" s="39"/>
      <c r="G1" s="39"/>
      <c r="H1" s="39"/>
    </row>
    <row r="2" spans="1:8">
      <c r="A2" s="44"/>
      <c r="B2" s="40" t="s">
        <v>1873</v>
      </c>
      <c r="C2" s="319"/>
      <c r="D2" s="319"/>
      <c r="E2" s="319"/>
      <c r="F2" s="319"/>
      <c r="G2" s="319"/>
      <c r="H2" s="319"/>
    </row>
    <row r="3" spans="1:8">
      <c r="A3" s="44"/>
      <c r="B3" s="40" t="s">
        <v>571</v>
      </c>
      <c r="C3" s="319"/>
      <c r="D3" s="319"/>
      <c r="E3" s="319"/>
      <c r="F3" s="319"/>
      <c r="G3" s="319"/>
      <c r="H3" s="319"/>
    </row>
    <row r="4" spans="1:8">
      <c r="A4" s="44"/>
      <c r="B4" s="40" t="s">
        <v>566</v>
      </c>
      <c r="C4" s="39" t="s">
        <v>586</v>
      </c>
      <c r="D4" s="39"/>
      <c r="E4" s="39"/>
      <c r="F4" s="39"/>
      <c r="G4" s="39"/>
      <c r="H4" s="39"/>
    </row>
    <row r="5" spans="1:8">
      <c r="A5" s="44"/>
      <c r="B5" s="44"/>
      <c r="C5" s="44"/>
      <c r="D5" s="44"/>
      <c r="E5" s="44"/>
      <c r="F5" s="44"/>
      <c r="G5" s="44"/>
      <c r="H5" s="44"/>
    </row>
    <row r="6" spans="1:8">
      <c r="A6" s="261" t="s">
        <v>550</v>
      </c>
      <c r="B6" s="262" t="s">
        <v>775</v>
      </c>
      <c r="C6" s="262" t="s">
        <v>776</v>
      </c>
      <c r="D6" s="262" t="s">
        <v>777</v>
      </c>
      <c r="E6" s="262" t="s">
        <v>778</v>
      </c>
      <c r="F6" s="263" t="s">
        <v>779</v>
      </c>
      <c r="G6" s="263" t="s">
        <v>568</v>
      </c>
      <c r="H6" s="263" t="s">
        <v>780</v>
      </c>
    </row>
    <row r="7" spans="1:8">
      <c r="A7" s="249" t="s">
        <v>654</v>
      </c>
      <c r="B7" s="264" t="s">
        <v>924</v>
      </c>
      <c r="C7" s="264" t="s">
        <v>564</v>
      </c>
      <c r="D7" s="266" t="s">
        <v>788</v>
      </c>
      <c r="E7" s="264" t="s">
        <v>1237</v>
      </c>
      <c r="F7" s="264" t="s">
        <v>1237</v>
      </c>
      <c r="G7" s="264" t="s">
        <v>1237</v>
      </c>
      <c r="H7" s="264" t="s">
        <v>1237</v>
      </c>
    </row>
    <row r="8" spans="1:8">
      <c r="A8" s="42" t="s">
        <v>654</v>
      </c>
      <c r="B8" s="43" t="s">
        <v>926</v>
      </c>
      <c r="C8" s="43" t="s">
        <v>802</v>
      </c>
      <c r="D8" s="247" t="s">
        <v>803</v>
      </c>
      <c r="E8" s="247" t="s">
        <v>1237</v>
      </c>
      <c r="F8" s="247" t="s">
        <v>804</v>
      </c>
      <c r="G8" s="43" t="s">
        <v>1237</v>
      </c>
      <c r="H8" s="43" t="s">
        <v>1237</v>
      </c>
    </row>
    <row r="9" spans="1:8">
      <c r="A9" s="42" t="s">
        <v>654</v>
      </c>
      <c r="B9" s="43" t="s">
        <v>928</v>
      </c>
      <c r="C9" s="43" t="s">
        <v>784</v>
      </c>
      <c r="D9" s="247" t="s">
        <v>785</v>
      </c>
      <c r="E9" s="247" t="s">
        <v>1237</v>
      </c>
      <c r="F9" s="247" t="s">
        <v>786</v>
      </c>
      <c r="G9" s="43" t="s">
        <v>1237</v>
      </c>
      <c r="H9" s="43" t="s">
        <v>1237</v>
      </c>
    </row>
    <row r="10" spans="1:8">
      <c r="A10" s="42" t="s">
        <v>654</v>
      </c>
      <c r="B10" s="43" t="s">
        <v>933</v>
      </c>
      <c r="C10" s="43" t="s">
        <v>798</v>
      </c>
      <c r="D10" s="43" t="s">
        <v>1237</v>
      </c>
      <c r="E10" s="43" t="s">
        <v>1237</v>
      </c>
      <c r="F10" s="43" t="s">
        <v>1237</v>
      </c>
      <c r="G10" s="43" t="s">
        <v>1237</v>
      </c>
      <c r="H10" s="43" t="s">
        <v>1237</v>
      </c>
    </row>
    <row r="11" spans="1:8">
      <c r="A11" s="42" t="s">
        <v>654</v>
      </c>
      <c r="B11" s="43" t="s">
        <v>1500</v>
      </c>
      <c r="C11" s="43" t="s">
        <v>1501</v>
      </c>
      <c r="D11" s="247" t="s">
        <v>1618</v>
      </c>
      <c r="E11" s="43" t="s">
        <v>1699</v>
      </c>
      <c r="F11" s="43" t="s">
        <v>786</v>
      </c>
      <c r="G11" s="43" t="s">
        <v>1237</v>
      </c>
      <c r="H11" s="43" t="s">
        <v>1237</v>
      </c>
    </row>
    <row r="12" spans="1:8" ht="26.25">
      <c r="A12" s="42" t="s">
        <v>654</v>
      </c>
      <c r="B12" s="43" t="s">
        <v>1421</v>
      </c>
      <c r="C12" s="43" t="s">
        <v>1422</v>
      </c>
      <c r="D12" s="259" t="s">
        <v>1189</v>
      </c>
      <c r="E12" s="43" t="s">
        <v>1237</v>
      </c>
      <c r="F12" s="43" t="s">
        <v>1237</v>
      </c>
      <c r="G12" s="43" t="s">
        <v>1237</v>
      </c>
      <c r="H12" s="43" t="s">
        <v>1237</v>
      </c>
    </row>
    <row r="13" spans="1:8">
      <c r="A13" s="42" t="s">
        <v>654</v>
      </c>
      <c r="B13" s="43" t="s">
        <v>939</v>
      </c>
      <c r="C13" s="43" t="s">
        <v>821</v>
      </c>
      <c r="D13" s="43" t="s">
        <v>1237</v>
      </c>
      <c r="E13" s="43" t="s">
        <v>1237</v>
      </c>
      <c r="F13" s="43" t="s">
        <v>1237</v>
      </c>
      <c r="G13" s="43" t="s">
        <v>1237</v>
      </c>
      <c r="H13" s="43" t="s">
        <v>1237</v>
      </c>
    </row>
    <row r="14" spans="1:8">
      <c r="A14" s="42" t="s">
        <v>654</v>
      </c>
      <c r="B14" s="43" t="s">
        <v>940</v>
      </c>
      <c r="C14" s="43" t="s">
        <v>818</v>
      </c>
      <c r="D14" s="43" t="s">
        <v>1237</v>
      </c>
      <c r="E14" s="43" t="s">
        <v>1237</v>
      </c>
      <c r="F14" s="43" t="s">
        <v>1237</v>
      </c>
      <c r="G14" s="43" t="s">
        <v>1237</v>
      </c>
      <c r="H14" s="43" t="s">
        <v>1237</v>
      </c>
    </row>
    <row r="15" spans="1:8">
      <c r="A15" s="42" t="s">
        <v>654</v>
      </c>
      <c r="B15" s="43" t="s">
        <v>1426</v>
      </c>
      <c r="C15" s="43" t="s">
        <v>1427</v>
      </c>
      <c r="D15" s="43" t="s">
        <v>1725</v>
      </c>
      <c r="E15" s="43" t="s">
        <v>1237</v>
      </c>
      <c r="F15" s="247" t="s">
        <v>804</v>
      </c>
      <c r="G15" s="43" t="s">
        <v>1237</v>
      </c>
      <c r="H15" s="43" t="s">
        <v>1237</v>
      </c>
    </row>
    <row r="16" spans="1:8">
      <c r="A16" s="42" t="s">
        <v>654</v>
      </c>
      <c r="B16" s="43" t="s">
        <v>1429</v>
      </c>
      <c r="C16" s="43" t="s">
        <v>1430</v>
      </c>
      <c r="D16" s="43" t="s">
        <v>1428</v>
      </c>
      <c r="E16" s="43" t="s">
        <v>1237</v>
      </c>
      <c r="F16" s="247" t="s">
        <v>804</v>
      </c>
      <c r="G16" s="43" t="s">
        <v>1237</v>
      </c>
      <c r="H16" s="43" t="s">
        <v>1237</v>
      </c>
    </row>
    <row r="17" spans="1:8" ht="26.25">
      <c r="A17" s="42" t="s">
        <v>654</v>
      </c>
      <c r="B17" s="43" t="s">
        <v>1431</v>
      </c>
      <c r="C17" s="43" t="s">
        <v>1432</v>
      </c>
      <c r="D17" s="259" t="s">
        <v>1189</v>
      </c>
      <c r="E17" s="43" t="s">
        <v>1237</v>
      </c>
      <c r="F17" s="43" t="s">
        <v>1237</v>
      </c>
      <c r="G17" s="43" t="s">
        <v>1237</v>
      </c>
      <c r="H17" s="43" t="s">
        <v>1237</v>
      </c>
    </row>
    <row r="18" spans="1:8">
      <c r="A18" s="42" t="s">
        <v>654</v>
      </c>
      <c r="B18" s="43" t="s">
        <v>945</v>
      </c>
      <c r="C18" s="43" t="s">
        <v>800</v>
      </c>
      <c r="D18" s="43" t="s">
        <v>1237</v>
      </c>
      <c r="E18" s="43" t="s">
        <v>1237</v>
      </c>
      <c r="F18" s="43" t="s">
        <v>1237</v>
      </c>
      <c r="G18" s="43" t="s">
        <v>1237</v>
      </c>
      <c r="H18" s="43" t="s">
        <v>1237</v>
      </c>
    </row>
    <row r="19" spans="1:8">
      <c r="A19" s="42" t="s">
        <v>654</v>
      </c>
      <c r="B19" s="43" t="s">
        <v>1726</v>
      </c>
      <c r="C19" s="43" t="s">
        <v>318</v>
      </c>
      <c r="D19" s="43" t="s">
        <v>1237</v>
      </c>
      <c r="E19" s="43" t="s">
        <v>1237</v>
      </c>
      <c r="F19" s="43" t="s">
        <v>1237</v>
      </c>
      <c r="G19" s="43" t="s">
        <v>1237</v>
      </c>
      <c r="H19" s="43" t="s">
        <v>1237</v>
      </c>
    </row>
    <row r="20" spans="1:8">
      <c r="A20" s="42" t="s">
        <v>654</v>
      </c>
      <c r="B20" s="43" t="s">
        <v>1727</v>
      </c>
      <c r="C20" s="43" t="s">
        <v>1424</v>
      </c>
      <c r="D20" s="43" t="s">
        <v>1728</v>
      </c>
      <c r="E20" s="43" t="s">
        <v>1237</v>
      </c>
      <c r="F20" s="43" t="s">
        <v>786</v>
      </c>
      <c r="G20" s="43" t="s">
        <v>1237</v>
      </c>
      <c r="H20" s="43" t="s">
        <v>1237</v>
      </c>
    </row>
    <row r="21" spans="1:8">
      <c r="A21" s="42" t="s">
        <v>654</v>
      </c>
      <c r="B21" s="43" t="s">
        <v>1522</v>
      </c>
      <c r="C21" s="43" t="s">
        <v>1523</v>
      </c>
      <c r="D21" s="43" t="s">
        <v>1524</v>
      </c>
      <c r="E21" s="43" t="s">
        <v>1237</v>
      </c>
      <c r="F21" s="43" t="s">
        <v>786</v>
      </c>
      <c r="G21" s="43" t="s">
        <v>1237</v>
      </c>
      <c r="H21" s="43" t="s">
        <v>1237</v>
      </c>
    </row>
    <row r="22" spans="1:8">
      <c r="A22" s="42" t="s">
        <v>654</v>
      </c>
      <c r="B22" s="43" t="s">
        <v>1722</v>
      </c>
      <c r="C22" s="43" t="s">
        <v>1723</v>
      </c>
      <c r="D22" s="43" t="s">
        <v>1724</v>
      </c>
      <c r="E22" s="43" t="s">
        <v>1237</v>
      </c>
      <c r="F22" s="43" t="s">
        <v>1237</v>
      </c>
      <c r="G22" s="43" t="s">
        <v>1237</v>
      </c>
      <c r="H22" s="43" t="s">
        <v>1237</v>
      </c>
    </row>
    <row r="23" spans="1:8">
      <c r="A23" s="42" t="s">
        <v>654</v>
      </c>
      <c r="B23" s="43" t="s">
        <v>946</v>
      </c>
      <c r="C23" s="43" t="s">
        <v>806</v>
      </c>
      <c r="D23" s="43" t="s">
        <v>1237</v>
      </c>
      <c r="E23" s="43" t="s">
        <v>1237</v>
      </c>
      <c r="F23" s="43" t="s">
        <v>1237</v>
      </c>
      <c r="G23" s="43" t="s">
        <v>1237</v>
      </c>
      <c r="H23" s="43" t="s">
        <v>1237</v>
      </c>
    </row>
    <row r="24" spans="1:8">
      <c r="A24" s="250" t="s">
        <v>831</v>
      </c>
      <c r="B24" s="251" t="s">
        <v>857</v>
      </c>
      <c r="C24" s="251" t="s">
        <v>858</v>
      </c>
      <c r="D24" s="251" t="s">
        <v>1237</v>
      </c>
      <c r="E24" s="251" t="s">
        <v>1237</v>
      </c>
      <c r="F24" s="43" t="s">
        <v>1237</v>
      </c>
      <c r="G24" s="43" t="s">
        <v>1237</v>
      </c>
      <c r="H24" s="43" t="s">
        <v>1237</v>
      </c>
    </row>
    <row r="25" spans="1:8">
      <c r="A25" s="250" t="s">
        <v>831</v>
      </c>
      <c r="B25" s="251" t="s">
        <v>1874</v>
      </c>
      <c r="C25" s="251" t="s">
        <v>1875</v>
      </c>
      <c r="D25" s="251" t="s">
        <v>1876</v>
      </c>
      <c r="E25" s="251" t="s">
        <v>1237</v>
      </c>
      <c r="F25" s="43" t="s">
        <v>1237</v>
      </c>
      <c r="G25" s="43" t="s">
        <v>1237</v>
      </c>
      <c r="H25" s="43" t="s">
        <v>1237</v>
      </c>
    </row>
    <row r="26" spans="1:8">
      <c r="A26" s="250" t="s">
        <v>831</v>
      </c>
      <c r="B26" s="251" t="s">
        <v>1877</v>
      </c>
      <c r="C26" s="251" t="s">
        <v>1878</v>
      </c>
      <c r="D26" s="251" t="s">
        <v>1879</v>
      </c>
      <c r="E26" s="251" t="s">
        <v>1237</v>
      </c>
      <c r="F26" s="43" t="s">
        <v>1237</v>
      </c>
      <c r="G26" s="43" t="s">
        <v>1237</v>
      </c>
      <c r="H26" s="43" t="s">
        <v>1237</v>
      </c>
    </row>
    <row r="27" spans="1:8">
      <c r="A27" s="146" t="s">
        <v>1880</v>
      </c>
      <c r="B27" s="252" t="s">
        <v>1726</v>
      </c>
      <c r="C27" s="252" t="s">
        <v>318</v>
      </c>
      <c r="D27" s="146" t="s">
        <v>1881</v>
      </c>
      <c r="E27" s="146"/>
      <c r="F27" s="3"/>
      <c r="G27" s="3"/>
      <c r="H27" s="3"/>
    </row>
    <row r="28" spans="1:8">
      <c r="A28" s="146" t="s">
        <v>1880</v>
      </c>
      <c r="B28" s="146" t="s">
        <v>1882</v>
      </c>
      <c r="C28" s="146" t="s">
        <v>1451</v>
      </c>
      <c r="D28" s="146" t="s">
        <v>1883</v>
      </c>
      <c r="E28" s="146"/>
      <c r="F28" s="3"/>
      <c r="G28" s="3"/>
      <c r="H28" s="3"/>
    </row>
    <row r="29" spans="1:8">
      <c r="A29" s="146" t="s">
        <v>1880</v>
      </c>
      <c r="B29" s="146" t="s">
        <v>1884</v>
      </c>
      <c r="C29" s="146" t="s">
        <v>1453</v>
      </c>
      <c r="D29" s="146" t="s">
        <v>1885</v>
      </c>
      <c r="E29" s="146"/>
      <c r="F29" s="3"/>
      <c r="G29" s="3"/>
      <c r="H29" s="3"/>
    </row>
  </sheetData>
  <mergeCells count="2">
    <mergeCell ref="C2:H2"/>
    <mergeCell ref="C3:H3"/>
  </mergeCells>
  <hyperlinks>
    <hyperlink ref="B1" location="Summary!A1" display="Summary" xr:uid="{BD040D1C-0587-48C5-AB41-447E58D029E8}"/>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74037-C5E9-4CD1-97F4-6EF73206E1C0}">
  <dimension ref="A1:H165"/>
  <sheetViews>
    <sheetView workbookViewId="0">
      <pane xSplit="3" ySplit="6" topLeftCell="D7" activePane="bottomRight" state="frozen"/>
      <selection pane="bottomRight" activeCell="B1" sqref="B1"/>
      <selection pane="bottomLeft" activeCell="B4" sqref="B4"/>
      <selection pane="topRight" activeCell="B4" sqref="B4"/>
    </sheetView>
  </sheetViews>
  <sheetFormatPr defaultRowHeight="15"/>
  <cols>
    <col min="1" max="2" width="36.5703125" bestFit="1" customWidth="1"/>
    <col min="3" max="3" width="26.85546875" customWidth="1"/>
    <col min="4" max="4" width="29.5703125" customWidth="1"/>
    <col min="5" max="5" width="27.28515625" customWidth="1"/>
    <col min="6" max="6" width="22" customWidth="1"/>
    <col min="7" max="7" width="26" customWidth="1"/>
    <col min="8" max="8" width="26.85546875" customWidth="1"/>
  </cols>
  <sheetData>
    <row r="1" spans="1:8">
      <c r="B1" s="28" t="s">
        <v>773</v>
      </c>
      <c r="C1" s="29"/>
      <c r="D1" s="29"/>
      <c r="E1" s="29"/>
      <c r="F1" s="29"/>
      <c r="G1" s="29"/>
      <c r="H1" s="29"/>
    </row>
    <row r="2" spans="1:8">
      <c r="B2" s="30" t="s">
        <v>1886</v>
      </c>
      <c r="C2" s="316"/>
      <c r="D2" s="316"/>
      <c r="E2" s="316"/>
      <c r="F2" s="316"/>
      <c r="G2" s="316"/>
      <c r="H2" s="316"/>
    </row>
    <row r="3" spans="1:8">
      <c r="B3" s="30" t="s">
        <v>571</v>
      </c>
      <c r="C3" s="317" t="str">
        <f>Summary!O118</f>
        <v>This table records information about Field Activities. It is useful for Clients as it allows them to easily access and extract FA-related data via reports.</v>
      </c>
      <c r="D3" s="317"/>
      <c r="E3" s="317"/>
      <c r="F3" s="317"/>
      <c r="G3" s="317"/>
      <c r="H3" s="317"/>
    </row>
    <row r="4" spans="1:8">
      <c r="B4" s="30" t="s">
        <v>566</v>
      </c>
      <c r="C4" s="29" t="s">
        <v>586</v>
      </c>
      <c r="D4" s="29"/>
      <c r="E4" s="29"/>
      <c r="F4" s="29"/>
      <c r="G4" s="29"/>
      <c r="H4" s="29"/>
    </row>
    <row r="6" spans="1:8">
      <c r="A6" s="159" t="s">
        <v>550</v>
      </c>
      <c r="B6" s="155" t="s">
        <v>775</v>
      </c>
      <c r="C6" s="66" t="s">
        <v>776</v>
      </c>
      <c r="D6" s="66" t="s">
        <v>777</v>
      </c>
      <c r="E6" s="66" t="s">
        <v>778</v>
      </c>
      <c r="F6" s="70" t="s">
        <v>779</v>
      </c>
      <c r="G6" s="70" t="s">
        <v>568</v>
      </c>
      <c r="H6" s="70" t="s">
        <v>780</v>
      </c>
    </row>
    <row r="7" spans="1:8">
      <c r="A7" s="3" t="s">
        <v>646</v>
      </c>
      <c r="B7" s="156" t="s">
        <v>1049</v>
      </c>
      <c r="C7" s="3" t="s">
        <v>1050</v>
      </c>
      <c r="D7" s="3" t="s">
        <v>1185</v>
      </c>
      <c r="E7" s="3"/>
      <c r="F7" s="3" t="s">
        <v>786</v>
      </c>
      <c r="G7" s="3"/>
      <c r="H7" s="3"/>
    </row>
    <row r="8" spans="1:8">
      <c r="A8" s="3" t="s">
        <v>646</v>
      </c>
      <c r="B8" s="156" t="s">
        <v>984</v>
      </c>
      <c r="C8" s="33" t="s">
        <v>985</v>
      </c>
      <c r="D8" s="33" t="s">
        <v>1186</v>
      </c>
      <c r="E8" s="33"/>
      <c r="F8" s="33" t="s">
        <v>804</v>
      </c>
      <c r="G8" s="33"/>
      <c r="H8" s="33"/>
    </row>
    <row r="9" spans="1:8">
      <c r="A9" s="3" t="s">
        <v>646</v>
      </c>
      <c r="B9" s="156" t="s">
        <v>999</v>
      </c>
      <c r="C9" s="33" t="s">
        <v>893</v>
      </c>
      <c r="D9" s="33" t="s">
        <v>1187</v>
      </c>
      <c r="E9" s="33"/>
      <c r="F9" s="33" t="s">
        <v>786</v>
      </c>
      <c r="G9" s="33"/>
      <c r="H9" s="33"/>
    </row>
    <row r="10" spans="1:8">
      <c r="A10" s="3" t="s">
        <v>646</v>
      </c>
      <c r="B10" s="156" t="s">
        <v>1043</v>
      </c>
      <c r="C10" s="33" t="s">
        <v>889</v>
      </c>
      <c r="D10" s="33" t="s">
        <v>725</v>
      </c>
      <c r="E10" s="33"/>
      <c r="F10" s="33" t="s">
        <v>725</v>
      </c>
      <c r="G10" s="33"/>
      <c r="H10" s="33"/>
    </row>
    <row r="11" spans="1:8">
      <c r="A11" s="3" t="s">
        <v>646</v>
      </c>
      <c r="B11" s="156" t="s">
        <v>987</v>
      </c>
      <c r="C11" s="33" t="s">
        <v>882</v>
      </c>
      <c r="D11" s="33" t="s">
        <v>725</v>
      </c>
      <c r="E11" s="33"/>
      <c r="F11" s="33" t="s">
        <v>725</v>
      </c>
      <c r="G11" s="33"/>
      <c r="H11" s="33"/>
    </row>
    <row r="12" spans="1:8">
      <c r="A12" s="3" t="s">
        <v>646</v>
      </c>
      <c r="B12" s="156" t="s">
        <v>988</v>
      </c>
      <c r="C12" s="33" t="s">
        <v>989</v>
      </c>
      <c r="D12" s="33" t="s">
        <v>725</v>
      </c>
      <c r="E12" s="33"/>
      <c r="F12" s="33" t="s">
        <v>725</v>
      </c>
      <c r="G12" s="33"/>
      <c r="H12" s="33"/>
    </row>
    <row r="13" spans="1:8">
      <c r="A13" s="3" t="s">
        <v>646</v>
      </c>
      <c r="B13" s="156" t="s">
        <v>990</v>
      </c>
      <c r="C13" s="33" t="s">
        <v>991</v>
      </c>
      <c r="D13" s="33" t="s">
        <v>725</v>
      </c>
      <c r="E13" s="33"/>
      <c r="F13" s="33" t="s">
        <v>725</v>
      </c>
      <c r="G13" s="33"/>
      <c r="H13" s="33"/>
    </row>
    <row r="14" spans="1:8">
      <c r="A14" s="3" t="s">
        <v>646</v>
      </c>
      <c r="B14" s="156" t="s">
        <v>992</v>
      </c>
      <c r="C14" s="33" t="s">
        <v>993</v>
      </c>
      <c r="D14" s="33" t="s">
        <v>725</v>
      </c>
      <c r="E14" s="33"/>
      <c r="F14" s="33" t="s">
        <v>725</v>
      </c>
      <c r="G14" s="33"/>
      <c r="H14" s="33"/>
    </row>
    <row r="15" spans="1:8">
      <c r="A15" s="3" t="s">
        <v>646</v>
      </c>
      <c r="B15" s="156" t="s">
        <v>994</v>
      </c>
      <c r="C15" s="33" t="s">
        <v>995</v>
      </c>
      <c r="D15" s="33" t="s">
        <v>725</v>
      </c>
      <c r="E15" s="33"/>
      <c r="F15" s="33" t="s">
        <v>725</v>
      </c>
      <c r="G15" s="33"/>
      <c r="H15" s="33"/>
    </row>
    <row r="16" spans="1:8">
      <c r="A16" s="3" t="s">
        <v>646</v>
      </c>
      <c r="B16" s="156" t="s">
        <v>996</v>
      </c>
      <c r="C16" s="33" t="s">
        <v>885</v>
      </c>
      <c r="D16" s="33" t="s">
        <v>725</v>
      </c>
      <c r="E16" s="33"/>
      <c r="F16" s="33" t="s">
        <v>725</v>
      </c>
      <c r="G16" s="33"/>
      <c r="H16" s="33"/>
    </row>
    <row r="17" spans="1:8">
      <c r="A17" s="3" t="s">
        <v>646</v>
      </c>
      <c r="B17" s="156" t="s">
        <v>997</v>
      </c>
      <c r="C17" s="33" t="s">
        <v>998</v>
      </c>
      <c r="D17" s="33" t="s">
        <v>725</v>
      </c>
      <c r="E17" s="33"/>
      <c r="F17" s="33" t="s">
        <v>725</v>
      </c>
      <c r="G17" s="33"/>
      <c r="H17" s="33"/>
    </row>
    <row r="18" spans="1:8">
      <c r="A18" s="3" t="s">
        <v>646</v>
      </c>
      <c r="B18" s="156" t="s">
        <v>1039</v>
      </c>
      <c r="C18" s="33" t="s">
        <v>1040</v>
      </c>
      <c r="D18" s="33" t="s">
        <v>725</v>
      </c>
      <c r="E18" s="33"/>
      <c r="F18" s="33" t="s">
        <v>725</v>
      </c>
      <c r="G18" s="33"/>
      <c r="H18" s="33"/>
    </row>
    <row r="19" spans="1:8">
      <c r="A19" s="3" t="s">
        <v>646</v>
      </c>
      <c r="B19" s="156" t="s">
        <v>1041</v>
      </c>
      <c r="C19" s="33" t="s">
        <v>1042</v>
      </c>
      <c r="D19" s="33" t="s">
        <v>725</v>
      </c>
      <c r="E19" s="33"/>
      <c r="F19" s="33" t="s">
        <v>725</v>
      </c>
      <c r="G19" s="33"/>
      <c r="H19" s="33"/>
    </row>
    <row r="20" spans="1:8">
      <c r="A20" s="3" t="s">
        <v>646</v>
      </c>
      <c r="B20" s="156" t="s">
        <v>1000</v>
      </c>
      <c r="C20" s="33" t="s">
        <v>887</v>
      </c>
      <c r="D20" s="33" t="s">
        <v>725</v>
      </c>
      <c r="E20" s="33"/>
      <c r="F20" s="33" t="s">
        <v>725</v>
      </c>
      <c r="G20" s="33"/>
      <c r="H20" s="33"/>
    </row>
    <row r="21" spans="1:8">
      <c r="A21" s="3" t="s">
        <v>646</v>
      </c>
      <c r="B21" s="156" t="s">
        <v>1024</v>
      </c>
      <c r="C21" s="33" t="s">
        <v>1025</v>
      </c>
      <c r="D21" s="33" t="s">
        <v>725</v>
      </c>
      <c r="E21" s="33"/>
      <c r="F21" s="33" t="s">
        <v>725</v>
      </c>
      <c r="G21" s="33"/>
      <c r="H21" s="33"/>
    </row>
    <row r="22" spans="1:8">
      <c r="A22" s="3" t="s">
        <v>646</v>
      </c>
      <c r="B22" s="156" t="s">
        <v>1022</v>
      </c>
      <c r="C22" s="33" t="s">
        <v>1023</v>
      </c>
      <c r="D22" s="33" t="s">
        <v>725</v>
      </c>
      <c r="E22" s="33"/>
      <c r="F22" s="33" t="s">
        <v>725</v>
      </c>
      <c r="G22" s="33"/>
      <c r="H22" s="33"/>
    </row>
    <row r="23" spans="1:8">
      <c r="A23" s="3" t="s">
        <v>646</v>
      </c>
      <c r="B23" s="156" t="s">
        <v>1026</v>
      </c>
      <c r="C23" s="33" t="s">
        <v>1027</v>
      </c>
      <c r="D23" s="33" t="s">
        <v>725</v>
      </c>
      <c r="E23" s="33"/>
      <c r="F23" s="33" t="s">
        <v>725</v>
      </c>
      <c r="G23" s="33"/>
      <c r="H23" s="33"/>
    </row>
    <row r="24" spans="1:8">
      <c r="A24" s="3" t="s">
        <v>646</v>
      </c>
      <c r="B24" s="156" t="s">
        <v>1047</v>
      </c>
      <c r="C24" s="33" t="s">
        <v>891</v>
      </c>
      <c r="D24" s="33" t="s">
        <v>1188</v>
      </c>
      <c r="E24" s="33"/>
      <c r="F24" s="33" t="s">
        <v>786</v>
      </c>
      <c r="G24" s="33"/>
      <c r="H24" s="33"/>
    </row>
    <row r="25" spans="1:8">
      <c r="A25" s="3" t="s">
        <v>646</v>
      </c>
      <c r="B25" s="156" t="s">
        <v>928</v>
      </c>
      <c r="C25" s="33" t="s">
        <v>784</v>
      </c>
      <c r="D25" s="33" t="s">
        <v>785</v>
      </c>
      <c r="E25" s="33"/>
      <c r="F25" s="33" t="s">
        <v>786</v>
      </c>
      <c r="G25" s="33"/>
      <c r="H25" s="33"/>
    </row>
    <row r="26" spans="1:8">
      <c r="A26" s="3" t="s">
        <v>646</v>
      </c>
      <c r="B26" s="156" t="s">
        <v>924</v>
      </c>
      <c r="C26" s="33" t="s">
        <v>564</v>
      </c>
      <c r="D26" s="33" t="s">
        <v>788</v>
      </c>
      <c r="E26" s="33"/>
      <c r="F26" s="33" t="s">
        <v>786</v>
      </c>
      <c r="G26" s="33"/>
      <c r="H26" s="33"/>
    </row>
    <row r="27" spans="1:8">
      <c r="A27" s="3" t="s">
        <v>646</v>
      </c>
      <c r="B27" s="156" t="s">
        <v>926</v>
      </c>
      <c r="C27" s="33" t="s">
        <v>802</v>
      </c>
      <c r="D27" s="33" t="s">
        <v>803</v>
      </c>
      <c r="E27" s="33"/>
      <c r="F27" s="33" t="s">
        <v>804</v>
      </c>
      <c r="G27" s="33"/>
      <c r="H27" s="33"/>
    </row>
    <row r="28" spans="1:8">
      <c r="A28" s="3" t="s">
        <v>646</v>
      </c>
      <c r="B28" s="156" t="s">
        <v>945</v>
      </c>
      <c r="C28" s="33" t="s">
        <v>800</v>
      </c>
      <c r="D28" s="33" t="s">
        <v>725</v>
      </c>
      <c r="E28" s="33"/>
      <c r="F28" s="33" t="s">
        <v>725</v>
      </c>
      <c r="G28" s="33"/>
      <c r="H28" s="33"/>
    </row>
    <row r="29" spans="1:8">
      <c r="A29" s="3" t="s">
        <v>646</v>
      </c>
      <c r="B29" s="156" t="s">
        <v>933</v>
      </c>
      <c r="C29" s="33" t="s">
        <v>798</v>
      </c>
      <c r="D29" s="33" t="s">
        <v>725</v>
      </c>
      <c r="E29" s="33"/>
      <c r="F29" s="33" t="s">
        <v>725</v>
      </c>
      <c r="G29" s="33"/>
      <c r="H29" s="33"/>
    </row>
    <row r="30" spans="1:8">
      <c r="A30" s="3" t="s">
        <v>646</v>
      </c>
      <c r="B30" s="156" t="s">
        <v>922</v>
      </c>
      <c r="C30" s="33" t="s">
        <v>923</v>
      </c>
      <c r="D30" s="33" t="s">
        <v>725</v>
      </c>
      <c r="E30" s="33"/>
      <c r="F30" s="33" t="s">
        <v>725</v>
      </c>
      <c r="G30" s="33"/>
      <c r="H30" s="33"/>
    </row>
    <row r="31" spans="1:8">
      <c r="A31" s="3" t="s">
        <v>646</v>
      </c>
      <c r="B31" s="156" t="s">
        <v>946</v>
      </c>
      <c r="C31" s="33" t="s">
        <v>806</v>
      </c>
      <c r="D31" s="33" t="s">
        <v>725</v>
      </c>
      <c r="E31" s="33"/>
      <c r="F31" s="33" t="s">
        <v>725</v>
      </c>
      <c r="G31" s="33"/>
      <c r="H31" s="33"/>
    </row>
    <row r="32" spans="1:8">
      <c r="A32" s="3" t="s">
        <v>646</v>
      </c>
      <c r="B32" s="156" t="s">
        <v>1031</v>
      </c>
      <c r="C32" s="33" t="s">
        <v>1032</v>
      </c>
      <c r="D32" s="33" t="s">
        <v>1033</v>
      </c>
      <c r="E32" s="33"/>
      <c r="F32" s="33" t="s">
        <v>804</v>
      </c>
      <c r="G32" s="33"/>
      <c r="H32" s="33"/>
    </row>
    <row r="33" spans="1:8">
      <c r="A33" s="3" t="s">
        <v>646</v>
      </c>
      <c r="B33" s="156" t="s">
        <v>1003</v>
      </c>
      <c r="C33" s="33" t="s">
        <v>895</v>
      </c>
      <c r="D33" s="33" t="s">
        <v>725</v>
      </c>
      <c r="E33" s="33"/>
      <c r="F33" s="33" t="s">
        <v>725</v>
      </c>
      <c r="G33" s="33"/>
      <c r="H33" s="33"/>
    </row>
    <row r="34" spans="1:8" ht="25.5">
      <c r="A34" s="3" t="s">
        <v>646</v>
      </c>
      <c r="B34" s="156" t="s">
        <v>1016</v>
      </c>
      <c r="C34" s="33" t="s">
        <v>1017</v>
      </c>
      <c r="D34" s="34" t="s">
        <v>1189</v>
      </c>
      <c r="E34" s="33"/>
      <c r="F34" s="33" t="s">
        <v>804</v>
      </c>
      <c r="G34" s="33"/>
      <c r="H34" s="33"/>
    </row>
    <row r="35" spans="1:8">
      <c r="A35" s="3" t="s">
        <v>646</v>
      </c>
      <c r="B35" s="156" t="s">
        <v>1011</v>
      </c>
      <c r="C35" s="33" t="s">
        <v>1012</v>
      </c>
      <c r="D35" s="33" t="s">
        <v>725</v>
      </c>
      <c r="E35" s="33"/>
      <c r="F35" s="33" t="s">
        <v>725</v>
      </c>
      <c r="G35" s="33"/>
      <c r="H35" s="33"/>
    </row>
    <row r="36" spans="1:8">
      <c r="A36" s="3" t="s">
        <v>646</v>
      </c>
      <c r="B36" s="156" t="s">
        <v>1004</v>
      </c>
      <c r="C36" s="33" t="s">
        <v>897</v>
      </c>
      <c r="D36" s="33" t="s">
        <v>725</v>
      </c>
      <c r="E36" s="33"/>
      <c r="F36" s="33" t="s">
        <v>725</v>
      </c>
      <c r="G36" s="33"/>
      <c r="H36" s="33"/>
    </row>
    <row r="37" spans="1:8">
      <c r="A37" s="3" t="s">
        <v>646</v>
      </c>
      <c r="B37" s="156" t="s">
        <v>1037</v>
      </c>
      <c r="C37" s="33" t="s">
        <v>1038</v>
      </c>
      <c r="D37" s="33" t="s">
        <v>725</v>
      </c>
      <c r="E37" s="33"/>
      <c r="F37" s="33" t="s">
        <v>725</v>
      </c>
      <c r="G37" s="33"/>
      <c r="H37" s="33"/>
    </row>
    <row r="38" spans="1:8">
      <c r="A38" s="3" t="s">
        <v>646</v>
      </c>
      <c r="B38" s="156" t="s">
        <v>1192</v>
      </c>
      <c r="C38" s="33" t="s">
        <v>1021</v>
      </c>
      <c r="D38" s="33" t="s">
        <v>1193</v>
      </c>
      <c r="E38" s="33"/>
      <c r="F38" s="33" t="s">
        <v>804</v>
      </c>
      <c r="G38" s="33"/>
      <c r="H38" s="33"/>
    </row>
    <row r="39" spans="1:8">
      <c r="A39" s="3" t="s">
        <v>646</v>
      </c>
      <c r="B39" s="156" t="s">
        <v>1034</v>
      </c>
      <c r="C39" s="33" t="s">
        <v>1035</v>
      </c>
      <c r="D39" s="33" t="s">
        <v>1194</v>
      </c>
      <c r="E39" s="33"/>
      <c r="F39" s="33" t="s">
        <v>804</v>
      </c>
      <c r="G39" s="33"/>
      <c r="H39" s="33"/>
    </row>
    <row r="40" spans="1:8">
      <c r="A40" s="3" t="s">
        <v>1195</v>
      </c>
      <c r="B40" s="156" t="s">
        <v>1001</v>
      </c>
      <c r="C40" s="33" t="s">
        <v>1002</v>
      </c>
      <c r="D40" s="33" t="s">
        <v>725</v>
      </c>
      <c r="E40" s="33"/>
      <c r="F40" s="33" t="s">
        <v>725</v>
      </c>
      <c r="G40" s="33"/>
      <c r="H40" s="33"/>
    </row>
    <row r="41" spans="1:8">
      <c r="A41" s="3" t="s">
        <v>646</v>
      </c>
      <c r="B41" s="156" t="s">
        <v>1014</v>
      </c>
      <c r="C41" s="33" t="s">
        <v>842</v>
      </c>
      <c r="D41" s="33" t="s">
        <v>1196</v>
      </c>
      <c r="E41" s="33"/>
      <c r="F41" s="33" t="s">
        <v>786</v>
      </c>
      <c r="G41" s="33"/>
      <c r="H41" s="33"/>
    </row>
    <row r="42" spans="1:8">
      <c r="A42" s="3" t="s">
        <v>1195</v>
      </c>
      <c r="B42" s="156" t="s">
        <v>1005</v>
      </c>
      <c r="C42" s="33" t="s">
        <v>1006</v>
      </c>
      <c r="D42" s="33" t="s">
        <v>725</v>
      </c>
      <c r="E42" s="33"/>
      <c r="F42" s="33" t="s">
        <v>725</v>
      </c>
      <c r="G42" s="33"/>
      <c r="H42" s="33"/>
    </row>
    <row r="43" spans="1:8">
      <c r="A43" s="3" t="s">
        <v>646</v>
      </c>
      <c r="B43" s="156" t="s">
        <v>1044</v>
      </c>
      <c r="C43" s="33" t="s">
        <v>1045</v>
      </c>
      <c r="D43" s="33"/>
      <c r="E43" s="33"/>
      <c r="F43" s="33"/>
      <c r="G43" s="33"/>
      <c r="H43" s="33"/>
    </row>
    <row r="44" spans="1:8">
      <c r="A44" s="3" t="s">
        <v>646</v>
      </c>
      <c r="B44" s="156" t="s">
        <v>1009</v>
      </c>
      <c r="C44" s="33" t="s">
        <v>1010</v>
      </c>
      <c r="D44" s="33"/>
      <c r="E44" s="33"/>
      <c r="F44" s="33"/>
      <c r="G44" s="33"/>
      <c r="H44" s="33"/>
    </row>
    <row r="45" spans="1:8">
      <c r="A45" s="3" t="s">
        <v>646</v>
      </c>
      <c r="B45" s="156" t="s">
        <v>1007</v>
      </c>
      <c r="C45" s="33" t="s">
        <v>1008</v>
      </c>
      <c r="D45" s="33"/>
      <c r="E45" s="33"/>
      <c r="F45" s="33"/>
      <c r="G45" s="33"/>
      <c r="H45" s="33"/>
    </row>
    <row r="46" spans="1:8">
      <c r="A46" s="3" t="s">
        <v>646</v>
      </c>
      <c r="B46" s="156" t="s">
        <v>1028</v>
      </c>
      <c r="C46" s="33" t="s">
        <v>1029</v>
      </c>
      <c r="D46" s="33"/>
      <c r="E46" s="33"/>
      <c r="F46" s="33" t="s">
        <v>804</v>
      </c>
      <c r="G46" s="33"/>
      <c r="H46" s="33"/>
    </row>
    <row r="47" spans="1:8" ht="51">
      <c r="A47" s="3" t="s">
        <v>1169</v>
      </c>
      <c r="B47" s="156" t="s">
        <v>1011</v>
      </c>
      <c r="C47" s="33" t="s">
        <v>1012</v>
      </c>
      <c r="D47" s="33" t="s">
        <v>646</v>
      </c>
      <c r="E47" s="33"/>
      <c r="F47" s="201" t="s">
        <v>1887</v>
      </c>
      <c r="G47" s="124" t="s">
        <v>1888</v>
      </c>
      <c r="H47" s="156"/>
    </row>
    <row r="48" spans="1:8">
      <c r="A48" s="3" t="s">
        <v>1169</v>
      </c>
      <c r="B48" s="156" t="s">
        <v>1529</v>
      </c>
      <c r="C48" s="33" t="s">
        <v>315</v>
      </c>
      <c r="D48" s="33" t="s">
        <v>650</v>
      </c>
      <c r="E48" s="33"/>
      <c r="F48" s="201" t="s">
        <v>804</v>
      </c>
      <c r="G48" s="124"/>
      <c r="H48" s="156"/>
    </row>
    <row r="49" spans="1:8">
      <c r="A49" s="3" t="s">
        <v>650</v>
      </c>
      <c r="B49" s="156" t="s">
        <v>1889</v>
      </c>
      <c r="C49" s="33" t="s">
        <v>1625</v>
      </c>
      <c r="D49" s="34" t="s">
        <v>1890</v>
      </c>
      <c r="E49" s="33"/>
      <c r="F49" s="201" t="s">
        <v>804</v>
      </c>
      <c r="G49" s="124"/>
      <c r="H49" s="156"/>
    </row>
    <row r="50" spans="1:8">
      <c r="A50" s="3" t="s">
        <v>650</v>
      </c>
      <c r="B50" s="156" t="s">
        <v>1529</v>
      </c>
      <c r="C50" s="33" t="s">
        <v>315</v>
      </c>
      <c r="D50" s="33" t="s">
        <v>725</v>
      </c>
      <c r="E50" s="33"/>
      <c r="F50" s="201"/>
      <c r="G50" s="124"/>
      <c r="H50" s="156"/>
    </row>
    <row r="51" spans="1:8">
      <c r="A51" s="3" t="s">
        <v>650</v>
      </c>
      <c r="B51" s="156" t="s">
        <v>1576</v>
      </c>
      <c r="C51" s="33" t="s">
        <v>794</v>
      </c>
      <c r="D51" s="33" t="s">
        <v>725</v>
      </c>
      <c r="E51" s="33"/>
      <c r="F51" s="201" t="s">
        <v>786</v>
      </c>
      <c r="G51" s="124"/>
      <c r="H51" s="156"/>
    </row>
    <row r="52" spans="1:8">
      <c r="A52" s="3" t="s">
        <v>650</v>
      </c>
      <c r="B52" s="156" t="s">
        <v>795</v>
      </c>
      <c r="C52" s="33" t="s">
        <v>796</v>
      </c>
      <c r="D52" s="33" t="s">
        <v>725</v>
      </c>
      <c r="E52" s="33"/>
      <c r="F52" s="201" t="s">
        <v>804</v>
      </c>
      <c r="G52" s="124"/>
      <c r="H52" s="156"/>
    </row>
    <row r="53" spans="1:8">
      <c r="A53" s="146" t="s">
        <v>1096</v>
      </c>
      <c r="B53" s="293" t="s">
        <v>1011</v>
      </c>
      <c r="C53" s="294" t="s">
        <v>1012</v>
      </c>
      <c r="D53" s="294" t="s">
        <v>646</v>
      </c>
      <c r="E53" s="294"/>
      <c r="F53" s="295" t="s">
        <v>1887</v>
      </c>
      <c r="G53" s="124"/>
      <c r="H53" s="157"/>
    </row>
    <row r="54" spans="1:8">
      <c r="A54" s="146" t="s">
        <v>1096</v>
      </c>
      <c r="B54" s="293" t="s">
        <v>1891</v>
      </c>
      <c r="C54" s="294" t="s">
        <v>1892</v>
      </c>
      <c r="D54" s="294" t="s">
        <v>725</v>
      </c>
      <c r="E54" s="294"/>
      <c r="F54" s="295"/>
      <c r="G54" s="124"/>
      <c r="H54" s="157"/>
    </row>
    <row r="55" spans="1:8">
      <c r="A55" s="146" t="s">
        <v>1160</v>
      </c>
      <c r="B55" s="296" t="s">
        <v>1132</v>
      </c>
      <c r="C55" s="297" t="s">
        <v>1893</v>
      </c>
      <c r="D55" s="297" t="s">
        <v>1893</v>
      </c>
      <c r="E55" s="298" t="s">
        <v>1894</v>
      </c>
      <c r="F55" s="299" t="s">
        <v>786</v>
      </c>
      <c r="G55" s="124"/>
      <c r="H55" s="158"/>
    </row>
    <row r="56" spans="1:8">
      <c r="A56" s="3" t="s">
        <v>755</v>
      </c>
      <c r="B56" s="3" t="s">
        <v>1191</v>
      </c>
      <c r="C56" s="3" t="s">
        <v>1012</v>
      </c>
      <c r="D56" s="3" t="s">
        <v>646</v>
      </c>
      <c r="E56" s="3"/>
      <c r="F56" s="3" t="s">
        <v>1887</v>
      </c>
      <c r="G56" s="3"/>
      <c r="H56" s="204"/>
    </row>
    <row r="57" spans="1:8">
      <c r="A57" s="3" t="s">
        <v>755</v>
      </c>
      <c r="B57" s="3" t="s">
        <v>1895</v>
      </c>
      <c r="C57" s="3" t="s">
        <v>1896</v>
      </c>
      <c r="D57" s="3" t="s">
        <v>725</v>
      </c>
      <c r="E57" s="3"/>
      <c r="F57" s="3"/>
      <c r="G57" s="3"/>
      <c r="H57" s="204"/>
    </row>
    <row r="58" spans="1:8">
      <c r="A58" s="3" t="s">
        <v>755</v>
      </c>
      <c r="B58" s="3" t="s">
        <v>1897</v>
      </c>
      <c r="C58" s="3" t="s">
        <v>1898</v>
      </c>
      <c r="D58" s="3" t="s">
        <v>725</v>
      </c>
      <c r="E58" s="3"/>
      <c r="F58" s="3"/>
      <c r="G58" s="3"/>
      <c r="H58" s="204"/>
    </row>
    <row r="59" spans="1:8">
      <c r="A59" s="3" t="s">
        <v>755</v>
      </c>
      <c r="B59" s="3" t="s">
        <v>1899</v>
      </c>
      <c r="C59" s="3" t="s">
        <v>1900</v>
      </c>
      <c r="D59" s="3" t="s">
        <v>725</v>
      </c>
      <c r="E59" s="3"/>
      <c r="F59" s="3"/>
      <c r="G59" s="3"/>
      <c r="H59" s="3"/>
    </row>
    <row r="60" spans="1:8">
      <c r="A60" s="3" t="s">
        <v>755</v>
      </c>
      <c r="B60" s="3" t="s">
        <v>1901</v>
      </c>
      <c r="C60" s="3" t="s">
        <v>1902</v>
      </c>
      <c r="D60" s="3" t="s">
        <v>725</v>
      </c>
      <c r="E60" s="3"/>
      <c r="F60" s="3"/>
      <c r="G60" s="3"/>
      <c r="H60" s="3"/>
    </row>
    <row r="61" spans="1:8">
      <c r="A61" s="3" t="s">
        <v>755</v>
      </c>
      <c r="B61" s="3" t="s">
        <v>1903</v>
      </c>
      <c r="C61" s="3" t="s">
        <v>1904</v>
      </c>
      <c r="D61" s="3" t="s">
        <v>725</v>
      </c>
      <c r="E61" s="3"/>
      <c r="F61" s="3"/>
      <c r="G61" s="3"/>
      <c r="H61" s="3"/>
    </row>
    <row r="62" spans="1:8">
      <c r="A62" s="3" t="s">
        <v>755</v>
      </c>
      <c r="B62" s="3" t="s">
        <v>1905</v>
      </c>
      <c r="C62" s="3" t="s">
        <v>1211</v>
      </c>
      <c r="D62" s="3" t="s">
        <v>725</v>
      </c>
      <c r="E62" s="3"/>
      <c r="F62" s="3"/>
      <c r="G62" s="3"/>
      <c r="H62" s="3"/>
    </row>
    <row r="63" spans="1:8">
      <c r="A63" s="3" t="s">
        <v>755</v>
      </c>
      <c r="B63" s="3" t="s">
        <v>1906</v>
      </c>
      <c r="C63" s="3" t="s">
        <v>1209</v>
      </c>
      <c r="D63" s="3" t="s">
        <v>725</v>
      </c>
      <c r="E63" s="3"/>
      <c r="F63" s="3"/>
      <c r="G63" s="3"/>
      <c r="H63" s="3"/>
    </row>
    <row r="64" spans="1:8">
      <c r="A64" s="3" t="s">
        <v>755</v>
      </c>
      <c r="B64" s="3" t="s">
        <v>1907</v>
      </c>
      <c r="C64" s="3" t="s">
        <v>1908</v>
      </c>
      <c r="D64" s="3" t="s">
        <v>725</v>
      </c>
      <c r="E64" s="3"/>
      <c r="F64" s="3"/>
      <c r="G64" s="3"/>
      <c r="H64" s="3"/>
    </row>
    <row r="65" spans="1:8">
      <c r="A65" s="3" t="s">
        <v>755</v>
      </c>
      <c r="B65" s="3" t="s">
        <v>1909</v>
      </c>
      <c r="C65" s="3" t="s">
        <v>1910</v>
      </c>
      <c r="D65" s="3" t="s">
        <v>725</v>
      </c>
      <c r="E65" s="3"/>
      <c r="F65" s="3"/>
      <c r="G65" s="3"/>
      <c r="H65" s="3"/>
    </row>
    <row r="66" spans="1:8">
      <c r="A66" s="3" t="s">
        <v>755</v>
      </c>
      <c r="B66" s="3" t="s">
        <v>1576</v>
      </c>
      <c r="C66" s="3" t="s">
        <v>794</v>
      </c>
      <c r="D66" s="3" t="s">
        <v>725</v>
      </c>
      <c r="E66" s="3"/>
      <c r="F66" s="3"/>
      <c r="G66" s="3"/>
      <c r="H66" s="3"/>
    </row>
    <row r="67" spans="1:8">
      <c r="A67" s="3" t="s">
        <v>755</v>
      </c>
      <c r="B67" s="3" t="s">
        <v>795</v>
      </c>
      <c r="C67" s="3" t="s">
        <v>796</v>
      </c>
      <c r="D67" s="3" t="s">
        <v>725</v>
      </c>
      <c r="E67" s="3"/>
      <c r="F67" s="3"/>
      <c r="G67" s="3"/>
      <c r="H67" s="3"/>
    </row>
    <row r="68" spans="1:8">
      <c r="A68" s="3" t="s">
        <v>755</v>
      </c>
      <c r="B68" s="3" t="s">
        <v>1911</v>
      </c>
      <c r="C68" s="3" t="s">
        <v>1912</v>
      </c>
      <c r="D68" s="3" t="s">
        <v>725</v>
      </c>
      <c r="E68" s="3"/>
      <c r="F68" s="3"/>
      <c r="G68" s="3"/>
      <c r="H68" s="3"/>
    </row>
    <row r="69" spans="1:8">
      <c r="A69" s="3" t="s">
        <v>755</v>
      </c>
      <c r="B69" s="3" t="s">
        <v>1913</v>
      </c>
      <c r="C69" s="3" t="s">
        <v>1914</v>
      </c>
      <c r="D69" s="3" t="s">
        <v>725</v>
      </c>
      <c r="E69" s="3"/>
      <c r="F69" s="3"/>
      <c r="G69" s="3"/>
      <c r="H69" s="3"/>
    </row>
    <row r="70" spans="1:8">
      <c r="A70" s="3" t="s">
        <v>755</v>
      </c>
      <c r="B70" s="3" t="s">
        <v>1915</v>
      </c>
      <c r="C70" s="3" t="s">
        <v>1916</v>
      </c>
      <c r="D70" s="3" t="s">
        <v>725</v>
      </c>
      <c r="E70" s="3"/>
      <c r="F70" s="3"/>
      <c r="G70" s="3"/>
      <c r="H70" s="3"/>
    </row>
    <row r="71" spans="1:8">
      <c r="A71" s="3" t="s">
        <v>755</v>
      </c>
      <c r="B71" s="3" t="s">
        <v>756</v>
      </c>
      <c r="C71" s="3" t="s">
        <v>757</v>
      </c>
      <c r="D71" s="3" t="s">
        <v>725</v>
      </c>
      <c r="E71" s="3"/>
      <c r="F71" s="3"/>
      <c r="G71" s="3"/>
      <c r="H71" s="3"/>
    </row>
    <row r="72" spans="1:8">
      <c r="A72" s="3" t="s">
        <v>755</v>
      </c>
      <c r="B72" s="3" t="s">
        <v>1917</v>
      </c>
      <c r="C72" s="3" t="s">
        <v>1918</v>
      </c>
      <c r="D72" s="3" t="s">
        <v>725</v>
      </c>
      <c r="E72" s="3"/>
      <c r="F72" s="3"/>
      <c r="G72" s="3"/>
      <c r="H72" s="3"/>
    </row>
    <row r="73" spans="1:8">
      <c r="A73" s="3" t="s">
        <v>755</v>
      </c>
      <c r="B73" s="3" t="s">
        <v>1254</v>
      </c>
      <c r="C73" s="3" t="s">
        <v>426</v>
      </c>
      <c r="D73" s="3" t="s">
        <v>725</v>
      </c>
      <c r="E73" s="3"/>
      <c r="F73" s="3"/>
      <c r="G73" s="3"/>
      <c r="H73" s="3"/>
    </row>
    <row r="74" spans="1:8" ht="90">
      <c r="A74" s="3" t="s">
        <v>649</v>
      </c>
      <c r="B74" s="3" t="s">
        <v>1011</v>
      </c>
      <c r="C74" s="3" t="s">
        <v>1012</v>
      </c>
      <c r="D74" s="3" t="s">
        <v>1255</v>
      </c>
      <c r="E74" s="3" t="s">
        <v>1191</v>
      </c>
      <c r="F74" s="3" t="s">
        <v>804</v>
      </c>
      <c r="G74" s="20" t="s">
        <v>1919</v>
      </c>
      <c r="H74" s="3"/>
    </row>
    <row r="75" spans="1:8">
      <c r="A75" s="3" t="s">
        <v>649</v>
      </c>
      <c r="B75" s="3" t="s">
        <v>1920</v>
      </c>
      <c r="C75" s="3" t="s">
        <v>1921</v>
      </c>
      <c r="D75" s="3" t="s">
        <v>1255</v>
      </c>
      <c r="E75" s="3" t="s">
        <v>1191</v>
      </c>
      <c r="F75" s="3" t="s">
        <v>804</v>
      </c>
      <c r="G75" s="20"/>
      <c r="H75" s="3"/>
    </row>
    <row r="76" spans="1:8">
      <c r="A76" s="3" t="s">
        <v>649</v>
      </c>
      <c r="B76" s="3" t="s">
        <v>1031</v>
      </c>
      <c r="C76" s="3" t="s">
        <v>1032</v>
      </c>
      <c r="D76" s="3" t="s">
        <v>1507</v>
      </c>
      <c r="E76" s="3"/>
      <c r="F76" s="3" t="s">
        <v>786</v>
      </c>
      <c r="G76" s="3"/>
      <c r="H76" s="80"/>
    </row>
    <row r="77" spans="1:8">
      <c r="A77" s="3" t="s">
        <v>649</v>
      </c>
      <c r="B77" s="3" t="s">
        <v>1034</v>
      </c>
      <c r="C77" s="3" t="s">
        <v>1922</v>
      </c>
      <c r="D77" s="3" t="s">
        <v>1508</v>
      </c>
      <c r="E77" s="3"/>
      <c r="F77" s="3" t="s">
        <v>786</v>
      </c>
      <c r="G77" s="211"/>
      <c r="H77" s="3"/>
    </row>
    <row r="78" spans="1:8">
      <c r="A78" s="199" t="s">
        <v>640</v>
      </c>
      <c r="B78" s="199" t="s">
        <v>1146</v>
      </c>
      <c r="C78" s="200" t="s">
        <v>1351</v>
      </c>
      <c r="D78" s="200" t="s">
        <v>1352</v>
      </c>
      <c r="E78" s="200" t="s">
        <v>1172</v>
      </c>
      <c r="F78" s="200" t="s">
        <v>828</v>
      </c>
      <c r="G78" s="60"/>
      <c r="H78" s="3"/>
    </row>
    <row r="79" spans="1:8">
      <c r="A79" s="137" t="s">
        <v>640</v>
      </c>
      <c r="B79" s="137" t="s">
        <v>1191</v>
      </c>
      <c r="C79" s="25" t="s">
        <v>1353</v>
      </c>
      <c r="D79" s="25" t="s">
        <v>1352</v>
      </c>
      <c r="E79" s="25"/>
      <c r="F79" s="25" t="s">
        <v>786</v>
      </c>
      <c r="G79" s="50"/>
      <c r="H79" s="3"/>
    </row>
    <row r="80" spans="1:8" ht="38.25">
      <c r="A80" s="137" t="s">
        <v>640</v>
      </c>
      <c r="B80" s="137" t="s">
        <v>924</v>
      </c>
      <c r="C80" s="25" t="s">
        <v>564</v>
      </c>
      <c r="D80" s="25" t="s">
        <v>1352</v>
      </c>
      <c r="E80" s="25" t="s">
        <v>1242</v>
      </c>
      <c r="F80" s="25" t="s">
        <v>786</v>
      </c>
      <c r="G80" s="50" t="s">
        <v>1923</v>
      </c>
      <c r="H80" s="3"/>
    </row>
    <row r="82" spans="1:8">
      <c r="A82" t="s">
        <v>1924</v>
      </c>
    </row>
    <row r="83" spans="1:8">
      <c r="A83" t="s">
        <v>1925</v>
      </c>
    </row>
    <row r="85" spans="1:8">
      <c r="A85" t="s">
        <v>1926</v>
      </c>
    </row>
    <row r="86" spans="1:8">
      <c r="A86" t="s">
        <v>1927</v>
      </c>
      <c r="B86" t="s">
        <v>1928</v>
      </c>
    </row>
    <row r="87" spans="1:8">
      <c r="A87" t="s">
        <v>1929</v>
      </c>
      <c r="B87" t="s">
        <v>1930</v>
      </c>
    </row>
    <row r="88" spans="1:8">
      <c r="A88" t="s">
        <v>1931</v>
      </c>
      <c r="B88" t="s">
        <v>1932</v>
      </c>
    </row>
    <row r="90" spans="1:8">
      <c r="A90" s="248" t="s">
        <v>1933</v>
      </c>
    </row>
    <row r="92" spans="1:8">
      <c r="A92" s="285" t="s">
        <v>550</v>
      </c>
      <c r="B92" s="286" t="s">
        <v>775</v>
      </c>
      <c r="C92" s="74" t="s">
        <v>776</v>
      </c>
      <c r="D92" s="74" t="s">
        <v>777</v>
      </c>
      <c r="E92" s="74" t="s">
        <v>778</v>
      </c>
      <c r="F92" s="75" t="s">
        <v>779</v>
      </c>
      <c r="G92" s="75" t="s">
        <v>568</v>
      </c>
      <c r="H92" s="75" t="s">
        <v>780</v>
      </c>
    </row>
    <row r="93" spans="1:8">
      <c r="A93" s="3" t="s">
        <v>1169</v>
      </c>
      <c r="B93" s="3" t="s">
        <v>922</v>
      </c>
      <c r="C93" s="3" t="s">
        <v>923</v>
      </c>
      <c r="D93" s="3"/>
      <c r="E93" s="3"/>
      <c r="F93" s="3"/>
      <c r="G93" s="3"/>
      <c r="H93" s="3"/>
    </row>
    <row r="94" spans="1:8">
      <c r="A94" s="3" t="s">
        <v>1169</v>
      </c>
      <c r="B94" s="3" t="s">
        <v>1011</v>
      </c>
      <c r="C94" s="3" t="s">
        <v>1012</v>
      </c>
      <c r="D94" s="3"/>
      <c r="E94" s="3"/>
      <c r="F94" s="3"/>
      <c r="G94" s="3"/>
      <c r="H94" s="3"/>
    </row>
    <row r="95" spans="1:8">
      <c r="A95" s="3" t="s">
        <v>1169</v>
      </c>
      <c r="B95" s="3" t="s">
        <v>1934</v>
      </c>
      <c r="C95" s="3" t="s">
        <v>796</v>
      </c>
      <c r="D95" s="3"/>
      <c r="E95" s="3"/>
      <c r="F95" s="3"/>
      <c r="G95" s="3"/>
      <c r="H95" s="3"/>
    </row>
    <row r="96" spans="1:8">
      <c r="A96" s="3" t="s">
        <v>1169</v>
      </c>
      <c r="B96" s="3" t="s">
        <v>1851</v>
      </c>
      <c r="C96" s="3" t="s">
        <v>51</v>
      </c>
      <c r="D96" s="3"/>
      <c r="E96" s="3"/>
      <c r="F96" s="3"/>
      <c r="G96" s="3"/>
      <c r="H96" s="3"/>
    </row>
    <row r="97" spans="1:8">
      <c r="A97" s="3" t="s">
        <v>1169</v>
      </c>
      <c r="B97" s="3" t="s">
        <v>1935</v>
      </c>
      <c r="C97" s="3" t="s">
        <v>1936</v>
      </c>
      <c r="D97" s="3"/>
      <c r="E97" s="3"/>
      <c r="F97" s="3"/>
      <c r="G97" s="3"/>
      <c r="H97" s="3"/>
    </row>
    <row r="98" spans="1:8">
      <c r="A98" s="3" t="s">
        <v>1169</v>
      </c>
      <c r="B98" s="3" t="s">
        <v>1937</v>
      </c>
      <c r="C98" s="3" t="s">
        <v>1938</v>
      </c>
      <c r="D98" s="3"/>
      <c r="E98" s="3"/>
      <c r="F98" s="3"/>
      <c r="G98" s="3"/>
      <c r="H98" s="3"/>
    </row>
    <row r="99" spans="1:8">
      <c r="A99" s="3" t="s">
        <v>1169</v>
      </c>
      <c r="B99" s="3" t="s">
        <v>1471</v>
      </c>
      <c r="C99" s="3" t="s">
        <v>1038</v>
      </c>
      <c r="D99" s="3"/>
      <c r="E99" s="3"/>
      <c r="F99" s="3"/>
      <c r="G99" s="3"/>
      <c r="H99" s="3"/>
    </row>
    <row r="100" spans="1:8">
      <c r="A100" s="3" t="s">
        <v>1169</v>
      </c>
      <c r="B100" s="3" t="s">
        <v>944</v>
      </c>
      <c r="C100" s="3" t="s">
        <v>794</v>
      </c>
      <c r="D100" s="3"/>
      <c r="E100" s="3"/>
      <c r="F100" s="3"/>
      <c r="G100" s="3"/>
      <c r="H100" s="3"/>
    </row>
    <row r="101" spans="1:8">
      <c r="A101" s="3" t="s">
        <v>1169</v>
      </c>
      <c r="B101" s="3" t="s">
        <v>1862</v>
      </c>
      <c r="C101" s="3" t="s">
        <v>1863</v>
      </c>
      <c r="D101" s="3"/>
      <c r="E101" s="3"/>
      <c r="F101" s="3"/>
      <c r="G101" s="3"/>
      <c r="H101" s="3"/>
    </row>
    <row r="102" spans="1:8">
      <c r="A102" s="3" t="s">
        <v>1169</v>
      </c>
      <c r="B102" s="3" t="s">
        <v>1527</v>
      </c>
      <c r="C102" s="3" t="s">
        <v>315</v>
      </c>
      <c r="D102" s="3"/>
      <c r="E102" s="3"/>
      <c r="F102" s="3"/>
      <c r="G102" s="3"/>
      <c r="H102" s="3"/>
    </row>
    <row r="103" spans="1:8">
      <c r="A103" s="3" t="s">
        <v>1169</v>
      </c>
      <c r="B103" s="3" t="s">
        <v>946</v>
      </c>
      <c r="C103" s="3" t="s">
        <v>806</v>
      </c>
      <c r="D103" s="3"/>
      <c r="E103" s="3"/>
      <c r="F103" s="3"/>
      <c r="G103" s="3"/>
      <c r="H103" s="3"/>
    </row>
    <row r="104" spans="1:8">
      <c r="A104" s="3" t="s">
        <v>1166</v>
      </c>
      <c r="B104" s="3" t="s">
        <v>1939</v>
      </c>
      <c r="C104" s="3" t="s">
        <v>1940</v>
      </c>
      <c r="D104" s="3"/>
      <c r="E104" s="3"/>
      <c r="F104" s="3"/>
      <c r="G104" s="3"/>
      <c r="H104" s="3"/>
    </row>
    <row r="105" spans="1:8">
      <c r="A105" s="3" t="s">
        <v>1166</v>
      </c>
      <c r="B105" s="3" t="s">
        <v>1941</v>
      </c>
      <c r="C105" s="3" t="s">
        <v>1942</v>
      </c>
      <c r="D105" s="3"/>
      <c r="E105" s="3"/>
      <c r="F105" s="3"/>
      <c r="G105" s="3"/>
      <c r="H105" s="3"/>
    </row>
    <row r="106" spans="1:8">
      <c r="A106" s="3" t="s">
        <v>1166</v>
      </c>
      <c r="B106" s="3" t="s">
        <v>1527</v>
      </c>
      <c r="C106" s="3" t="s">
        <v>315</v>
      </c>
      <c r="D106" s="3"/>
      <c r="E106" s="3"/>
      <c r="F106" s="3"/>
      <c r="G106" s="3"/>
      <c r="H106" s="3"/>
    </row>
    <row r="107" spans="1:8">
      <c r="A107" s="3" t="s">
        <v>1166</v>
      </c>
      <c r="B107" s="3" t="s">
        <v>946</v>
      </c>
      <c r="C107" s="3" t="s">
        <v>806</v>
      </c>
      <c r="D107" s="3"/>
      <c r="E107" s="3"/>
      <c r="F107" s="3"/>
      <c r="G107" s="3"/>
      <c r="H107" s="3"/>
    </row>
    <row r="108" spans="1:8">
      <c r="A108" s="3" t="s">
        <v>1943</v>
      </c>
      <c r="B108" s="3" t="s">
        <v>1939</v>
      </c>
      <c r="C108" s="3" t="s">
        <v>1940</v>
      </c>
      <c r="D108" s="146"/>
      <c r="E108" s="3"/>
      <c r="F108" s="3"/>
      <c r="G108" s="3"/>
      <c r="H108" s="3"/>
    </row>
    <row r="109" spans="1:8">
      <c r="A109" s="3" t="s">
        <v>1943</v>
      </c>
      <c r="B109" s="3" t="s">
        <v>1944</v>
      </c>
      <c r="C109" s="3" t="s">
        <v>1945</v>
      </c>
      <c r="D109" s="146"/>
      <c r="E109" s="3"/>
      <c r="F109" s="3"/>
      <c r="G109" s="3"/>
      <c r="H109" s="3"/>
    </row>
    <row r="110" spans="1:8">
      <c r="A110" s="3" t="s">
        <v>1943</v>
      </c>
      <c r="B110" s="3" t="s">
        <v>1197</v>
      </c>
      <c r="C110" s="3" t="s">
        <v>1133</v>
      </c>
      <c r="D110" s="146"/>
      <c r="E110" s="3"/>
      <c r="F110" s="3"/>
      <c r="G110" s="3"/>
      <c r="H110" s="3"/>
    </row>
    <row r="111" spans="1:8">
      <c r="A111" s="3" t="s">
        <v>1943</v>
      </c>
      <c r="B111" s="3" t="s">
        <v>946</v>
      </c>
      <c r="C111" s="3" t="s">
        <v>806</v>
      </c>
      <c r="D111" s="146"/>
      <c r="E111" s="3"/>
      <c r="F111" s="3"/>
      <c r="G111" s="3"/>
      <c r="H111" s="3"/>
    </row>
    <row r="112" spans="1:8">
      <c r="A112" s="292" t="s">
        <v>1946</v>
      </c>
      <c r="B112" s="292" t="s">
        <v>987</v>
      </c>
      <c r="C112" s="292" t="s">
        <v>882</v>
      </c>
      <c r="D112" s="292"/>
      <c r="E112" s="292"/>
      <c r="F112" s="292"/>
      <c r="G112" s="292"/>
      <c r="H112" s="292"/>
    </row>
    <row r="113" spans="1:8">
      <c r="A113" s="3" t="s">
        <v>1946</v>
      </c>
      <c r="B113" s="3" t="s">
        <v>990</v>
      </c>
      <c r="C113" s="3" t="s">
        <v>991</v>
      </c>
      <c r="D113" s="3"/>
      <c r="E113" s="3"/>
      <c r="F113" s="3"/>
      <c r="G113" s="3"/>
      <c r="H113" s="3"/>
    </row>
    <row r="114" spans="1:8">
      <c r="A114" s="3" t="s">
        <v>1946</v>
      </c>
      <c r="B114" s="3" t="s">
        <v>992</v>
      </c>
      <c r="C114" s="3" t="s">
        <v>993</v>
      </c>
      <c r="D114" s="3"/>
      <c r="E114" s="3"/>
      <c r="F114" s="3"/>
      <c r="G114" s="3"/>
      <c r="H114" s="3"/>
    </row>
    <row r="115" spans="1:8">
      <c r="A115" s="3" t="s">
        <v>1946</v>
      </c>
      <c r="B115" s="3" t="s">
        <v>994</v>
      </c>
      <c r="C115" s="3" t="s">
        <v>995</v>
      </c>
      <c r="D115" s="3"/>
      <c r="E115" s="3"/>
      <c r="F115" s="3"/>
      <c r="G115" s="3"/>
      <c r="H115" s="3"/>
    </row>
    <row r="116" spans="1:8">
      <c r="A116" s="3" t="s">
        <v>1946</v>
      </c>
      <c r="B116" s="3" t="s">
        <v>996</v>
      </c>
      <c r="C116" s="3" t="s">
        <v>885</v>
      </c>
      <c r="D116" s="3"/>
      <c r="E116" s="3"/>
      <c r="F116" s="3"/>
      <c r="G116" s="3"/>
      <c r="H116" s="3"/>
    </row>
    <row r="117" spans="1:8">
      <c r="A117" s="3" t="s">
        <v>1946</v>
      </c>
      <c r="B117" s="3" t="s">
        <v>999</v>
      </c>
      <c r="C117" s="3" t="s">
        <v>893</v>
      </c>
      <c r="D117" s="3"/>
      <c r="E117" s="3"/>
      <c r="F117" s="3"/>
      <c r="G117" s="3"/>
      <c r="H117" s="3"/>
    </row>
    <row r="118" spans="1:8">
      <c r="A118" s="3" t="s">
        <v>1946</v>
      </c>
      <c r="B118" s="3" t="s">
        <v>1000</v>
      </c>
      <c r="C118" s="3" t="s">
        <v>887</v>
      </c>
      <c r="D118" s="3"/>
      <c r="E118" s="3"/>
      <c r="F118" s="3"/>
      <c r="G118" s="3"/>
      <c r="H118" s="3"/>
    </row>
    <row r="119" spans="1:8">
      <c r="A119" s="3" t="s">
        <v>1946</v>
      </c>
      <c r="B119" s="3" t="s">
        <v>1947</v>
      </c>
      <c r="C119" s="3" t="s">
        <v>1948</v>
      </c>
      <c r="D119" s="3"/>
      <c r="E119" s="3"/>
      <c r="F119" s="3"/>
      <c r="G119" s="3"/>
      <c r="H119" s="3"/>
    </row>
    <row r="120" spans="1:8">
      <c r="A120" s="3" t="s">
        <v>1946</v>
      </c>
      <c r="B120" s="3" t="s">
        <v>1022</v>
      </c>
      <c r="C120" s="3" t="s">
        <v>1023</v>
      </c>
      <c r="D120" s="3"/>
      <c r="E120" s="3"/>
      <c r="F120" s="3"/>
      <c r="G120" s="3"/>
      <c r="H120" s="3"/>
    </row>
    <row r="121" spans="1:8">
      <c r="A121" s="3" t="s">
        <v>1946</v>
      </c>
      <c r="B121" s="3" t="s">
        <v>1024</v>
      </c>
      <c r="C121" s="3" t="s">
        <v>1025</v>
      </c>
      <c r="D121" s="3"/>
      <c r="E121" s="3"/>
      <c r="F121" s="3"/>
      <c r="G121" s="3"/>
      <c r="H121" s="3"/>
    </row>
    <row r="122" spans="1:8">
      <c r="A122" s="3" t="s">
        <v>1946</v>
      </c>
      <c r="B122" s="3" t="s">
        <v>1026</v>
      </c>
      <c r="C122" s="3" t="s">
        <v>1027</v>
      </c>
      <c r="D122" s="3"/>
      <c r="E122" s="3"/>
      <c r="F122" s="3"/>
      <c r="G122" s="3"/>
      <c r="H122" s="3"/>
    </row>
    <row r="123" spans="1:8">
      <c r="A123" s="3" t="s">
        <v>1946</v>
      </c>
      <c r="B123" s="3" t="s">
        <v>1949</v>
      </c>
      <c r="C123" s="3" t="s">
        <v>1950</v>
      </c>
      <c r="D123" s="3"/>
      <c r="E123" s="3"/>
      <c r="F123" s="3"/>
      <c r="G123" s="3"/>
      <c r="H123" s="3"/>
    </row>
    <row r="124" spans="1:8">
      <c r="A124" s="3" t="s">
        <v>1946</v>
      </c>
      <c r="B124" s="3" t="s">
        <v>1214</v>
      </c>
      <c r="C124" s="3" t="s">
        <v>1010</v>
      </c>
      <c r="D124" s="3"/>
      <c r="E124" s="3"/>
      <c r="F124" s="3"/>
      <c r="G124" s="3"/>
      <c r="H124" s="3"/>
    </row>
    <row r="125" spans="1:8">
      <c r="A125" s="3" t="s">
        <v>1946</v>
      </c>
      <c r="B125" s="3" t="s">
        <v>1215</v>
      </c>
      <c r="C125" s="3" t="s">
        <v>1010</v>
      </c>
      <c r="D125" s="3"/>
      <c r="E125" s="3"/>
      <c r="F125" s="3"/>
      <c r="G125" s="3"/>
      <c r="H125" s="3"/>
    </row>
    <row r="126" spans="1:8">
      <c r="A126" s="3" t="s">
        <v>1946</v>
      </c>
      <c r="B126" s="3" t="s">
        <v>1039</v>
      </c>
      <c r="C126" s="3" t="s">
        <v>1040</v>
      </c>
      <c r="D126" s="3"/>
      <c r="E126" s="3"/>
      <c r="F126" s="3"/>
      <c r="G126" s="3"/>
      <c r="H126" s="3"/>
    </row>
    <row r="127" spans="1:8">
      <c r="A127" s="3" t="s">
        <v>1946</v>
      </c>
      <c r="B127" s="3" t="s">
        <v>1041</v>
      </c>
      <c r="C127" s="3" t="s">
        <v>1042</v>
      </c>
      <c r="D127" s="3"/>
      <c r="E127" s="3"/>
      <c r="F127" s="3"/>
      <c r="G127" s="3"/>
      <c r="H127" s="3"/>
    </row>
    <row r="128" spans="1:8">
      <c r="A128" s="3" t="s">
        <v>1946</v>
      </c>
      <c r="B128" s="3" t="s">
        <v>1951</v>
      </c>
      <c r="C128" s="3" t="s">
        <v>1952</v>
      </c>
      <c r="D128" s="3"/>
      <c r="E128" s="3"/>
      <c r="F128" s="3"/>
      <c r="G128" s="3"/>
      <c r="H128" s="3"/>
    </row>
    <row r="129" spans="1:8">
      <c r="A129" s="3" t="s">
        <v>1946</v>
      </c>
      <c r="B129" s="3" t="s">
        <v>1953</v>
      </c>
      <c r="C129" s="3" t="s">
        <v>1954</v>
      </c>
      <c r="D129" s="3"/>
      <c r="E129" s="3"/>
      <c r="F129" s="3"/>
      <c r="G129" s="3"/>
      <c r="H129" s="3"/>
    </row>
    <row r="130" spans="1:8">
      <c r="A130" s="3" t="s">
        <v>1946</v>
      </c>
      <c r="B130" s="3" t="s">
        <v>1955</v>
      </c>
      <c r="C130" s="3" t="s">
        <v>1956</v>
      </c>
      <c r="D130" s="3"/>
      <c r="E130" s="3"/>
      <c r="F130" s="3"/>
      <c r="G130" s="3"/>
      <c r="H130" s="3"/>
    </row>
    <row r="131" spans="1:8">
      <c r="A131" s="3" t="s">
        <v>1946</v>
      </c>
      <c r="B131" s="3" t="s">
        <v>1957</v>
      </c>
      <c r="C131" s="3" t="s">
        <v>1958</v>
      </c>
      <c r="D131" s="3"/>
      <c r="E131" s="3"/>
      <c r="F131" s="3"/>
      <c r="G131" s="3"/>
      <c r="H131" s="3"/>
    </row>
    <row r="132" spans="1:8">
      <c r="A132" s="3" t="s">
        <v>1946</v>
      </c>
      <c r="B132" s="3" t="s">
        <v>1959</v>
      </c>
      <c r="C132" s="3" t="s">
        <v>899</v>
      </c>
      <c r="D132" s="3"/>
      <c r="E132" s="3"/>
      <c r="F132" s="3"/>
      <c r="G132" s="3"/>
      <c r="H132" s="3"/>
    </row>
    <row r="133" spans="1:8">
      <c r="A133" s="3" t="s">
        <v>1946</v>
      </c>
      <c r="B133" s="3" t="s">
        <v>1960</v>
      </c>
      <c r="C133" s="3" t="s">
        <v>1961</v>
      </c>
      <c r="D133" s="3"/>
      <c r="E133" s="3"/>
      <c r="F133" s="3"/>
      <c r="G133" s="3"/>
      <c r="H133" s="3"/>
    </row>
    <row r="134" spans="1:8">
      <c r="A134" s="3" t="s">
        <v>1946</v>
      </c>
      <c r="B134" s="3" t="s">
        <v>1043</v>
      </c>
      <c r="C134" s="3" t="s">
        <v>889</v>
      </c>
      <c r="D134" s="3"/>
      <c r="E134" s="3"/>
      <c r="F134" s="3"/>
      <c r="G134" s="3"/>
      <c r="H134" s="3"/>
    </row>
    <row r="135" spans="1:8">
      <c r="A135" s="3" t="s">
        <v>1946</v>
      </c>
      <c r="B135" s="3" t="s">
        <v>1962</v>
      </c>
      <c r="C135" s="3" t="s">
        <v>1963</v>
      </c>
      <c r="D135" s="3"/>
      <c r="E135" s="3"/>
      <c r="F135" s="3"/>
      <c r="G135" s="3"/>
      <c r="H135" s="3"/>
    </row>
    <row r="136" spans="1:8">
      <c r="A136" s="3" t="s">
        <v>1946</v>
      </c>
      <c r="B136" s="3" t="s">
        <v>1047</v>
      </c>
      <c r="C136" s="3" t="s">
        <v>891</v>
      </c>
      <c r="D136" s="3"/>
      <c r="E136" s="3"/>
      <c r="F136" s="3"/>
      <c r="G136" s="3"/>
      <c r="H136" s="3"/>
    </row>
    <row r="137" spans="1:8">
      <c r="A137" s="3" t="s">
        <v>1946</v>
      </c>
      <c r="B137" s="3" t="s">
        <v>1049</v>
      </c>
      <c r="C137" s="3" t="s">
        <v>1050</v>
      </c>
      <c r="D137" s="3"/>
      <c r="E137" s="3"/>
      <c r="F137" s="3"/>
      <c r="G137" s="3"/>
      <c r="H137" s="3"/>
    </row>
    <row r="138" spans="1:8">
      <c r="A138" s="3" t="s">
        <v>1946</v>
      </c>
      <c r="B138" s="3" t="s">
        <v>946</v>
      </c>
      <c r="C138" s="3" t="s">
        <v>806</v>
      </c>
      <c r="D138" s="3"/>
      <c r="E138" s="3"/>
      <c r="F138" s="3"/>
      <c r="G138" s="3"/>
      <c r="H138" s="3"/>
    </row>
    <row r="139" spans="1:8">
      <c r="A139" s="3" t="s">
        <v>1946</v>
      </c>
      <c r="B139" s="3" t="s">
        <v>1964</v>
      </c>
      <c r="C139" s="3" t="s">
        <v>1965</v>
      </c>
      <c r="D139" s="3"/>
      <c r="E139" s="3"/>
      <c r="F139" s="3"/>
      <c r="G139" s="3"/>
      <c r="H139" s="3"/>
    </row>
    <row r="140" spans="1:8">
      <c r="A140" s="3" t="s">
        <v>1946</v>
      </c>
      <c r="B140" s="3" t="s">
        <v>1966</v>
      </c>
      <c r="C140" s="3" t="s">
        <v>1967</v>
      </c>
      <c r="D140" s="3"/>
      <c r="E140" s="3"/>
      <c r="F140" s="3"/>
      <c r="G140" s="3"/>
      <c r="H140" s="3"/>
    </row>
    <row r="141" spans="1:8">
      <c r="A141" s="80" t="s">
        <v>1946</v>
      </c>
      <c r="B141" s="80" t="s">
        <v>1968</v>
      </c>
      <c r="C141" s="80" t="s">
        <v>1969</v>
      </c>
      <c r="D141" s="80"/>
      <c r="E141" s="80"/>
      <c r="F141" s="80"/>
      <c r="G141" s="80"/>
      <c r="H141" s="80"/>
    </row>
    <row r="142" spans="1:8">
      <c r="A142" s="3" t="s">
        <v>649</v>
      </c>
      <c r="B142" s="3" t="s">
        <v>924</v>
      </c>
      <c r="C142" s="3" t="s">
        <v>564</v>
      </c>
      <c r="D142" s="3"/>
      <c r="E142" s="3"/>
      <c r="F142" s="3"/>
      <c r="G142" s="3"/>
      <c r="H142" s="3"/>
    </row>
    <row r="143" spans="1:8">
      <c r="A143" s="3" t="s">
        <v>649</v>
      </c>
      <c r="B143" s="3" t="s">
        <v>926</v>
      </c>
      <c r="C143" s="3" t="s">
        <v>802</v>
      </c>
      <c r="D143" s="3"/>
      <c r="E143" s="3"/>
      <c r="F143" s="3"/>
      <c r="G143" s="3"/>
      <c r="H143" s="3"/>
    </row>
    <row r="144" spans="1:8">
      <c r="A144" s="3" t="s">
        <v>649</v>
      </c>
      <c r="B144" s="3" t="s">
        <v>928</v>
      </c>
      <c r="C144" s="3" t="s">
        <v>784</v>
      </c>
      <c r="D144" s="3"/>
      <c r="E144" s="3"/>
      <c r="F144" s="3"/>
      <c r="G144" s="3"/>
      <c r="H144" s="3"/>
    </row>
    <row r="145" spans="1:8">
      <c r="A145" s="3" t="s">
        <v>649</v>
      </c>
      <c r="B145" s="3" t="s">
        <v>933</v>
      </c>
      <c r="C145" s="3" t="s">
        <v>798</v>
      </c>
      <c r="D145" s="3"/>
      <c r="E145" s="3"/>
      <c r="F145" s="3"/>
      <c r="G145" s="3"/>
      <c r="H145" s="3"/>
    </row>
    <row r="146" spans="1:8">
      <c r="A146" s="3" t="s">
        <v>649</v>
      </c>
      <c r="B146" s="3" t="s">
        <v>1011</v>
      </c>
      <c r="C146" s="3" t="s">
        <v>1012</v>
      </c>
      <c r="D146" s="3"/>
      <c r="E146" s="3"/>
      <c r="F146" s="3"/>
      <c r="G146" s="3"/>
      <c r="H146" s="3"/>
    </row>
    <row r="147" spans="1:8">
      <c r="A147" s="3" t="s">
        <v>649</v>
      </c>
      <c r="B147" s="3" t="s">
        <v>1031</v>
      </c>
      <c r="C147" s="3" t="s">
        <v>1032</v>
      </c>
      <c r="D147" s="3"/>
      <c r="E147" s="3"/>
      <c r="F147" s="3"/>
      <c r="G147" s="3"/>
      <c r="H147" s="3"/>
    </row>
    <row r="148" spans="1:8">
      <c r="A148" s="3" t="s">
        <v>649</v>
      </c>
      <c r="B148" s="3" t="s">
        <v>1034</v>
      </c>
      <c r="C148" s="3" t="s">
        <v>1035</v>
      </c>
      <c r="D148" s="3"/>
      <c r="E148" s="3"/>
      <c r="F148" s="3"/>
      <c r="G148" s="3"/>
      <c r="H148" s="3"/>
    </row>
    <row r="149" spans="1:8">
      <c r="A149" s="3" t="s">
        <v>649</v>
      </c>
      <c r="B149" s="3" t="s">
        <v>1970</v>
      </c>
      <c r="C149" s="3" t="s">
        <v>1514</v>
      </c>
      <c r="D149" s="3"/>
      <c r="E149" s="3"/>
      <c r="F149" s="3"/>
      <c r="G149" s="3"/>
      <c r="H149" s="3"/>
    </row>
    <row r="150" spans="1:8">
      <c r="A150" s="3" t="s">
        <v>649</v>
      </c>
      <c r="B150" s="3" t="s">
        <v>945</v>
      </c>
      <c r="C150" s="3" t="s">
        <v>800</v>
      </c>
      <c r="D150" s="3"/>
      <c r="E150" s="3"/>
      <c r="F150" s="3"/>
      <c r="G150" s="3"/>
      <c r="H150" s="3"/>
    </row>
    <row r="151" spans="1:8">
      <c r="A151" s="80" t="s">
        <v>649</v>
      </c>
      <c r="B151" s="80" t="s">
        <v>946</v>
      </c>
      <c r="C151" s="80" t="s">
        <v>806</v>
      </c>
      <c r="D151" s="80"/>
      <c r="E151" s="80"/>
      <c r="F151" s="80"/>
      <c r="G151" s="80"/>
      <c r="H151" s="80"/>
    </row>
    <row r="152" spans="1:8">
      <c r="A152" s="3" t="s">
        <v>640</v>
      </c>
      <c r="B152" s="3" t="s">
        <v>1161</v>
      </c>
      <c r="C152" s="3" t="s">
        <v>1162</v>
      </c>
      <c r="D152" s="3"/>
      <c r="E152" s="3"/>
      <c r="F152" s="3"/>
      <c r="G152" s="3"/>
      <c r="H152" s="3"/>
    </row>
    <row r="153" spans="1:8">
      <c r="A153" s="3" t="s">
        <v>640</v>
      </c>
      <c r="B153" s="3" t="s">
        <v>922</v>
      </c>
      <c r="C153" s="3" t="s">
        <v>923</v>
      </c>
      <c r="D153" s="3"/>
      <c r="E153" s="3"/>
      <c r="F153" s="3"/>
      <c r="G153" s="3"/>
      <c r="H153" s="3"/>
    </row>
    <row r="154" spans="1:8">
      <c r="A154" s="3" t="s">
        <v>640</v>
      </c>
      <c r="B154" s="3" t="s">
        <v>924</v>
      </c>
      <c r="C154" s="3" t="s">
        <v>564</v>
      </c>
      <c r="D154" s="3"/>
      <c r="E154" s="3"/>
      <c r="F154" s="3"/>
      <c r="G154" s="3"/>
      <c r="H154" s="3"/>
    </row>
    <row r="155" spans="1:8">
      <c r="A155" s="3" t="s">
        <v>640</v>
      </c>
      <c r="B155" s="3" t="s">
        <v>926</v>
      </c>
      <c r="C155" s="3" t="s">
        <v>802</v>
      </c>
      <c r="D155" s="3"/>
      <c r="E155" s="3"/>
      <c r="F155" s="3"/>
      <c r="G155" s="3"/>
      <c r="H155" s="3"/>
    </row>
    <row r="156" spans="1:8">
      <c r="A156" s="3" t="s">
        <v>640</v>
      </c>
      <c r="B156" s="3" t="s">
        <v>928</v>
      </c>
      <c r="C156" s="3" t="s">
        <v>784</v>
      </c>
      <c r="D156" s="3"/>
      <c r="E156" s="3"/>
      <c r="F156" s="3"/>
      <c r="G156" s="3"/>
      <c r="H156" s="3"/>
    </row>
    <row r="157" spans="1:8">
      <c r="A157" s="3" t="s">
        <v>640</v>
      </c>
      <c r="B157" s="3" t="s">
        <v>933</v>
      </c>
      <c r="C157" s="3" t="s">
        <v>798</v>
      </c>
      <c r="D157" s="3"/>
      <c r="E157" s="3"/>
      <c r="F157" s="3"/>
      <c r="G157" s="3"/>
      <c r="H157" s="3"/>
    </row>
    <row r="158" spans="1:8">
      <c r="A158" s="3" t="s">
        <v>640</v>
      </c>
      <c r="B158" s="3" t="s">
        <v>1167</v>
      </c>
      <c r="C158" s="3" t="s">
        <v>1168</v>
      </c>
      <c r="D158" s="3"/>
      <c r="E158" s="3"/>
      <c r="F158" s="3"/>
      <c r="G158" s="3"/>
      <c r="H158" s="3"/>
    </row>
    <row r="159" spans="1:8">
      <c r="A159" s="3" t="s">
        <v>640</v>
      </c>
      <c r="B159" s="3" t="s">
        <v>1170</v>
      </c>
      <c r="C159" s="3" t="s">
        <v>1155</v>
      </c>
      <c r="D159" s="3"/>
      <c r="E159" s="3"/>
      <c r="F159" s="3"/>
      <c r="G159" s="3"/>
      <c r="H159" s="3"/>
    </row>
    <row r="160" spans="1:8">
      <c r="A160" s="3" t="s">
        <v>640</v>
      </c>
      <c r="B160" s="3" t="s">
        <v>1011</v>
      </c>
      <c r="C160" s="3" t="s">
        <v>1012</v>
      </c>
      <c r="D160" s="3"/>
      <c r="E160" s="3"/>
      <c r="F160" s="3"/>
      <c r="G160" s="3"/>
      <c r="H160" s="3"/>
    </row>
    <row r="161" spans="1:8">
      <c r="A161" s="3" t="s">
        <v>640</v>
      </c>
      <c r="B161" s="3" t="s">
        <v>1172</v>
      </c>
      <c r="C161" s="3" t="s">
        <v>260</v>
      </c>
      <c r="D161" s="3"/>
      <c r="E161" s="3"/>
      <c r="F161" s="3"/>
      <c r="G161" s="3"/>
      <c r="H161" s="3"/>
    </row>
    <row r="162" spans="1:8">
      <c r="A162" s="3" t="s">
        <v>640</v>
      </c>
      <c r="B162" s="3" t="s">
        <v>1173</v>
      </c>
      <c r="C162" s="3" t="s">
        <v>1174</v>
      </c>
      <c r="D162" s="3"/>
      <c r="E162" s="3"/>
      <c r="F162" s="3"/>
      <c r="G162" s="3"/>
      <c r="H162" s="3"/>
    </row>
    <row r="163" spans="1:8">
      <c r="A163" s="3" t="s">
        <v>640</v>
      </c>
      <c r="B163" s="3" t="s">
        <v>1175</v>
      </c>
      <c r="C163" s="3" t="s">
        <v>1147</v>
      </c>
      <c r="D163" s="3"/>
      <c r="E163" s="3"/>
      <c r="F163" s="3"/>
      <c r="G163" s="3"/>
      <c r="H163" s="3"/>
    </row>
    <row r="164" spans="1:8">
      <c r="A164" s="3" t="s">
        <v>640</v>
      </c>
      <c r="B164" s="3" t="s">
        <v>945</v>
      </c>
      <c r="C164" s="3" t="s">
        <v>800</v>
      </c>
      <c r="D164" s="3"/>
      <c r="E164" s="3"/>
      <c r="F164" s="3"/>
      <c r="G164" s="3"/>
      <c r="H164" s="3"/>
    </row>
    <row r="165" spans="1:8">
      <c r="A165" s="3" t="s">
        <v>640</v>
      </c>
      <c r="B165" s="3" t="s">
        <v>946</v>
      </c>
      <c r="C165" s="3" t="s">
        <v>806</v>
      </c>
      <c r="D165" s="3"/>
      <c r="E165" s="3"/>
      <c r="F165" s="3"/>
      <c r="G165" s="3"/>
      <c r="H165" s="3"/>
    </row>
  </sheetData>
  <mergeCells count="2">
    <mergeCell ref="C2:H2"/>
    <mergeCell ref="C3:H3"/>
  </mergeCells>
  <hyperlinks>
    <hyperlink ref="B1" location="Summary!A1" display="Summary" xr:uid="{3BA1F063-930C-4C17-8F0C-18967786DE2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DA1E-2A5B-4117-B961-66E7C3607CCE}">
  <dimension ref="A1:H157"/>
  <sheetViews>
    <sheetView workbookViewId="0">
      <selection activeCell="B1" sqref="B1"/>
    </sheetView>
  </sheetViews>
  <sheetFormatPr defaultColWidth="32.5703125" defaultRowHeight="15"/>
  <sheetData>
    <row r="1" spans="1:8">
      <c r="B1" s="28" t="s">
        <v>773</v>
      </c>
      <c r="C1" s="29"/>
      <c r="D1" s="29"/>
      <c r="E1" s="29"/>
      <c r="F1" s="29"/>
      <c r="G1" s="29"/>
      <c r="H1" s="29"/>
    </row>
    <row r="2" spans="1:8">
      <c r="B2" s="30" t="s">
        <v>1886</v>
      </c>
      <c r="C2" s="316"/>
      <c r="D2" s="316"/>
      <c r="E2" s="316"/>
      <c r="F2" s="316"/>
      <c r="G2" s="316"/>
      <c r="H2" s="316"/>
    </row>
    <row r="3" spans="1:8">
      <c r="B3" s="30" t="s">
        <v>571</v>
      </c>
      <c r="C3" s="317" t="str">
        <f>Summary!O118</f>
        <v>This table records information about Field Activities. It is useful for Clients as it allows them to easily access and extract FA-related data via reports.</v>
      </c>
      <c r="D3" s="317"/>
      <c r="E3" s="317"/>
      <c r="F3" s="317"/>
      <c r="G3" s="317"/>
      <c r="H3" s="317"/>
    </row>
    <row r="4" spans="1:8">
      <c r="B4" s="30" t="s">
        <v>566</v>
      </c>
      <c r="C4" s="29" t="s">
        <v>586</v>
      </c>
      <c r="D4" s="29"/>
      <c r="E4" s="29"/>
      <c r="F4" s="29"/>
      <c r="G4" s="29"/>
      <c r="H4" s="29"/>
    </row>
    <row r="6" spans="1:8">
      <c r="A6" s="159" t="s">
        <v>550</v>
      </c>
      <c r="B6" s="155" t="s">
        <v>775</v>
      </c>
      <c r="C6" s="66" t="s">
        <v>776</v>
      </c>
      <c r="D6" s="66" t="s">
        <v>777</v>
      </c>
      <c r="E6" s="66" t="s">
        <v>778</v>
      </c>
      <c r="F6" s="70" t="s">
        <v>779</v>
      </c>
      <c r="G6" s="70" t="s">
        <v>568</v>
      </c>
      <c r="H6" s="70" t="s">
        <v>780</v>
      </c>
    </row>
    <row r="7" spans="1:8">
      <c r="A7" s="3" t="s">
        <v>646</v>
      </c>
      <c r="B7" s="156" t="s">
        <v>1049</v>
      </c>
      <c r="C7" s="3" t="s">
        <v>1050</v>
      </c>
      <c r="D7" s="3" t="s">
        <v>1185</v>
      </c>
      <c r="E7" s="3"/>
      <c r="F7" s="3" t="s">
        <v>786</v>
      </c>
      <c r="G7" s="3"/>
      <c r="H7" s="3"/>
    </row>
    <row r="8" spans="1:8">
      <c r="A8" s="3" t="s">
        <v>646</v>
      </c>
      <c r="B8" s="156" t="s">
        <v>984</v>
      </c>
      <c r="C8" s="33" t="s">
        <v>985</v>
      </c>
      <c r="D8" s="33" t="s">
        <v>1186</v>
      </c>
      <c r="E8" s="33"/>
      <c r="F8" s="33" t="s">
        <v>804</v>
      </c>
      <c r="G8" s="33"/>
      <c r="H8" s="33"/>
    </row>
    <row r="9" spans="1:8">
      <c r="A9" s="3" t="s">
        <v>646</v>
      </c>
      <c r="B9" s="156" t="s">
        <v>999</v>
      </c>
      <c r="C9" s="33" t="s">
        <v>893</v>
      </c>
      <c r="D9" s="33" t="s">
        <v>1187</v>
      </c>
      <c r="E9" s="33"/>
      <c r="F9" s="33" t="s">
        <v>786</v>
      </c>
      <c r="G9" s="33"/>
      <c r="H9" s="33"/>
    </row>
    <row r="10" spans="1:8">
      <c r="A10" s="3" t="s">
        <v>646</v>
      </c>
      <c r="B10" s="156" t="s">
        <v>1043</v>
      </c>
      <c r="C10" s="33" t="s">
        <v>889</v>
      </c>
      <c r="D10" s="33" t="s">
        <v>725</v>
      </c>
      <c r="E10" s="33"/>
      <c r="F10" s="33" t="s">
        <v>725</v>
      </c>
      <c r="G10" s="33"/>
      <c r="H10" s="33"/>
    </row>
    <row r="11" spans="1:8">
      <c r="A11" s="3" t="s">
        <v>646</v>
      </c>
      <c r="B11" s="156" t="s">
        <v>987</v>
      </c>
      <c r="C11" s="33" t="s">
        <v>882</v>
      </c>
      <c r="D11" s="33" t="s">
        <v>725</v>
      </c>
      <c r="E11" s="33"/>
      <c r="F11" s="33" t="s">
        <v>725</v>
      </c>
      <c r="G11" s="33"/>
      <c r="H11" s="33"/>
    </row>
    <row r="12" spans="1:8">
      <c r="A12" s="3" t="s">
        <v>646</v>
      </c>
      <c r="B12" s="156" t="s">
        <v>988</v>
      </c>
      <c r="C12" s="33" t="s">
        <v>989</v>
      </c>
      <c r="D12" s="33" t="s">
        <v>725</v>
      </c>
      <c r="E12" s="33"/>
      <c r="F12" s="33" t="s">
        <v>725</v>
      </c>
      <c r="G12" s="33"/>
      <c r="H12" s="33"/>
    </row>
    <row r="13" spans="1:8">
      <c r="A13" s="3" t="s">
        <v>646</v>
      </c>
      <c r="B13" s="156" t="s">
        <v>990</v>
      </c>
      <c r="C13" s="33" t="s">
        <v>991</v>
      </c>
      <c r="D13" s="33" t="s">
        <v>725</v>
      </c>
      <c r="E13" s="33"/>
      <c r="F13" s="33" t="s">
        <v>725</v>
      </c>
      <c r="G13" s="33"/>
      <c r="H13" s="33"/>
    </row>
    <row r="14" spans="1:8">
      <c r="A14" s="3" t="s">
        <v>646</v>
      </c>
      <c r="B14" s="156" t="s">
        <v>992</v>
      </c>
      <c r="C14" s="33" t="s">
        <v>993</v>
      </c>
      <c r="D14" s="33" t="s">
        <v>725</v>
      </c>
      <c r="E14" s="33"/>
      <c r="F14" s="33" t="s">
        <v>725</v>
      </c>
      <c r="G14" s="33"/>
      <c r="H14" s="33"/>
    </row>
    <row r="15" spans="1:8">
      <c r="A15" s="3" t="s">
        <v>646</v>
      </c>
      <c r="B15" s="156" t="s">
        <v>994</v>
      </c>
      <c r="C15" s="33" t="s">
        <v>995</v>
      </c>
      <c r="D15" s="33" t="s">
        <v>725</v>
      </c>
      <c r="E15" s="33"/>
      <c r="F15" s="33" t="s">
        <v>725</v>
      </c>
      <c r="G15" s="33"/>
      <c r="H15" s="33"/>
    </row>
    <row r="16" spans="1:8">
      <c r="A16" s="3" t="s">
        <v>646</v>
      </c>
      <c r="B16" s="156" t="s">
        <v>996</v>
      </c>
      <c r="C16" s="33" t="s">
        <v>885</v>
      </c>
      <c r="D16" s="33" t="s">
        <v>725</v>
      </c>
      <c r="E16" s="33"/>
      <c r="F16" s="33" t="s">
        <v>725</v>
      </c>
      <c r="G16" s="33"/>
      <c r="H16" s="33"/>
    </row>
    <row r="17" spans="1:8">
      <c r="A17" s="3" t="s">
        <v>646</v>
      </c>
      <c r="B17" s="156" t="s">
        <v>997</v>
      </c>
      <c r="C17" s="33" t="s">
        <v>998</v>
      </c>
      <c r="D17" s="33" t="s">
        <v>725</v>
      </c>
      <c r="E17" s="33"/>
      <c r="F17" s="33" t="s">
        <v>725</v>
      </c>
      <c r="G17" s="33"/>
      <c r="H17" s="33"/>
    </row>
    <row r="18" spans="1:8">
      <c r="A18" s="3" t="s">
        <v>646</v>
      </c>
      <c r="B18" s="156" t="s">
        <v>1039</v>
      </c>
      <c r="C18" s="33" t="s">
        <v>1040</v>
      </c>
      <c r="D18" s="33" t="s">
        <v>725</v>
      </c>
      <c r="E18" s="33"/>
      <c r="F18" s="33" t="s">
        <v>725</v>
      </c>
      <c r="G18" s="33"/>
      <c r="H18" s="33"/>
    </row>
    <row r="19" spans="1:8">
      <c r="A19" s="3" t="s">
        <v>646</v>
      </c>
      <c r="B19" s="156" t="s">
        <v>1041</v>
      </c>
      <c r="C19" s="33" t="s">
        <v>1042</v>
      </c>
      <c r="D19" s="33" t="s">
        <v>725</v>
      </c>
      <c r="E19" s="33"/>
      <c r="F19" s="33" t="s">
        <v>725</v>
      </c>
      <c r="G19" s="33"/>
      <c r="H19" s="33"/>
    </row>
    <row r="20" spans="1:8">
      <c r="A20" s="3" t="s">
        <v>646</v>
      </c>
      <c r="B20" s="156" t="s">
        <v>1000</v>
      </c>
      <c r="C20" s="33" t="s">
        <v>887</v>
      </c>
      <c r="D20" s="33" t="s">
        <v>725</v>
      </c>
      <c r="E20" s="33"/>
      <c r="F20" s="33" t="s">
        <v>725</v>
      </c>
      <c r="G20" s="33"/>
      <c r="H20" s="33"/>
    </row>
    <row r="21" spans="1:8">
      <c r="A21" s="3" t="s">
        <v>646</v>
      </c>
      <c r="B21" s="156" t="s">
        <v>1024</v>
      </c>
      <c r="C21" s="33" t="s">
        <v>1025</v>
      </c>
      <c r="D21" s="33" t="s">
        <v>725</v>
      </c>
      <c r="E21" s="33"/>
      <c r="F21" s="33" t="s">
        <v>725</v>
      </c>
      <c r="G21" s="33"/>
      <c r="H21" s="33"/>
    </row>
    <row r="22" spans="1:8">
      <c r="A22" s="3" t="s">
        <v>646</v>
      </c>
      <c r="B22" s="156" t="s">
        <v>1022</v>
      </c>
      <c r="C22" s="33" t="s">
        <v>1023</v>
      </c>
      <c r="D22" s="33" t="s">
        <v>725</v>
      </c>
      <c r="E22" s="33"/>
      <c r="F22" s="33" t="s">
        <v>725</v>
      </c>
      <c r="G22" s="33"/>
      <c r="H22" s="33"/>
    </row>
    <row r="23" spans="1:8">
      <c r="A23" s="3" t="s">
        <v>646</v>
      </c>
      <c r="B23" s="156" t="s">
        <v>1026</v>
      </c>
      <c r="C23" s="33" t="s">
        <v>1027</v>
      </c>
      <c r="D23" s="33" t="s">
        <v>725</v>
      </c>
      <c r="E23" s="33"/>
      <c r="F23" s="33" t="s">
        <v>725</v>
      </c>
      <c r="G23" s="33"/>
      <c r="H23" s="33"/>
    </row>
    <row r="24" spans="1:8">
      <c r="A24" s="3" t="s">
        <v>646</v>
      </c>
      <c r="B24" s="156" t="s">
        <v>1047</v>
      </c>
      <c r="C24" s="33" t="s">
        <v>891</v>
      </c>
      <c r="D24" s="33" t="s">
        <v>1188</v>
      </c>
      <c r="E24" s="33"/>
      <c r="F24" s="33" t="s">
        <v>786</v>
      </c>
      <c r="G24" s="33"/>
      <c r="H24" s="33"/>
    </row>
    <row r="25" spans="1:8">
      <c r="A25" s="3" t="s">
        <v>646</v>
      </c>
      <c r="B25" s="156" t="s">
        <v>928</v>
      </c>
      <c r="C25" s="33" t="s">
        <v>784</v>
      </c>
      <c r="D25" s="33" t="s">
        <v>785</v>
      </c>
      <c r="E25" s="33"/>
      <c r="F25" s="33" t="s">
        <v>786</v>
      </c>
      <c r="G25" s="33"/>
      <c r="H25" s="33"/>
    </row>
    <row r="26" spans="1:8">
      <c r="A26" s="3" t="s">
        <v>646</v>
      </c>
      <c r="B26" s="156" t="s">
        <v>924</v>
      </c>
      <c r="C26" s="33" t="s">
        <v>564</v>
      </c>
      <c r="D26" s="33" t="s">
        <v>788</v>
      </c>
      <c r="E26" s="33"/>
      <c r="F26" s="33" t="s">
        <v>786</v>
      </c>
      <c r="G26" s="33"/>
      <c r="H26" s="33"/>
    </row>
    <row r="27" spans="1:8">
      <c r="A27" s="3" t="s">
        <v>646</v>
      </c>
      <c r="B27" s="156" t="s">
        <v>926</v>
      </c>
      <c r="C27" s="33" t="s">
        <v>802</v>
      </c>
      <c r="D27" s="33" t="s">
        <v>803</v>
      </c>
      <c r="E27" s="33"/>
      <c r="F27" s="33" t="s">
        <v>804</v>
      </c>
      <c r="G27" s="33"/>
      <c r="H27" s="33"/>
    </row>
    <row r="28" spans="1:8">
      <c r="A28" s="3" t="s">
        <v>646</v>
      </c>
      <c r="B28" s="156" t="s">
        <v>945</v>
      </c>
      <c r="C28" s="33" t="s">
        <v>800</v>
      </c>
      <c r="D28" s="33" t="s">
        <v>725</v>
      </c>
      <c r="E28" s="33"/>
      <c r="F28" s="33" t="s">
        <v>725</v>
      </c>
      <c r="G28" s="33"/>
      <c r="H28" s="33"/>
    </row>
    <row r="29" spans="1:8">
      <c r="A29" s="3" t="s">
        <v>646</v>
      </c>
      <c r="B29" s="156" t="s">
        <v>933</v>
      </c>
      <c r="C29" s="33" t="s">
        <v>798</v>
      </c>
      <c r="D29" s="33" t="s">
        <v>725</v>
      </c>
      <c r="E29" s="33"/>
      <c r="F29" s="33" t="s">
        <v>725</v>
      </c>
      <c r="G29" s="33"/>
      <c r="H29" s="33"/>
    </row>
    <row r="30" spans="1:8">
      <c r="A30" s="3" t="s">
        <v>646</v>
      </c>
      <c r="B30" s="156" t="s">
        <v>922</v>
      </c>
      <c r="C30" s="33" t="s">
        <v>923</v>
      </c>
      <c r="D30" s="33" t="s">
        <v>725</v>
      </c>
      <c r="E30" s="33"/>
      <c r="F30" s="33" t="s">
        <v>725</v>
      </c>
      <c r="G30" s="33"/>
      <c r="H30" s="33"/>
    </row>
    <row r="31" spans="1:8">
      <c r="A31" s="3" t="s">
        <v>646</v>
      </c>
      <c r="B31" s="156" t="s">
        <v>946</v>
      </c>
      <c r="C31" s="33" t="s">
        <v>806</v>
      </c>
      <c r="D31" s="33" t="s">
        <v>725</v>
      </c>
      <c r="E31" s="33"/>
      <c r="F31" s="33" t="s">
        <v>725</v>
      </c>
      <c r="G31" s="33"/>
      <c r="H31" s="33"/>
    </row>
    <row r="32" spans="1:8">
      <c r="A32" s="3" t="s">
        <v>646</v>
      </c>
      <c r="B32" s="156" t="s">
        <v>1031</v>
      </c>
      <c r="C32" s="33" t="s">
        <v>1032</v>
      </c>
      <c r="D32" s="33" t="s">
        <v>1033</v>
      </c>
      <c r="E32" s="33"/>
      <c r="F32" s="33" t="s">
        <v>804</v>
      </c>
      <c r="G32" s="33"/>
      <c r="H32" s="33"/>
    </row>
    <row r="33" spans="1:8">
      <c r="A33" s="3" t="s">
        <v>646</v>
      </c>
      <c r="B33" s="156" t="s">
        <v>1003</v>
      </c>
      <c r="C33" s="33" t="s">
        <v>895</v>
      </c>
      <c r="D33" s="33" t="s">
        <v>725</v>
      </c>
      <c r="E33" s="33"/>
      <c r="F33" s="33" t="s">
        <v>725</v>
      </c>
      <c r="G33" s="33"/>
      <c r="H33" s="33"/>
    </row>
    <row r="34" spans="1:8" ht="25.5">
      <c r="A34" s="3" t="s">
        <v>646</v>
      </c>
      <c r="B34" s="156" t="s">
        <v>1016</v>
      </c>
      <c r="C34" s="33" t="s">
        <v>1017</v>
      </c>
      <c r="D34" s="34" t="s">
        <v>1189</v>
      </c>
      <c r="E34" s="33"/>
      <c r="F34" s="33" t="s">
        <v>804</v>
      </c>
      <c r="G34" s="33"/>
      <c r="H34" s="33"/>
    </row>
    <row r="35" spans="1:8">
      <c r="A35" s="3" t="s">
        <v>646</v>
      </c>
      <c r="B35" s="156" t="s">
        <v>1011</v>
      </c>
      <c r="C35" s="33" t="s">
        <v>1012</v>
      </c>
      <c r="D35" s="33" t="s">
        <v>725</v>
      </c>
      <c r="E35" s="33"/>
      <c r="F35" s="33" t="s">
        <v>725</v>
      </c>
      <c r="G35" s="33"/>
      <c r="H35" s="33"/>
    </row>
    <row r="36" spans="1:8">
      <c r="A36" s="3" t="s">
        <v>646</v>
      </c>
      <c r="B36" s="156" t="s">
        <v>1004</v>
      </c>
      <c r="C36" s="33" t="s">
        <v>897</v>
      </c>
      <c r="D36" s="33" t="s">
        <v>725</v>
      </c>
      <c r="E36" s="33"/>
      <c r="F36" s="33" t="s">
        <v>725</v>
      </c>
      <c r="G36" s="33"/>
      <c r="H36" s="33"/>
    </row>
    <row r="37" spans="1:8">
      <c r="A37" s="3" t="s">
        <v>646</v>
      </c>
      <c r="B37" s="156" t="s">
        <v>1037</v>
      </c>
      <c r="C37" s="33" t="s">
        <v>1038</v>
      </c>
      <c r="D37" s="33" t="s">
        <v>725</v>
      </c>
      <c r="E37" s="33"/>
      <c r="F37" s="33" t="s">
        <v>725</v>
      </c>
      <c r="G37" s="33"/>
      <c r="H37" s="33"/>
    </row>
    <row r="38" spans="1:8">
      <c r="A38" s="3" t="s">
        <v>646</v>
      </c>
      <c r="B38" s="156" t="s">
        <v>1192</v>
      </c>
      <c r="C38" s="33" t="s">
        <v>1021</v>
      </c>
      <c r="D38" s="33" t="s">
        <v>1193</v>
      </c>
      <c r="E38" s="33"/>
      <c r="F38" s="33" t="s">
        <v>804</v>
      </c>
      <c r="G38" s="33"/>
      <c r="H38" s="33"/>
    </row>
    <row r="39" spans="1:8">
      <c r="A39" s="3" t="s">
        <v>646</v>
      </c>
      <c r="B39" s="156" t="s">
        <v>1034</v>
      </c>
      <c r="C39" s="33" t="s">
        <v>1035</v>
      </c>
      <c r="D39" s="33" t="s">
        <v>1194</v>
      </c>
      <c r="E39" s="33"/>
      <c r="F39" s="33" t="s">
        <v>804</v>
      </c>
      <c r="G39" s="33"/>
      <c r="H39" s="33"/>
    </row>
    <row r="40" spans="1:8">
      <c r="A40" s="3" t="s">
        <v>1195</v>
      </c>
      <c r="B40" s="156" t="s">
        <v>1001</v>
      </c>
      <c r="C40" s="33" t="s">
        <v>1002</v>
      </c>
      <c r="D40" s="33" t="s">
        <v>725</v>
      </c>
      <c r="E40" s="33"/>
      <c r="F40" s="33" t="s">
        <v>725</v>
      </c>
      <c r="G40" s="33"/>
      <c r="H40" s="33"/>
    </row>
    <row r="41" spans="1:8">
      <c r="A41" s="3" t="s">
        <v>646</v>
      </c>
      <c r="B41" s="156" t="s">
        <v>1014</v>
      </c>
      <c r="C41" s="33" t="s">
        <v>842</v>
      </c>
      <c r="D41" s="33" t="s">
        <v>1196</v>
      </c>
      <c r="E41" s="33"/>
      <c r="F41" s="33" t="s">
        <v>786</v>
      </c>
      <c r="G41" s="33"/>
      <c r="H41" s="33"/>
    </row>
    <row r="42" spans="1:8">
      <c r="A42" s="3" t="s">
        <v>1195</v>
      </c>
      <c r="B42" s="156" t="s">
        <v>1005</v>
      </c>
      <c r="C42" s="33" t="s">
        <v>1006</v>
      </c>
      <c r="D42" s="33" t="s">
        <v>725</v>
      </c>
      <c r="E42" s="33"/>
      <c r="F42" s="33" t="s">
        <v>725</v>
      </c>
      <c r="G42" s="33"/>
      <c r="H42" s="33"/>
    </row>
    <row r="43" spans="1:8">
      <c r="A43" s="3" t="s">
        <v>646</v>
      </c>
      <c r="B43" s="156" t="s">
        <v>1044</v>
      </c>
      <c r="C43" s="33" t="s">
        <v>1045</v>
      </c>
      <c r="D43" s="33"/>
      <c r="E43" s="33"/>
      <c r="F43" s="33"/>
      <c r="G43" s="33"/>
      <c r="H43" s="33"/>
    </row>
    <row r="44" spans="1:8">
      <c r="A44" s="3" t="s">
        <v>646</v>
      </c>
      <c r="B44" s="156" t="s">
        <v>1009</v>
      </c>
      <c r="C44" s="33" t="s">
        <v>1010</v>
      </c>
      <c r="D44" s="33"/>
      <c r="E44" s="33"/>
      <c r="F44" s="33"/>
      <c r="G44" s="33"/>
      <c r="H44" s="33"/>
    </row>
    <row r="45" spans="1:8">
      <c r="A45" s="3" t="s">
        <v>646</v>
      </c>
      <c r="B45" s="156" t="s">
        <v>1007</v>
      </c>
      <c r="C45" s="33" t="s">
        <v>1008</v>
      </c>
      <c r="D45" s="33"/>
      <c r="E45" s="33"/>
      <c r="F45" s="33"/>
      <c r="G45" s="33"/>
      <c r="H45" s="33"/>
    </row>
    <row r="46" spans="1:8">
      <c r="A46" s="3" t="s">
        <v>646</v>
      </c>
      <c r="B46" s="156" t="s">
        <v>1028</v>
      </c>
      <c r="C46" s="33" t="s">
        <v>1029</v>
      </c>
      <c r="D46" s="33"/>
      <c r="E46" s="33"/>
      <c r="F46" s="33" t="s">
        <v>804</v>
      </c>
      <c r="G46" s="33"/>
      <c r="H46" s="33"/>
    </row>
    <row r="47" spans="1:8">
      <c r="A47" s="3" t="s">
        <v>755</v>
      </c>
      <c r="B47" s="3" t="s">
        <v>1191</v>
      </c>
      <c r="C47" s="3" t="s">
        <v>1012</v>
      </c>
      <c r="D47" s="3" t="s">
        <v>646</v>
      </c>
      <c r="E47" s="3"/>
      <c r="F47" s="3" t="s">
        <v>1887</v>
      </c>
      <c r="G47" s="3"/>
      <c r="H47" s="204"/>
    </row>
    <row r="48" spans="1:8">
      <c r="A48" s="3" t="s">
        <v>755</v>
      </c>
      <c r="B48" s="3" t="s">
        <v>1895</v>
      </c>
      <c r="C48" s="3" t="s">
        <v>1896</v>
      </c>
      <c r="D48" s="3" t="s">
        <v>725</v>
      </c>
      <c r="E48" s="3"/>
      <c r="F48" s="3"/>
      <c r="G48" s="3"/>
      <c r="H48" s="204"/>
    </row>
    <row r="49" spans="1:8">
      <c r="A49" s="3" t="s">
        <v>755</v>
      </c>
      <c r="B49" s="3" t="s">
        <v>1897</v>
      </c>
      <c r="C49" s="3" t="s">
        <v>1898</v>
      </c>
      <c r="D49" s="3" t="s">
        <v>725</v>
      </c>
      <c r="E49" s="3"/>
      <c r="F49" s="3"/>
      <c r="G49" s="3"/>
      <c r="H49" s="204"/>
    </row>
    <row r="50" spans="1:8">
      <c r="A50" s="3" t="s">
        <v>755</v>
      </c>
      <c r="B50" s="3" t="s">
        <v>1899</v>
      </c>
      <c r="C50" s="3" t="s">
        <v>1900</v>
      </c>
      <c r="D50" s="3" t="s">
        <v>725</v>
      </c>
      <c r="E50" s="3"/>
      <c r="F50" s="3"/>
      <c r="G50" s="3"/>
      <c r="H50" s="3"/>
    </row>
    <row r="51" spans="1:8">
      <c r="A51" s="3" t="s">
        <v>755</v>
      </c>
      <c r="B51" s="3" t="s">
        <v>1901</v>
      </c>
      <c r="C51" s="3" t="s">
        <v>1902</v>
      </c>
      <c r="D51" s="3" t="s">
        <v>725</v>
      </c>
      <c r="E51" s="3"/>
      <c r="F51" s="3"/>
      <c r="G51" s="3"/>
      <c r="H51" s="3"/>
    </row>
    <row r="52" spans="1:8">
      <c r="A52" s="3" t="s">
        <v>755</v>
      </c>
      <c r="B52" s="3" t="s">
        <v>1903</v>
      </c>
      <c r="C52" s="3" t="s">
        <v>1904</v>
      </c>
      <c r="D52" s="3" t="s">
        <v>725</v>
      </c>
      <c r="E52" s="3"/>
      <c r="F52" s="3"/>
      <c r="G52" s="3"/>
      <c r="H52" s="3"/>
    </row>
    <row r="53" spans="1:8">
      <c r="A53" s="3" t="s">
        <v>755</v>
      </c>
      <c r="B53" s="3" t="s">
        <v>1905</v>
      </c>
      <c r="C53" s="3" t="s">
        <v>1211</v>
      </c>
      <c r="D53" s="3" t="s">
        <v>725</v>
      </c>
      <c r="E53" s="3"/>
      <c r="F53" s="3"/>
      <c r="G53" s="3"/>
      <c r="H53" s="3"/>
    </row>
    <row r="54" spans="1:8">
      <c r="A54" s="3" t="s">
        <v>755</v>
      </c>
      <c r="B54" s="3" t="s">
        <v>1906</v>
      </c>
      <c r="C54" s="3" t="s">
        <v>1209</v>
      </c>
      <c r="D54" s="3" t="s">
        <v>725</v>
      </c>
      <c r="E54" s="3"/>
      <c r="F54" s="3"/>
      <c r="G54" s="3"/>
      <c r="H54" s="3"/>
    </row>
    <row r="55" spans="1:8">
      <c r="A55" s="3" t="s">
        <v>755</v>
      </c>
      <c r="B55" s="3" t="s">
        <v>1907</v>
      </c>
      <c r="C55" s="3" t="s">
        <v>1908</v>
      </c>
      <c r="D55" s="3" t="s">
        <v>725</v>
      </c>
      <c r="E55" s="3"/>
      <c r="F55" s="3"/>
      <c r="G55" s="3"/>
      <c r="H55" s="3"/>
    </row>
    <row r="56" spans="1:8">
      <c r="A56" s="3" t="s">
        <v>755</v>
      </c>
      <c r="B56" s="3" t="s">
        <v>1909</v>
      </c>
      <c r="C56" s="3" t="s">
        <v>1910</v>
      </c>
      <c r="D56" s="3" t="s">
        <v>725</v>
      </c>
      <c r="E56" s="3"/>
      <c r="F56" s="3"/>
      <c r="G56" s="3"/>
      <c r="H56" s="3"/>
    </row>
    <row r="57" spans="1:8">
      <c r="A57" s="3" t="s">
        <v>755</v>
      </c>
      <c r="B57" s="3" t="s">
        <v>1576</v>
      </c>
      <c r="C57" s="3" t="s">
        <v>794</v>
      </c>
      <c r="D57" s="3" t="s">
        <v>725</v>
      </c>
      <c r="E57" s="3"/>
      <c r="F57" s="3"/>
      <c r="G57" s="3"/>
      <c r="H57" s="3"/>
    </row>
    <row r="58" spans="1:8">
      <c r="A58" s="3" t="s">
        <v>755</v>
      </c>
      <c r="B58" s="3" t="s">
        <v>795</v>
      </c>
      <c r="C58" s="3" t="s">
        <v>796</v>
      </c>
      <c r="D58" s="3" t="s">
        <v>725</v>
      </c>
      <c r="E58" s="3"/>
      <c r="F58" s="3"/>
      <c r="G58" s="3"/>
      <c r="H58" s="3"/>
    </row>
    <row r="59" spans="1:8">
      <c r="A59" s="3" t="s">
        <v>755</v>
      </c>
      <c r="B59" s="3" t="s">
        <v>1911</v>
      </c>
      <c r="C59" s="3" t="s">
        <v>1912</v>
      </c>
      <c r="D59" s="3" t="s">
        <v>725</v>
      </c>
      <c r="E59" s="3"/>
      <c r="F59" s="3"/>
      <c r="G59" s="3"/>
      <c r="H59" s="3"/>
    </row>
    <row r="60" spans="1:8">
      <c r="A60" s="3" t="s">
        <v>755</v>
      </c>
      <c r="B60" s="3" t="s">
        <v>1913</v>
      </c>
      <c r="C60" s="3" t="s">
        <v>1914</v>
      </c>
      <c r="D60" s="3" t="s">
        <v>725</v>
      </c>
      <c r="E60" s="3"/>
      <c r="F60" s="3"/>
      <c r="G60" s="3"/>
      <c r="H60" s="3"/>
    </row>
    <row r="61" spans="1:8">
      <c r="A61" s="3" t="s">
        <v>755</v>
      </c>
      <c r="B61" s="3" t="s">
        <v>1915</v>
      </c>
      <c r="C61" s="3" t="s">
        <v>1916</v>
      </c>
      <c r="D61" s="3" t="s">
        <v>725</v>
      </c>
      <c r="E61" s="3"/>
      <c r="F61" s="3"/>
      <c r="G61" s="3"/>
      <c r="H61" s="3"/>
    </row>
    <row r="62" spans="1:8">
      <c r="A62" s="3" t="s">
        <v>755</v>
      </c>
      <c r="B62" s="3" t="s">
        <v>756</v>
      </c>
      <c r="C62" s="3" t="s">
        <v>757</v>
      </c>
      <c r="D62" s="3" t="s">
        <v>725</v>
      </c>
      <c r="E62" s="3"/>
      <c r="F62" s="3"/>
      <c r="G62" s="3"/>
      <c r="H62" s="3"/>
    </row>
    <row r="63" spans="1:8">
      <c r="A63" s="3" t="s">
        <v>755</v>
      </c>
      <c r="B63" s="3" t="s">
        <v>1917</v>
      </c>
      <c r="C63" s="3" t="s">
        <v>1918</v>
      </c>
      <c r="D63" s="3" t="s">
        <v>725</v>
      </c>
      <c r="E63" s="3"/>
      <c r="F63" s="3"/>
      <c r="G63" s="3"/>
      <c r="H63" s="3"/>
    </row>
    <row r="64" spans="1:8">
      <c r="A64" s="3" t="s">
        <v>755</v>
      </c>
      <c r="B64" s="3" t="s">
        <v>1254</v>
      </c>
      <c r="C64" s="3" t="s">
        <v>426</v>
      </c>
      <c r="D64" s="3" t="s">
        <v>725</v>
      </c>
      <c r="E64" s="3"/>
      <c r="F64" s="3"/>
      <c r="G64" s="3"/>
      <c r="H64" s="3"/>
    </row>
    <row r="65" spans="1:8">
      <c r="A65" s="3" t="s">
        <v>1169</v>
      </c>
      <c r="B65" s="3" t="s">
        <v>922</v>
      </c>
      <c r="C65" s="3" t="s">
        <v>923</v>
      </c>
      <c r="D65" s="3"/>
      <c r="E65" s="3"/>
      <c r="F65" s="3"/>
      <c r="G65" s="3"/>
      <c r="H65" s="3"/>
    </row>
    <row r="66" spans="1:8">
      <c r="A66" s="3" t="s">
        <v>1169</v>
      </c>
      <c r="B66" s="3" t="s">
        <v>1011</v>
      </c>
      <c r="C66" s="3" t="s">
        <v>1012</v>
      </c>
      <c r="D66" s="3" t="s">
        <v>646</v>
      </c>
      <c r="E66" s="3" t="s">
        <v>1191</v>
      </c>
      <c r="F66" s="3" t="s">
        <v>804</v>
      </c>
      <c r="G66" s="3" t="s">
        <v>1971</v>
      </c>
      <c r="H66" s="3"/>
    </row>
    <row r="67" spans="1:8">
      <c r="A67" s="3" t="s">
        <v>1169</v>
      </c>
      <c r="B67" s="3" t="s">
        <v>1934</v>
      </c>
      <c r="C67" s="3" t="s">
        <v>796</v>
      </c>
      <c r="D67" s="3"/>
      <c r="E67" s="3"/>
      <c r="F67" s="3"/>
      <c r="G67" s="3"/>
      <c r="H67" s="3"/>
    </row>
    <row r="68" spans="1:8">
      <c r="A68" s="3" t="s">
        <v>1169</v>
      </c>
      <c r="B68" s="3" t="s">
        <v>1851</v>
      </c>
      <c r="C68" s="3" t="s">
        <v>51</v>
      </c>
      <c r="D68" s="3"/>
      <c r="E68" s="3"/>
      <c r="F68" s="3"/>
      <c r="G68" s="3"/>
      <c r="H68" s="3"/>
    </row>
    <row r="69" spans="1:8">
      <c r="A69" s="3" t="s">
        <v>1169</v>
      </c>
      <c r="B69" s="3" t="s">
        <v>1935</v>
      </c>
      <c r="C69" s="3" t="s">
        <v>1936</v>
      </c>
      <c r="D69" s="3"/>
      <c r="E69" s="3"/>
      <c r="F69" s="3"/>
      <c r="G69" s="3"/>
      <c r="H69" s="3"/>
    </row>
    <row r="70" spans="1:8">
      <c r="A70" s="3" t="s">
        <v>1169</v>
      </c>
      <c r="B70" s="3" t="s">
        <v>1937</v>
      </c>
      <c r="C70" s="3" t="s">
        <v>1938</v>
      </c>
      <c r="D70" s="3"/>
      <c r="E70" s="3"/>
      <c r="F70" s="3"/>
      <c r="G70" s="3"/>
      <c r="H70" s="3"/>
    </row>
    <row r="71" spans="1:8">
      <c r="A71" s="3" t="s">
        <v>1169</v>
      </c>
      <c r="B71" s="3" t="s">
        <v>1471</v>
      </c>
      <c r="C71" s="3" t="s">
        <v>1038</v>
      </c>
      <c r="D71" s="3"/>
      <c r="E71" s="3"/>
      <c r="F71" s="3"/>
      <c r="G71" s="3"/>
      <c r="H71" s="3"/>
    </row>
    <row r="72" spans="1:8">
      <c r="A72" s="3" t="s">
        <v>1169</v>
      </c>
      <c r="B72" s="3" t="s">
        <v>944</v>
      </c>
      <c r="C72" s="3" t="s">
        <v>794</v>
      </c>
      <c r="D72" s="3"/>
      <c r="E72" s="3"/>
      <c r="F72" s="3"/>
      <c r="G72" s="3"/>
      <c r="H72" s="3"/>
    </row>
    <row r="73" spans="1:8">
      <c r="A73" s="3" t="s">
        <v>1169</v>
      </c>
      <c r="B73" s="3" t="s">
        <v>1862</v>
      </c>
      <c r="C73" s="3" t="s">
        <v>1863</v>
      </c>
      <c r="D73" s="3"/>
      <c r="E73" s="3"/>
      <c r="F73" s="3"/>
      <c r="G73" s="3"/>
      <c r="H73" s="3"/>
    </row>
    <row r="74" spans="1:8">
      <c r="A74" s="306" t="s">
        <v>1169</v>
      </c>
      <c r="B74" s="306" t="s">
        <v>1527</v>
      </c>
      <c r="C74" s="3" t="s">
        <v>315</v>
      </c>
      <c r="D74" s="3"/>
      <c r="E74" s="3"/>
      <c r="F74" s="3"/>
      <c r="G74" s="3"/>
      <c r="H74" s="3"/>
    </row>
    <row r="75" spans="1:8">
      <c r="A75" s="3" t="s">
        <v>1169</v>
      </c>
      <c r="B75" s="3" t="s">
        <v>946</v>
      </c>
      <c r="C75" s="3" t="s">
        <v>806</v>
      </c>
      <c r="D75" s="3"/>
      <c r="E75" s="3"/>
      <c r="F75" s="3"/>
      <c r="G75" s="3"/>
      <c r="H75" s="3"/>
    </row>
    <row r="76" spans="1:8">
      <c r="A76" s="306" t="s">
        <v>1166</v>
      </c>
      <c r="B76" s="306" t="s">
        <v>1939</v>
      </c>
      <c r="C76" s="3" t="s">
        <v>1940</v>
      </c>
      <c r="D76" s="3"/>
      <c r="E76" s="3"/>
      <c r="F76" s="3"/>
      <c r="G76" s="3"/>
      <c r="H76" s="3"/>
    </row>
    <row r="77" spans="1:8">
      <c r="A77" s="3" t="s">
        <v>1166</v>
      </c>
      <c r="B77" s="3" t="s">
        <v>1941</v>
      </c>
      <c r="C77" s="3" t="s">
        <v>1942</v>
      </c>
      <c r="D77" s="3"/>
      <c r="E77" s="3"/>
      <c r="F77" s="3"/>
      <c r="G77" s="3"/>
      <c r="H77" s="3"/>
    </row>
    <row r="78" spans="1:8">
      <c r="A78" s="306" t="s">
        <v>1166</v>
      </c>
      <c r="B78" s="306" t="s">
        <v>1527</v>
      </c>
      <c r="C78" s="3" t="s">
        <v>315</v>
      </c>
      <c r="D78" s="3" t="s">
        <v>1169</v>
      </c>
      <c r="E78" s="3" t="s">
        <v>1529</v>
      </c>
      <c r="F78" s="3" t="s">
        <v>804</v>
      </c>
      <c r="G78" s="3" t="s">
        <v>570</v>
      </c>
      <c r="H78" s="3"/>
    </row>
    <row r="79" spans="1:8">
      <c r="A79" s="3" t="s">
        <v>1166</v>
      </c>
      <c r="B79" s="3" t="s">
        <v>946</v>
      </c>
      <c r="C79" s="3" t="s">
        <v>806</v>
      </c>
      <c r="D79" s="3"/>
      <c r="E79" s="3"/>
      <c r="F79" s="3"/>
      <c r="G79" s="3"/>
      <c r="H79" s="3"/>
    </row>
    <row r="80" spans="1:8">
      <c r="A80" s="306" t="s">
        <v>1943</v>
      </c>
      <c r="B80" s="306" t="s">
        <v>1939</v>
      </c>
      <c r="C80" s="3" t="s">
        <v>1940</v>
      </c>
      <c r="D80" s="3" t="s">
        <v>1166</v>
      </c>
      <c r="E80" s="3" t="s">
        <v>1939</v>
      </c>
      <c r="F80" s="3" t="s">
        <v>804</v>
      </c>
      <c r="G80" s="3" t="s">
        <v>1972</v>
      </c>
      <c r="H80" s="3"/>
    </row>
    <row r="81" spans="1:8">
      <c r="A81" s="306" t="s">
        <v>1943</v>
      </c>
      <c r="B81" s="306" t="s">
        <v>1944</v>
      </c>
      <c r="C81" s="3" t="s">
        <v>1945</v>
      </c>
      <c r="D81" s="146"/>
      <c r="E81" s="3"/>
      <c r="F81" s="3"/>
      <c r="G81" s="3"/>
      <c r="H81" s="3"/>
    </row>
    <row r="82" spans="1:8">
      <c r="A82" s="306" t="s">
        <v>1943</v>
      </c>
      <c r="B82" s="306" t="s">
        <v>1197</v>
      </c>
      <c r="C82" s="3" t="s">
        <v>1133</v>
      </c>
      <c r="D82" s="146"/>
      <c r="E82" s="3"/>
      <c r="F82" s="3"/>
      <c r="G82" s="3" t="s">
        <v>169</v>
      </c>
      <c r="H82" s="3"/>
    </row>
    <row r="83" spans="1:8">
      <c r="A83" s="3" t="s">
        <v>1943</v>
      </c>
      <c r="B83" s="3" t="s">
        <v>946</v>
      </c>
      <c r="C83" s="3" t="s">
        <v>806</v>
      </c>
      <c r="D83" s="146"/>
      <c r="E83" s="3"/>
      <c r="F83" s="3"/>
      <c r="G83" s="3"/>
      <c r="H83" s="3"/>
    </row>
    <row r="84" spans="1:8">
      <c r="A84" s="292" t="s">
        <v>1946</v>
      </c>
      <c r="B84" s="292" t="s">
        <v>987</v>
      </c>
      <c r="C84" s="292" t="s">
        <v>882</v>
      </c>
      <c r="D84" s="292"/>
      <c r="E84" s="292"/>
      <c r="F84" s="292"/>
      <c r="G84" s="292"/>
      <c r="H84" s="292"/>
    </row>
    <row r="85" spans="1:8">
      <c r="A85" s="3" t="s">
        <v>1946</v>
      </c>
      <c r="B85" s="3" t="s">
        <v>990</v>
      </c>
      <c r="C85" s="3" t="s">
        <v>991</v>
      </c>
      <c r="D85" s="3"/>
      <c r="E85" s="3"/>
      <c r="F85" s="3"/>
      <c r="G85" s="3"/>
      <c r="H85" s="3"/>
    </row>
    <row r="86" spans="1:8">
      <c r="A86" s="3" t="s">
        <v>1946</v>
      </c>
      <c r="B86" s="3" t="s">
        <v>992</v>
      </c>
      <c r="C86" s="3" t="s">
        <v>993</v>
      </c>
      <c r="D86" s="3"/>
      <c r="E86" s="3"/>
      <c r="F86" s="3"/>
      <c r="G86" s="3"/>
      <c r="H86" s="3"/>
    </row>
    <row r="87" spans="1:8">
      <c r="A87" s="3" t="s">
        <v>1946</v>
      </c>
      <c r="B87" s="3" t="s">
        <v>994</v>
      </c>
      <c r="C87" s="3" t="s">
        <v>995</v>
      </c>
      <c r="D87" s="3"/>
      <c r="E87" s="3"/>
      <c r="F87" s="3"/>
      <c r="G87" s="3"/>
      <c r="H87" s="3"/>
    </row>
    <row r="88" spans="1:8">
      <c r="A88" s="3" t="s">
        <v>1946</v>
      </c>
      <c r="B88" s="3" t="s">
        <v>996</v>
      </c>
      <c r="C88" s="3" t="s">
        <v>885</v>
      </c>
      <c r="D88" s="3"/>
      <c r="E88" s="3"/>
      <c r="F88" s="3"/>
      <c r="G88" s="3"/>
      <c r="H88" s="3"/>
    </row>
    <row r="89" spans="1:8">
      <c r="A89" s="3" t="s">
        <v>1946</v>
      </c>
      <c r="B89" s="3" t="s">
        <v>999</v>
      </c>
      <c r="C89" s="3" t="s">
        <v>893</v>
      </c>
      <c r="D89" s="3"/>
      <c r="E89" s="3"/>
      <c r="F89" s="3"/>
      <c r="G89" s="3"/>
      <c r="H89" s="3"/>
    </row>
    <row r="90" spans="1:8">
      <c r="A90" s="3" t="s">
        <v>1946</v>
      </c>
      <c r="B90" s="3" t="s">
        <v>1000</v>
      </c>
      <c r="C90" s="3" t="s">
        <v>887</v>
      </c>
      <c r="D90" s="3"/>
      <c r="E90" s="3"/>
      <c r="F90" s="3"/>
      <c r="G90" s="3"/>
      <c r="H90" s="3"/>
    </row>
    <row r="91" spans="1:8">
      <c r="A91" s="3" t="s">
        <v>1946</v>
      </c>
      <c r="B91" s="3" t="s">
        <v>1947</v>
      </c>
      <c r="C91" s="3" t="s">
        <v>1948</v>
      </c>
      <c r="D91" s="3"/>
      <c r="E91" s="3"/>
      <c r="F91" s="3"/>
      <c r="G91" s="3"/>
      <c r="H91" s="3"/>
    </row>
    <row r="92" spans="1:8">
      <c r="A92" s="3" t="s">
        <v>1946</v>
      </c>
      <c r="B92" s="3" t="s">
        <v>1022</v>
      </c>
      <c r="C92" s="3" t="s">
        <v>1023</v>
      </c>
      <c r="D92" s="3"/>
      <c r="E92" s="3"/>
      <c r="F92" s="3"/>
      <c r="G92" s="3"/>
      <c r="H92" s="3"/>
    </row>
    <row r="93" spans="1:8">
      <c r="A93" s="3" t="s">
        <v>1946</v>
      </c>
      <c r="B93" s="3" t="s">
        <v>1024</v>
      </c>
      <c r="C93" s="3" t="s">
        <v>1025</v>
      </c>
      <c r="D93" s="3"/>
      <c r="E93" s="3"/>
      <c r="F93" s="3"/>
      <c r="G93" s="3"/>
      <c r="H93" s="3"/>
    </row>
    <row r="94" spans="1:8">
      <c r="A94" s="3" t="s">
        <v>1946</v>
      </c>
      <c r="B94" s="3" t="s">
        <v>1026</v>
      </c>
      <c r="C94" s="3" t="s">
        <v>1027</v>
      </c>
      <c r="D94" s="3"/>
      <c r="E94" s="3"/>
      <c r="F94" s="3"/>
      <c r="G94" s="3"/>
      <c r="H94" s="3"/>
    </row>
    <row r="95" spans="1:8">
      <c r="A95" s="3" t="s">
        <v>1946</v>
      </c>
      <c r="B95" s="3" t="s">
        <v>1949</v>
      </c>
      <c r="C95" s="3" t="s">
        <v>1950</v>
      </c>
      <c r="D95" s="3"/>
      <c r="E95" s="3"/>
      <c r="F95" s="3"/>
      <c r="G95" s="3"/>
      <c r="H95" s="3"/>
    </row>
    <row r="96" spans="1:8">
      <c r="A96" s="3" t="s">
        <v>1946</v>
      </c>
      <c r="B96" s="3" t="s">
        <v>1214</v>
      </c>
      <c r="C96" s="3" t="s">
        <v>1010</v>
      </c>
      <c r="D96" s="3"/>
      <c r="E96" s="3"/>
      <c r="F96" s="3"/>
      <c r="G96" s="3"/>
      <c r="H96" s="3"/>
    </row>
    <row r="97" spans="1:8">
      <c r="A97" s="3" t="s">
        <v>1946</v>
      </c>
      <c r="B97" s="3" t="s">
        <v>1215</v>
      </c>
      <c r="C97" s="3" t="s">
        <v>1010</v>
      </c>
      <c r="D97" s="3"/>
      <c r="E97" s="3"/>
      <c r="F97" s="3"/>
      <c r="G97" s="3"/>
      <c r="H97" s="3"/>
    </row>
    <row r="98" spans="1:8">
      <c r="A98" s="3" t="s">
        <v>1946</v>
      </c>
      <c r="B98" s="3" t="s">
        <v>1039</v>
      </c>
      <c r="C98" s="3" t="s">
        <v>1040</v>
      </c>
      <c r="D98" s="3"/>
      <c r="E98" s="3"/>
      <c r="F98" s="3"/>
      <c r="G98" s="3"/>
      <c r="H98" s="3"/>
    </row>
    <row r="99" spans="1:8">
      <c r="A99" s="3" t="s">
        <v>1946</v>
      </c>
      <c r="B99" s="3" t="s">
        <v>1041</v>
      </c>
      <c r="C99" s="3" t="s">
        <v>1042</v>
      </c>
      <c r="D99" s="3"/>
      <c r="E99" s="3"/>
      <c r="F99" s="3"/>
      <c r="G99" s="3"/>
      <c r="H99" s="3"/>
    </row>
    <row r="100" spans="1:8">
      <c r="A100" s="3" t="s">
        <v>1946</v>
      </c>
      <c r="B100" s="3" t="s">
        <v>1951</v>
      </c>
      <c r="C100" s="3" t="s">
        <v>1952</v>
      </c>
      <c r="D100" s="3"/>
      <c r="E100" s="3"/>
      <c r="F100" s="3"/>
      <c r="G100" s="3"/>
      <c r="H100" s="3"/>
    </row>
    <row r="101" spans="1:8">
      <c r="A101" s="3" t="s">
        <v>1946</v>
      </c>
      <c r="B101" s="3" t="s">
        <v>1953</v>
      </c>
      <c r="C101" s="3" t="s">
        <v>1954</v>
      </c>
      <c r="D101" s="3"/>
      <c r="E101" s="3"/>
      <c r="F101" s="3"/>
      <c r="G101" s="3"/>
      <c r="H101" s="3"/>
    </row>
    <row r="102" spans="1:8">
      <c r="A102" s="3" t="s">
        <v>1946</v>
      </c>
      <c r="B102" s="3" t="s">
        <v>1955</v>
      </c>
      <c r="C102" s="3" t="s">
        <v>1956</v>
      </c>
      <c r="D102" s="3"/>
      <c r="E102" s="3"/>
      <c r="F102" s="3"/>
      <c r="G102" s="3"/>
      <c r="H102" s="3"/>
    </row>
    <row r="103" spans="1:8">
      <c r="A103" s="3" t="s">
        <v>1946</v>
      </c>
      <c r="B103" s="3" t="s">
        <v>1957</v>
      </c>
      <c r="C103" s="3" t="s">
        <v>1958</v>
      </c>
      <c r="D103" s="3"/>
      <c r="E103" s="3"/>
      <c r="F103" s="3"/>
      <c r="G103" s="3"/>
      <c r="H103" s="3"/>
    </row>
    <row r="104" spans="1:8">
      <c r="A104" s="306" t="s">
        <v>1946</v>
      </c>
      <c r="B104" s="306" t="s">
        <v>1959</v>
      </c>
      <c r="C104" s="3" t="s">
        <v>899</v>
      </c>
      <c r="D104" s="3" t="s">
        <v>1943</v>
      </c>
      <c r="E104" s="3" t="s">
        <v>1197</v>
      </c>
      <c r="F104" s="3" t="s">
        <v>804</v>
      </c>
      <c r="G104" s="3"/>
      <c r="H104" s="3"/>
    </row>
    <row r="105" spans="1:8">
      <c r="A105" s="3" t="s">
        <v>1946</v>
      </c>
      <c r="B105" s="3" t="s">
        <v>1960</v>
      </c>
      <c r="C105" s="3" t="s">
        <v>1961</v>
      </c>
      <c r="D105" s="3"/>
      <c r="E105" s="3"/>
      <c r="F105" s="3"/>
      <c r="G105" s="3"/>
      <c r="H105" s="3"/>
    </row>
    <row r="106" spans="1:8">
      <c r="A106" s="3" t="s">
        <v>1946</v>
      </c>
      <c r="B106" s="3" t="s">
        <v>1043</v>
      </c>
      <c r="C106" s="3" t="s">
        <v>889</v>
      </c>
      <c r="D106" s="3"/>
      <c r="E106" s="3"/>
      <c r="F106" s="3"/>
      <c r="G106" s="3"/>
      <c r="H106" s="3"/>
    </row>
    <row r="107" spans="1:8">
      <c r="A107" s="3" t="s">
        <v>1946</v>
      </c>
      <c r="B107" s="3" t="s">
        <v>1962</v>
      </c>
      <c r="C107" s="3" t="s">
        <v>1963</v>
      </c>
      <c r="D107" s="3"/>
      <c r="E107" s="3"/>
      <c r="F107" s="3"/>
      <c r="G107" s="3"/>
      <c r="H107" s="3"/>
    </row>
    <row r="108" spans="1:8">
      <c r="A108" s="3" t="s">
        <v>1946</v>
      </c>
      <c r="B108" s="3" t="s">
        <v>1047</v>
      </c>
      <c r="C108" s="3" t="s">
        <v>891</v>
      </c>
      <c r="D108" s="3"/>
      <c r="E108" s="3"/>
      <c r="F108" s="3"/>
      <c r="G108" s="3"/>
      <c r="H108" s="3"/>
    </row>
    <row r="109" spans="1:8">
      <c r="A109" s="3" t="s">
        <v>1946</v>
      </c>
      <c r="B109" s="3" t="s">
        <v>1049</v>
      </c>
      <c r="C109" s="3" t="s">
        <v>1050</v>
      </c>
      <c r="D109" s="3"/>
      <c r="E109" s="3"/>
      <c r="F109" s="3"/>
      <c r="G109" s="3"/>
      <c r="H109" s="3"/>
    </row>
    <row r="110" spans="1:8">
      <c r="A110" s="3" t="s">
        <v>1946</v>
      </c>
      <c r="B110" s="3" t="s">
        <v>946</v>
      </c>
      <c r="C110" s="3" t="s">
        <v>806</v>
      </c>
      <c r="D110" s="3"/>
      <c r="E110" s="3"/>
      <c r="F110" s="3"/>
      <c r="G110" s="3"/>
      <c r="H110" s="3"/>
    </row>
    <row r="111" spans="1:8">
      <c r="A111" s="3" t="s">
        <v>1946</v>
      </c>
      <c r="B111" s="3" t="s">
        <v>1964</v>
      </c>
      <c r="C111" s="3" t="s">
        <v>1965</v>
      </c>
      <c r="D111" s="3"/>
      <c r="E111" s="3"/>
      <c r="F111" s="3"/>
      <c r="G111" s="3"/>
      <c r="H111" s="3"/>
    </row>
    <row r="112" spans="1:8">
      <c r="A112" s="3" t="s">
        <v>1946</v>
      </c>
      <c r="B112" s="3" t="s">
        <v>1966</v>
      </c>
      <c r="C112" s="3" t="s">
        <v>1967</v>
      </c>
      <c r="D112" s="3"/>
      <c r="E112" s="3"/>
      <c r="F112" s="3"/>
      <c r="G112" s="3"/>
      <c r="H112" s="3"/>
    </row>
    <row r="113" spans="1:8">
      <c r="A113" s="80" t="s">
        <v>1946</v>
      </c>
      <c r="B113" s="80" t="s">
        <v>1968</v>
      </c>
      <c r="C113" s="80" t="s">
        <v>1969</v>
      </c>
      <c r="D113" s="80"/>
      <c r="E113" s="80"/>
      <c r="F113" s="80"/>
      <c r="G113" s="80"/>
      <c r="H113" s="80"/>
    </row>
    <row r="114" spans="1:8">
      <c r="A114" s="3" t="s">
        <v>649</v>
      </c>
      <c r="B114" s="3" t="s">
        <v>924</v>
      </c>
      <c r="C114" s="3" t="s">
        <v>564</v>
      </c>
      <c r="D114" s="3"/>
      <c r="E114" s="3"/>
      <c r="F114" s="3"/>
      <c r="G114" s="3"/>
      <c r="H114" s="3"/>
    </row>
    <row r="115" spans="1:8">
      <c r="A115" s="3" t="s">
        <v>649</v>
      </c>
      <c r="B115" s="3" t="s">
        <v>926</v>
      </c>
      <c r="C115" s="3" t="s">
        <v>802</v>
      </c>
      <c r="D115" s="3"/>
      <c r="E115" s="3"/>
      <c r="F115" s="3"/>
      <c r="G115" s="3"/>
      <c r="H115" s="3"/>
    </row>
    <row r="116" spans="1:8">
      <c r="A116" s="3" t="s">
        <v>649</v>
      </c>
      <c r="B116" s="3" t="s">
        <v>928</v>
      </c>
      <c r="C116" s="3" t="s">
        <v>784</v>
      </c>
      <c r="D116" s="3"/>
      <c r="E116" s="3"/>
      <c r="F116" s="3"/>
      <c r="G116" s="3"/>
      <c r="H116" s="3"/>
    </row>
    <row r="117" spans="1:8">
      <c r="A117" s="3" t="s">
        <v>649</v>
      </c>
      <c r="B117" s="3" t="s">
        <v>933</v>
      </c>
      <c r="C117" s="3" t="s">
        <v>798</v>
      </c>
      <c r="D117" s="3"/>
      <c r="E117" s="3"/>
      <c r="F117" s="3"/>
      <c r="G117" s="3"/>
      <c r="H117" s="3"/>
    </row>
    <row r="118" spans="1:8">
      <c r="A118" s="3" t="s">
        <v>649</v>
      </c>
      <c r="B118" s="3" t="s">
        <v>1011</v>
      </c>
      <c r="C118" s="3" t="s">
        <v>1012</v>
      </c>
      <c r="D118" s="3" t="s">
        <v>646</v>
      </c>
      <c r="E118" s="3" t="s">
        <v>1191</v>
      </c>
      <c r="F118" s="3" t="s">
        <v>804</v>
      </c>
      <c r="G118" s="3" t="s">
        <v>1973</v>
      </c>
      <c r="H118" s="3"/>
    </row>
    <row r="119" spans="1:8">
      <c r="A119" s="306" t="s">
        <v>649</v>
      </c>
      <c r="B119" s="306" t="s">
        <v>1031</v>
      </c>
      <c r="C119" s="306" t="s">
        <v>1032</v>
      </c>
      <c r="D119" s="3"/>
      <c r="E119" s="3"/>
      <c r="F119" s="3"/>
      <c r="G119" s="3"/>
      <c r="H119" s="3"/>
    </row>
    <row r="120" spans="1:8">
      <c r="A120" s="306" t="s">
        <v>649</v>
      </c>
      <c r="B120" s="306" t="s">
        <v>1034</v>
      </c>
      <c r="C120" s="306" t="s">
        <v>1035</v>
      </c>
      <c r="D120" s="3"/>
      <c r="E120" s="3"/>
      <c r="F120" s="3"/>
      <c r="G120" s="3"/>
      <c r="H120" s="3"/>
    </row>
    <row r="121" spans="1:8">
      <c r="A121" s="3" t="s">
        <v>649</v>
      </c>
      <c r="B121" s="3" t="s">
        <v>1970</v>
      </c>
      <c r="C121" s="3" t="s">
        <v>1514</v>
      </c>
      <c r="D121" s="3"/>
      <c r="E121" s="3"/>
      <c r="F121" s="3"/>
      <c r="G121" s="3"/>
      <c r="H121" s="3"/>
    </row>
    <row r="122" spans="1:8">
      <c r="A122" s="3" t="s">
        <v>649</v>
      </c>
      <c r="B122" s="3" t="s">
        <v>945</v>
      </c>
      <c r="C122" s="3" t="s">
        <v>800</v>
      </c>
      <c r="D122" s="3"/>
      <c r="E122" s="3"/>
      <c r="F122" s="3"/>
      <c r="G122" s="3"/>
      <c r="H122" s="3"/>
    </row>
    <row r="123" spans="1:8">
      <c r="A123" s="80" t="s">
        <v>649</v>
      </c>
      <c r="B123" s="80" t="s">
        <v>946</v>
      </c>
      <c r="C123" s="80" t="s">
        <v>806</v>
      </c>
      <c r="D123" s="80"/>
      <c r="E123" s="80"/>
      <c r="F123" s="80"/>
      <c r="G123" s="80"/>
      <c r="H123" s="80"/>
    </row>
    <row r="124" spans="1:8">
      <c r="A124" s="3" t="s">
        <v>640</v>
      </c>
      <c r="B124" s="3" t="s">
        <v>1161</v>
      </c>
      <c r="C124" s="3" t="s">
        <v>1162</v>
      </c>
      <c r="D124" s="3"/>
      <c r="E124" s="3"/>
      <c r="F124" s="3"/>
      <c r="G124" s="3"/>
      <c r="H124" s="3"/>
    </row>
    <row r="125" spans="1:8">
      <c r="A125" s="3" t="s">
        <v>640</v>
      </c>
      <c r="B125" s="3" t="s">
        <v>922</v>
      </c>
      <c r="C125" s="3" t="s">
        <v>923</v>
      </c>
      <c r="D125" s="3"/>
      <c r="E125" s="3"/>
      <c r="F125" s="3"/>
      <c r="G125" s="3"/>
      <c r="H125" s="3"/>
    </row>
    <row r="126" spans="1:8">
      <c r="A126" s="3" t="s">
        <v>640</v>
      </c>
      <c r="B126" s="3" t="s">
        <v>924</v>
      </c>
      <c r="C126" s="3" t="s">
        <v>564</v>
      </c>
      <c r="D126" s="3"/>
      <c r="E126" s="3"/>
      <c r="F126" s="3"/>
      <c r="G126" s="3"/>
      <c r="H126" s="3"/>
    </row>
    <row r="127" spans="1:8">
      <c r="A127" s="3" t="s">
        <v>640</v>
      </c>
      <c r="B127" s="3" t="s">
        <v>926</v>
      </c>
      <c r="C127" s="3" t="s">
        <v>802</v>
      </c>
      <c r="D127" s="3"/>
      <c r="E127" s="3"/>
      <c r="F127" s="3"/>
      <c r="G127" s="3"/>
      <c r="H127" s="3"/>
    </row>
    <row r="128" spans="1:8">
      <c r="A128" s="3" t="s">
        <v>640</v>
      </c>
      <c r="B128" s="3" t="s">
        <v>928</v>
      </c>
      <c r="C128" s="3" t="s">
        <v>784</v>
      </c>
      <c r="D128" s="3"/>
      <c r="E128" s="3"/>
      <c r="F128" s="3"/>
      <c r="G128" s="3" t="s">
        <v>1974</v>
      </c>
      <c r="H128" s="3"/>
    </row>
    <row r="129" spans="1:8">
      <c r="A129" s="3" t="s">
        <v>640</v>
      </c>
      <c r="B129" s="3" t="s">
        <v>933</v>
      </c>
      <c r="C129" s="3" t="s">
        <v>798</v>
      </c>
      <c r="D129" s="3"/>
      <c r="E129" s="3"/>
      <c r="F129" s="3"/>
      <c r="G129" s="3"/>
      <c r="H129" s="3"/>
    </row>
    <row r="130" spans="1:8">
      <c r="A130" s="3" t="s">
        <v>640</v>
      </c>
      <c r="B130" s="3" t="s">
        <v>1167</v>
      </c>
      <c r="C130" s="3" t="s">
        <v>1168</v>
      </c>
      <c r="D130" s="3"/>
      <c r="E130" s="3"/>
      <c r="F130" s="3"/>
      <c r="G130" s="3"/>
      <c r="H130" s="3"/>
    </row>
    <row r="131" spans="1:8">
      <c r="A131" s="3" t="s">
        <v>640</v>
      </c>
      <c r="B131" s="3" t="s">
        <v>1170</v>
      </c>
      <c r="C131" s="3" t="s">
        <v>1155</v>
      </c>
      <c r="D131" s="3"/>
      <c r="E131" s="3"/>
      <c r="F131" s="3"/>
      <c r="G131" s="3"/>
      <c r="H131" s="3"/>
    </row>
    <row r="132" spans="1:8">
      <c r="A132" s="306" t="s">
        <v>640</v>
      </c>
      <c r="B132" s="306" t="s">
        <v>1011</v>
      </c>
      <c r="C132" s="306" t="s">
        <v>1012</v>
      </c>
      <c r="D132" s="3" t="s">
        <v>646</v>
      </c>
      <c r="E132" s="3" t="s">
        <v>1191</v>
      </c>
      <c r="F132" s="3" t="s">
        <v>804</v>
      </c>
      <c r="G132" s="3"/>
      <c r="H132" s="3"/>
    </row>
    <row r="133" spans="1:8">
      <c r="A133" s="3" t="s">
        <v>640</v>
      </c>
      <c r="B133" s="3" t="s">
        <v>1172</v>
      </c>
      <c r="C133" s="3" t="s">
        <v>260</v>
      </c>
      <c r="D133" s="3"/>
      <c r="E133" s="3"/>
      <c r="F133" s="3"/>
      <c r="G133" s="3"/>
      <c r="H133" s="3"/>
    </row>
    <row r="134" spans="1:8">
      <c r="A134" s="3" t="s">
        <v>640</v>
      </c>
      <c r="B134" s="3" t="s">
        <v>1173</v>
      </c>
      <c r="C134" s="3" t="s">
        <v>1174</v>
      </c>
      <c r="D134" s="3"/>
      <c r="E134" s="3"/>
      <c r="F134" s="3"/>
      <c r="G134" s="3"/>
      <c r="H134" s="3"/>
    </row>
    <row r="135" spans="1:8">
      <c r="A135" s="3" t="s">
        <v>640</v>
      </c>
      <c r="B135" s="3" t="s">
        <v>1175</v>
      </c>
      <c r="C135" s="3" t="s">
        <v>1147</v>
      </c>
      <c r="D135" s="3"/>
      <c r="E135" s="3"/>
      <c r="F135" s="3"/>
      <c r="G135" s="3"/>
      <c r="H135" s="3"/>
    </row>
    <row r="136" spans="1:8">
      <c r="A136" s="3" t="s">
        <v>640</v>
      </c>
      <c r="B136" s="3" t="s">
        <v>945</v>
      </c>
      <c r="C136" s="3" t="s">
        <v>800</v>
      </c>
      <c r="D136" s="3"/>
      <c r="E136" s="3"/>
      <c r="F136" s="3"/>
      <c r="G136" s="3"/>
      <c r="H136" s="3"/>
    </row>
    <row r="137" spans="1:8">
      <c r="A137" s="80" t="s">
        <v>640</v>
      </c>
      <c r="B137" s="80" t="s">
        <v>946</v>
      </c>
      <c r="C137" s="80" t="s">
        <v>806</v>
      </c>
      <c r="D137" s="80"/>
      <c r="E137" s="80"/>
      <c r="F137" s="80"/>
      <c r="G137" s="80"/>
      <c r="H137" s="80"/>
    </row>
    <row r="138" spans="1:8">
      <c r="A138" s="306" t="s">
        <v>1975</v>
      </c>
      <c r="B138" s="306" t="s">
        <v>1976</v>
      </c>
      <c r="C138" s="306" t="s">
        <v>1977</v>
      </c>
      <c r="D138" s="3"/>
      <c r="E138" s="3"/>
      <c r="F138" s="3"/>
      <c r="G138" s="3"/>
      <c r="H138" s="3"/>
    </row>
    <row r="139" spans="1:8">
      <c r="A139" s="306" t="s">
        <v>1975</v>
      </c>
      <c r="B139" s="306" t="s">
        <v>922</v>
      </c>
      <c r="C139" s="306" t="s">
        <v>923</v>
      </c>
      <c r="D139" s="3"/>
      <c r="E139" s="3"/>
      <c r="F139" s="3"/>
      <c r="G139" s="3"/>
      <c r="H139" s="3"/>
    </row>
    <row r="140" spans="1:8">
      <c r="A140" s="306" t="s">
        <v>1975</v>
      </c>
      <c r="B140" s="306" t="s">
        <v>1499</v>
      </c>
      <c r="C140" s="306" t="s">
        <v>858</v>
      </c>
      <c r="D140" s="3"/>
      <c r="E140" s="3"/>
      <c r="F140" s="3"/>
      <c r="G140" s="3"/>
      <c r="H140" s="3"/>
    </row>
    <row r="141" spans="1:8">
      <c r="A141" s="306" t="s">
        <v>1975</v>
      </c>
      <c r="B141" s="306" t="s">
        <v>1083</v>
      </c>
      <c r="C141" s="306" t="s">
        <v>862</v>
      </c>
      <c r="D141" s="3"/>
      <c r="E141" s="3"/>
      <c r="F141" s="3"/>
      <c r="G141" s="3"/>
      <c r="H141" s="3"/>
    </row>
    <row r="142" spans="1:8">
      <c r="A142" s="306" t="s">
        <v>1975</v>
      </c>
      <c r="B142" s="306" t="s">
        <v>1167</v>
      </c>
      <c r="C142" s="306" t="s">
        <v>1168</v>
      </c>
      <c r="D142" s="3"/>
      <c r="E142" s="3"/>
      <c r="F142" s="3"/>
      <c r="G142" s="3"/>
      <c r="H142" s="3"/>
    </row>
    <row r="143" spans="1:8">
      <c r="A143" s="306" t="s">
        <v>1975</v>
      </c>
      <c r="B143" s="306" t="s">
        <v>1170</v>
      </c>
      <c r="C143" s="306" t="s">
        <v>1155</v>
      </c>
      <c r="D143" s="3"/>
      <c r="E143" s="3"/>
      <c r="F143" s="3"/>
      <c r="G143" s="3"/>
      <c r="H143" s="3"/>
    </row>
    <row r="144" spans="1:8">
      <c r="A144" s="306" t="s">
        <v>1975</v>
      </c>
      <c r="B144" s="306" t="s">
        <v>1011</v>
      </c>
      <c r="C144" s="306" t="s">
        <v>1012</v>
      </c>
      <c r="D144" s="3" t="s">
        <v>646</v>
      </c>
      <c r="E144" s="3" t="s">
        <v>1191</v>
      </c>
      <c r="F144" s="3" t="s">
        <v>804</v>
      </c>
      <c r="G144" s="3"/>
      <c r="H144" s="3"/>
    </row>
    <row r="145" spans="1:8">
      <c r="A145" s="306" t="s">
        <v>1975</v>
      </c>
      <c r="B145" s="306" t="s">
        <v>1978</v>
      </c>
      <c r="C145" s="306" t="s">
        <v>1979</v>
      </c>
      <c r="D145" s="3"/>
      <c r="E145" s="3"/>
      <c r="F145" s="3"/>
      <c r="G145" s="3"/>
      <c r="H145" s="3"/>
    </row>
    <row r="146" spans="1:8">
      <c r="A146" s="306" t="s">
        <v>1975</v>
      </c>
      <c r="B146" s="306" t="s">
        <v>1471</v>
      </c>
      <c r="C146" s="306" t="s">
        <v>1038</v>
      </c>
      <c r="D146" s="3"/>
      <c r="E146" s="3"/>
      <c r="F146" s="3"/>
      <c r="G146" s="3"/>
      <c r="H146" s="3"/>
    </row>
    <row r="147" spans="1:8">
      <c r="A147" s="306" t="s">
        <v>1975</v>
      </c>
      <c r="B147" s="306" t="s">
        <v>946</v>
      </c>
      <c r="C147" s="306" t="s">
        <v>806</v>
      </c>
      <c r="D147" s="3"/>
      <c r="E147" s="3"/>
      <c r="F147" s="3"/>
      <c r="G147" s="3"/>
      <c r="H147" s="3"/>
    </row>
    <row r="149" spans="1:8">
      <c r="A149" t="s">
        <v>1924</v>
      </c>
    </row>
    <row r="150" spans="1:8">
      <c r="A150" t="s">
        <v>1925</v>
      </c>
    </row>
    <row r="152" spans="1:8">
      <c r="A152" t="s">
        <v>1926</v>
      </c>
    </row>
    <row r="153" spans="1:8">
      <c r="A153" s="248" t="s">
        <v>1927</v>
      </c>
      <c r="B153" t="s">
        <v>1980</v>
      </c>
    </row>
    <row r="154" spans="1:8">
      <c r="A154" t="s">
        <v>1929</v>
      </c>
      <c r="B154" t="s">
        <v>1981</v>
      </c>
    </row>
    <row r="155" spans="1:8">
      <c r="A155" t="s">
        <v>1931</v>
      </c>
      <c r="B155" t="s">
        <v>1982</v>
      </c>
    </row>
    <row r="157" spans="1:8">
      <c r="A157" s="243" t="s">
        <v>1933</v>
      </c>
    </row>
  </sheetData>
  <mergeCells count="2">
    <mergeCell ref="C2:H2"/>
    <mergeCell ref="C3:H3"/>
  </mergeCells>
  <hyperlinks>
    <hyperlink ref="B1" location="Summary!A1" display="Summary" xr:uid="{A3BF2BB8-A7D7-4B8F-82D8-80685B03391E}"/>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D0BA-4220-4806-980D-CAEA46021E14}">
  <dimension ref="A1:H142"/>
  <sheetViews>
    <sheetView workbookViewId="0">
      <selection activeCell="B1" sqref="B1"/>
    </sheetView>
  </sheetViews>
  <sheetFormatPr defaultRowHeight="15"/>
  <cols>
    <col min="1" max="1" width="20" customWidth="1"/>
    <col min="2" max="2" width="27.140625" bestFit="1" customWidth="1"/>
    <col min="3" max="3" width="34.42578125" bestFit="1" customWidth="1"/>
    <col min="4" max="4" width="24.42578125" bestFit="1" customWidth="1"/>
    <col min="5" max="6" width="20" customWidth="1"/>
    <col min="7" max="7" width="76.28515625" bestFit="1" customWidth="1"/>
    <col min="8" max="9" width="20" customWidth="1"/>
  </cols>
  <sheetData>
    <row r="1" spans="1:8">
      <c r="A1" s="44"/>
      <c r="B1" s="1" t="s">
        <v>773</v>
      </c>
      <c r="C1" s="39"/>
      <c r="D1" s="39"/>
      <c r="E1" s="39"/>
      <c r="F1" s="39"/>
      <c r="G1" s="39"/>
      <c r="H1" s="39"/>
    </row>
    <row r="2" spans="1:8">
      <c r="A2" s="44"/>
      <c r="B2" s="40" t="s">
        <v>1983</v>
      </c>
      <c r="C2" s="319"/>
      <c r="D2" s="319"/>
      <c r="E2" s="319"/>
      <c r="F2" s="319"/>
      <c r="G2" s="319"/>
      <c r="H2" s="319"/>
    </row>
    <row r="3" spans="1:8">
      <c r="A3" s="44"/>
      <c r="B3" s="40" t="s">
        <v>571</v>
      </c>
      <c r="C3" s="319"/>
      <c r="D3" s="319"/>
      <c r="E3" s="319"/>
      <c r="F3" s="319"/>
      <c r="G3" s="319"/>
      <c r="H3" s="319"/>
    </row>
    <row r="4" spans="1:8">
      <c r="A4" s="44"/>
      <c r="B4" s="40" t="s">
        <v>566</v>
      </c>
      <c r="C4" s="39" t="s">
        <v>586</v>
      </c>
      <c r="D4" s="39"/>
      <c r="E4" s="39"/>
      <c r="F4" s="39"/>
      <c r="G4" s="39"/>
      <c r="H4" s="39"/>
    </row>
    <row r="5" spans="1:8">
      <c r="A5" s="44"/>
      <c r="B5" s="44"/>
      <c r="C5" s="44"/>
      <c r="D5" s="44"/>
      <c r="E5" s="44"/>
      <c r="F5" s="44"/>
      <c r="G5" s="44"/>
      <c r="H5" s="44"/>
    </row>
    <row r="6" spans="1:8">
      <c r="A6" s="261" t="s">
        <v>550</v>
      </c>
      <c r="B6" s="262" t="s">
        <v>775</v>
      </c>
      <c r="C6" s="262" t="s">
        <v>776</v>
      </c>
      <c r="D6" s="262" t="s">
        <v>777</v>
      </c>
      <c r="E6" s="262" t="s">
        <v>778</v>
      </c>
      <c r="F6" s="263" t="s">
        <v>779</v>
      </c>
      <c r="G6" s="263" t="s">
        <v>568</v>
      </c>
      <c r="H6" s="263" t="s">
        <v>780</v>
      </c>
    </row>
    <row r="7" spans="1:8">
      <c r="A7" s="49" t="s">
        <v>650</v>
      </c>
      <c r="B7" s="49" t="s">
        <v>984</v>
      </c>
      <c r="C7" s="49" t="s">
        <v>985</v>
      </c>
      <c r="D7" s="49"/>
      <c r="E7" s="49"/>
      <c r="F7" s="49"/>
      <c r="G7" s="49"/>
      <c r="H7" s="49"/>
    </row>
    <row r="8" spans="1:8">
      <c r="A8" s="49" t="s">
        <v>650</v>
      </c>
      <c r="B8" s="49" t="s">
        <v>924</v>
      </c>
      <c r="C8" s="49" t="s">
        <v>564</v>
      </c>
      <c r="D8" s="33" t="s">
        <v>788</v>
      </c>
      <c r="E8" s="33"/>
      <c r="F8" s="33" t="s">
        <v>786</v>
      </c>
      <c r="G8" s="49"/>
      <c r="H8" s="49"/>
    </row>
    <row r="9" spans="1:8">
      <c r="A9" s="49" t="s">
        <v>650</v>
      </c>
      <c r="B9" s="49" t="s">
        <v>926</v>
      </c>
      <c r="C9" s="49" t="s">
        <v>802</v>
      </c>
      <c r="D9" s="33" t="s">
        <v>803</v>
      </c>
      <c r="E9" s="33"/>
      <c r="F9" s="33" t="s">
        <v>804</v>
      </c>
      <c r="G9" s="49"/>
      <c r="H9" s="49"/>
    </row>
    <row r="10" spans="1:8">
      <c r="A10" s="49" t="s">
        <v>650</v>
      </c>
      <c r="B10" s="49" t="s">
        <v>928</v>
      </c>
      <c r="C10" s="49" t="s">
        <v>784</v>
      </c>
      <c r="D10" s="33" t="s">
        <v>785</v>
      </c>
      <c r="E10" s="33"/>
      <c r="F10" s="33" t="s">
        <v>786</v>
      </c>
      <c r="G10" s="49"/>
      <c r="H10" s="49"/>
    </row>
    <row r="11" spans="1:8">
      <c r="A11" s="49" t="s">
        <v>650</v>
      </c>
      <c r="B11" s="49" t="s">
        <v>933</v>
      </c>
      <c r="C11" s="49" t="s">
        <v>798</v>
      </c>
      <c r="D11" s="49"/>
      <c r="E11" s="49"/>
      <c r="F11" s="49"/>
      <c r="G11" s="49"/>
      <c r="H11" s="49"/>
    </row>
    <row r="12" spans="1:8">
      <c r="A12" s="49" t="s">
        <v>650</v>
      </c>
      <c r="B12" s="49" t="s">
        <v>1610</v>
      </c>
      <c r="C12" s="49" t="s">
        <v>1611</v>
      </c>
      <c r="D12" s="49" t="s">
        <v>1612</v>
      </c>
      <c r="E12" s="49"/>
      <c r="F12" s="49" t="s">
        <v>804</v>
      </c>
      <c r="G12" s="49"/>
      <c r="H12" s="49"/>
    </row>
    <row r="13" spans="1:8">
      <c r="A13" s="49" t="s">
        <v>650</v>
      </c>
      <c r="B13" s="49" t="s">
        <v>1098</v>
      </c>
      <c r="C13" s="49" t="s">
        <v>1099</v>
      </c>
      <c r="D13" s="49" t="s">
        <v>1378</v>
      </c>
      <c r="E13" s="49"/>
      <c r="F13" s="49" t="s">
        <v>804</v>
      </c>
      <c r="G13" s="49"/>
      <c r="H13" s="49"/>
    </row>
    <row r="14" spans="1:8">
      <c r="A14" s="49" t="s">
        <v>650</v>
      </c>
      <c r="B14" s="49" t="s">
        <v>1020</v>
      </c>
      <c r="C14" s="49" t="s">
        <v>1021</v>
      </c>
      <c r="D14" s="49" t="s">
        <v>1613</v>
      </c>
      <c r="E14" s="49"/>
      <c r="F14" s="49" t="s">
        <v>804</v>
      </c>
      <c r="G14" s="49"/>
      <c r="H14" s="49"/>
    </row>
    <row r="15" spans="1:8">
      <c r="A15" s="49" t="s">
        <v>650</v>
      </c>
      <c r="B15" s="49" t="s">
        <v>936</v>
      </c>
      <c r="C15" s="49" t="s">
        <v>796</v>
      </c>
      <c r="D15" s="49"/>
      <c r="E15" s="49"/>
      <c r="F15" s="49"/>
      <c r="G15" s="49"/>
      <c r="H15" s="49"/>
    </row>
    <row r="16" spans="1:8">
      <c r="A16" s="49" t="s">
        <v>650</v>
      </c>
      <c r="B16" s="49" t="s">
        <v>1614</v>
      </c>
      <c r="C16" s="49" t="s">
        <v>1615</v>
      </c>
      <c r="D16" s="49"/>
      <c r="E16" s="49"/>
      <c r="F16" s="49"/>
      <c r="G16" s="49"/>
      <c r="H16" s="49"/>
    </row>
    <row r="17" spans="1:8">
      <c r="A17" s="49" t="s">
        <v>650</v>
      </c>
      <c r="B17" s="49" t="s">
        <v>944</v>
      </c>
      <c r="C17" s="49" t="s">
        <v>794</v>
      </c>
      <c r="D17" s="49"/>
      <c r="E17" s="49"/>
      <c r="F17" s="49"/>
      <c r="G17" s="49"/>
      <c r="H17" s="49"/>
    </row>
    <row r="18" spans="1:8">
      <c r="A18" s="49" t="s">
        <v>650</v>
      </c>
      <c r="B18" s="49" t="s">
        <v>945</v>
      </c>
      <c r="C18" s="49" t="s">
        <v>800</v>
      </c>
      <c r="D18" s="49"/>
      <c r="E18" s="49"/>
      <c r="F18" s="49"/>
      <c r="G18" s="49"/>
      <c r="H18" s="49"/>
    </row>
    <row r="19" spans="1:8">
      <c r="A19" s="49" t="s">
        <v>650</v>
      </c>
      <c r="B19" s="49" t="s">
        <v>1049</v>
      </c>
      <c r="C19" s="49" t="s">
        <v>1050</v>
      </c>
      <c r="D19" s="49"/>
      <c r="E19" s="49"/>
      <c r="F19" s="49"/>
      <c r="G19" s="49"/>
      <c r="H19" s="49"/>
    </row>
    <row r="20" spans="1:8">
      <c r="A20" s="49" t="s">
        <v>650</v>
      </c>
      <c r="B20" s="49" t="s">
        <v>1616</v>
      </c>
      <c r="C20" s="49" t="s">
        <v>1617</v>
      </c>
      <c r="D20" s="49"/>
      <c r="E20" s="49"/>
      <c r="F20" s="49"/>
      <c r="G20" s="49"/>
      <c r="H20" s="49"/>
    </row>
    <row r="21" spans="1:8">
      <c r="A21" s="49" t="s">
        <v>650</v>
      </c>
      <c r="B21" s="49" t="s">
        <v>1527</v>
      </c>
      <c r="C21" s="49" t="s">
        <v>315</v>
      </c>
      <c r="D21" s="49"/>
      <c r="E21" s="49"/>
      <c r="F21" s="49"/>
      <c r="G21" s="49"/>
      <c r="H21" s="49"/>
    </row>
    <row r="22" spans="1:8">
      <c r="A22" s="49" t="s">
        <v>650</v>
      </c>
      <c r="B22" s="49" t="s">
        <v>1619</v>
      </c>
      <c r="C22" s="49" t="s">
        <v>1620</v>
      </c>
      <c r="D22" s="49" t="s">
        <v>1621</v>
      </c>
      <c r="E22" s="49" t="s">
        <v>1529</v>
      </c>
      <c r="F22" s="49" t="s">
        <v>804</v>
      </c>
      <c r="G22" s="49"/>
      <c r="H22" s="49"/>
    </row>
    <row r="23" spans="1:8">
      <c r="A23" s="49" t="s">
        <v>650</v>
      </c>
      <c r="B23" s="49" t="s">
        <v>1622</v>
      </c>
      <c r="C23" s="49" t="s">
        <v>1623</v>
      </c>
      <c r="D23" s="49"/>
      <c r="E23" s="49"/>
      <c r="F23" s="49"/>
      <c r="G23" s="49"/>
      <c r="H23" s="49"/>
    </row>
    <row r="24" spans="1:8">
      <c r="A24" s="49" t="s">
        <v>650</v>
      </c>
      <c r="B24" s="49" t="s">
        <v>1624</v>
      </c>
      <c r="C24" s="49" t="s">
        <v>1625</v>
      </c>
      <c r="D24" s="49" t="s">
        <v>1626</v>
      </c>
      <c r="E24" s="49"/>
      <c r="F24" s="49" t="s">
        <v>786</v>
      </c>
      <c r="G24" s="49"/>
      <c r="H24" s="49"/>
    </row>
    <row r="25" spans="1:8">
      <c r="A25" s="49" t="s">
        <v>650</v>
      </c>
      <c r="B25" s="49" t="s">
        <v>946</v>
      </c>
      <c r="C25" s="49" t="s">
        <v>806</v>
      </c>
      <c r="D25" s="58"/>
      <c r="E25" s="58"/>
      <c r="F25" s="58"/>
      <c r="G25" s="58"/>
      <c r="H25" s="58"/>
    </row>
    <row r="26" spans="1:8">
      <c r="A26" s="58" t="s">
        <v>650</v>
      </c>
      <c r="B26" s="58" t="s">
        <v>922</v>
      </c>
      <c r="C26" s="236" t="s">
        <v>923</v>
      </c>
      <c r="D26" s="80"/>
      <c r="E26" s="80"/>
      <c r="F26" s="80"/>
      <c r="G26" s="80"/>
      <c r="H26" s="80"/>
    </row>
    <row r="27" spans="1:8">
      <c r="A27" s="96" t="s">
        <v>1165</v>
      </c>
      <c r="B27" s="96" t="s">
        <v>1197</v>
      </c>
      <c r="C27" s="96" t="s">
        <v>1133</v>
      </c>
      <c r="D27" s="2"/>
      <c r="E27" s="2"/>
      <c r="F27" s="2"/>
      <c r="G27" s="2"/>
      <c r="H27" s="2"/>
    </row>
    <row r="28" spans="1:8">
      <c r="A28" s="96" t="s">
        <v>1165</v>
      </c>
      <c r="B28" s="96" t="s">
        <v>1527</v>
      </c>
      <c r="C28" s="96" t="s">
        <v>315</v>
      </c>
      <c r="D28" s="249" t="s">
        <v>1528</v>
      </c>
      <c r="E28" s="67" t="s">
        <v>1529</v>
      </c>
      <c r="F28" s="2"/>
      <c r="G28" s="2"/>
      <c r="H28" s="2"/>
    </row>
    <row r="29" spans="1:8">
      <c r="A29" s="96" t="s">
        <v>1165</v>
      </c>
      <c r="B29" s="96" t="s">
        <v>1984</v>
      </c>
      <c r="C29" s="96" t="s">
        <v>1985</v>
      </c>
      <c r="D29" s="2"/>
      <c r="E29" s="160" t="s">
        <v>1986</v>
      </c>
      <c r="F29" s="2"/>
      <c r="G29" s="2"/>
      <c r="H29" s="2"/>
    </row>
    <row r="30" spans="1:8">
      <c r="A30" s="96" t="s">
        <v>1165</v>
      </c>
      <c r="B30" s="96" t="s">
        <v>946</v>
      </c>
      <c r="C30" s="96" t="s">
        <v>806</v>
      </c>
      <c r="D30" s="2"/>
      <c r="E30" s="2"/>
      <c r="F30" s="2"/>
      <c r="G30" s="2"/>
      <c r="H30" s="2"/>
    </row>
    <row r="31" spans="1:8">
      <c r="A31" s="96" t="s">
        <v>1166</v>
      </c>
      <c r="B31" s="2" t="s">
        <v>1939</v>
      </c>
      <c r="C31" s="2" t="s">
        <v>1940</v>
      </c>
      <c r="D31" s="2"/>
      <c r="E31" s="2"/>
      <c r="F31" s="2"/>
      <c r="G31" s="2"/>
      <c r="H31" s="2"/>
    </row>
    <row r="32" spans="1:8">
      <c r="A32" s="96" t="s">
        <v>1166</v>
      </c>
      <c r="B32" s="2" t="s">
        <v>1941</v>
      </c>
      <c r="C32" s="2" t="s">
        <v>1942</v>
      </c>
      <c r="D32" s="2"/>
      <c r="E32" s="2"/>
      <c r="F32" s="2"/>
      <c r="G32" s="2"/>
      <c r="H32" s="2"/>
    </row>
    <row r="33" spans="1:8">
      <c r="A33" s="96" t="s">
        <v>1166</v>
      </c>
      <c r="B33" s="96" t="s">
        <v>1527</v>
      </c>
      <c r="C33" s="96" t="s">
        <v>315</v>
      </c>
      <c r="D33" s="267" t="s">
        <v>1528</v>
      </c>
      <c r="E33" s="67" t="s">
        <v>1529</v>
      </c>
      <c r="F33" s="2"/>
      <c r="G33" s="2"/>
      <c r="H33" s="2"/>
    </row>
    <row r="34" spans="1:8">
      <c r="A34" s="238" t="s">
        <v>1166</v>
      </c>
      <c r="B34" s="239" t="s">
        <v>946</v>
      </c>
      <c r="C34" s="239" t="s">
        <v>806</v>
      </c>
      <c r="D34" s="239"/>
      <c r="E34" s="239"/>
      <c r="F34" s="239"/>
      <c r="G34" s="239"/>
      <c r="H34" s="239"/>
    </row>
    <row r="35" spans="1:8">
      <c r="A35" s="3" t="s">
        <v>1169</v>
      </c>
      <c r="B35" s="3" t="s">
        <v>922</v>
      </c>
      <c r="C35" s="3" t="s">
        <v>923</v>
      </c>
      <c r="D35" s="3"/>
      <c r="E35" s="3"/>
      <c r="F35" s="3"/>
      <c r="G35" s="3"/>
      <c r="H35" s="3"/>
    </row>
    <row r="36" spans="1:8">
      <c r="A36" s="3" t="s">
        <v>1169</v>
      </c>
      <c r="B36" s="3" t="s">
        <v>1011</v>
      </c>
      <c r="C36" s="3" t="s">
        <v>1012</v>
      </c>
      <c r="D36" s="3"/>
      <c r="E36" s="3"/>
      <c r="F36" s="3"/>
      <c r="G36" s="3"/>
      <c r="H36" s="3"/>
    </row>
    <row r="37" spans="1:8">
      <c r="A37" s="3" t="s">
        <v>1169</v>
      </c>
      <c r="B37" s="3" t="s">
        <v>1934</v>
      </c>
      <c r="C37" s="3" t="s">
        <v>796</v>
      </c>
      <c r="D37" s="3"/>
      <c r="E37" s="3"/>
      <c r="F37" s="3"/>
      <c r="G37" s="3"/>
      <c r="H37" s="3"/>
    </row>
    <row r="38" spans="1:8">
      <c r="A38" s="3" t="s">
        <v>1169</v>
      </c>
      <c r="B38" s="3" t="s">
        <v>1851</v>
      </c>
      <c r="C38" s="3" t="s">
        <v>51</v>
      </c>
      <c r="D38" s="240"/>
      <c r="E38" s="3"/>
      <c r="F38" s="3"/>
      <c r="G38" s="3"/>
      <c r="H38" s="3"/>
    </row>
    <row r="39" spans="1:8">
      <c r="A39" s="3" t="s">
        <v>1169</v>
      </c>
      <c r="B39" s="3" t="s">
        <v>1935</v>
      </c>
      <c r="C39" s="3" t="s">
        <v>1936</v>
      </c>
      <c r="D39" s="3"/>
      <c r="E39" s="3"/>
      <c r="F39" s="3"/>
      <c r="G39" s="3"/>
      <c r="H39" s="3"/>
    </row>
    <row r="40" spans="1:8">
      <c r="A40" s="3" t="s">
        <v>1169</v>
      </c>
      <c r="B40" s="3" t="s">
        <v>1937</v>
      </c>
      <c r="C40" s="3" t="s">
        <v>1938</v>
      </c>
      <c r="D40" s="3"/>
      <c r="E40" s="3"/>
      <c r="F40" s="3"/>
      <c r="G40" s="3"/>
      <c r="H40" s="3"/>
    </row>
    <row r="41" spans="1:8">
      <c r="A41" s="3" t="s">
        <v>1169</v>
      </c>
      <c r="B41" s="3" t="s">
        <v>1471</v>
      </c>
      <c r="C41" s="3" t="s">
        <v>1038</v>
      </c>
      <c r="D41" s="3"/>
      <c r="E41" s="3"/>
      <c r="F41" s="3"/>
      <c r="G41" s="3"/>
      <c r="H41" s="3"/>
    </row>
    <row r="42" spans="1:8">
      <c r="A42" s="3" t="s">
        <v>1169</v>
      </c>
      <c r="B42" s="3" t="s">
        <v>944</v>
      </c>
      <c r="C42" s="3" t="s">
        <v>794</v>
      </c>
      <c r="D42" s="3"/>
      <c r="E42" s="3"/>
      <c r="F42" s="3"/>
      <c r="G42" s="3"/>
      <c r="H42" s="3"/>
    </row>
    <row r="43" spans="1:8">
      <c r="A43" s="3" t="s">
        <v>1169</v>
      </c>
      <c r="B43" s="3" t="s">
        <v>1862</v>
      </c>
      <c r="C43" s="3" t="s">
        <v>1863</v>
      </c>
      <c r="D43" s="3"/>
      <c r="E43" s="3"/>
      <c r="F43" s="3"/>
      <c r="G43" s="3"/>
      <c r="H43" s="3"/>
    </row>
    <row r="44" spans="1:8">
      <c r="A44" s="3" t="s">
        <v>1169</v>
      </c>
      <c r="B44" s="3" t="s">
        <v>1527</v>
      </c>
      <c r="C44" s="3" t="s">
        <v>315</v>
      </c>
      <c r="D44" s="249" t="s">
        <v>1528</v>
      </c>
      <c r="E44" s="264" t="s">
        <v>1529</v>
      </c>
      <c r="F44" s="3"/>
      <c r="G44" s="3"/>
      <c r="H44" s="3"/>
    </row>
    <row r="45" spans="1:8">
      <c r="A45" s="3" t="s">
        <v>1169</v>
      </c>
      <c r="B45" s="3" t="s">
        <v>946</v>
      </c>
      <c r="C45" s="3" t="s">
        <v>806</v>
      </c>
      <c r="D45" s="3"/>
      <c r="E45" s="3"/>
      <c r="F45" s="3"/>
      <c r="G45" s="3"/>
      <c r="H45" s="3"/>
    </row>
    <row r="46" spans="1:8">
      <c r="A46" s="3" t="s">
        <v>1171</v>
      </c>
      <c r="B46" s="3" t="s">
        <v>1735</v>
      </c>
      <c r="C46" s="3" t="s">
        <v>911</v>
      </c>
      <c r="D46" s="3"/>
      <c r="E46" s="3"/>
      <c r="F46" s="3"/>
      <c r="G46" s="3"/>
      <c r="H46" s="3"/>
    </row>
    <row r="47" spans="1:8">
      <c r="A47" s="3" t="s">
        <v>1171</v>
      </c>
      <c r="B47" s="3" t="s">
        <v>1775</v>
      </c>
      <c r="C47" s="3" t="s">
        <v>1776</v>
      </c>
      <c r="D47" s="3"/>
      <c r="E47" s="3"/>
      <c r="F47" s="3"/>
      <c r="G47" s="3"/>
      <c r="H47" s="3"/>
    </row>
    <row r="48" spans="1:8">
      <c r="A48" s="3" t="s">
        <v>1171</v>
      </c>
      <c r="B48" s="3" t="s">
        <v>1777</v>
      </c>
      <c r="C48" s="3" t="s">
        <v>1778</v>
      </c>
      <c r="D48" s="3"/>
      <c r="E48" s="3"/>
      <c r="F48" s="3"/>
      <c r="G48" s="3"/>
      <c r="H48" s="3"/>
    </row>
    <row r="49" spans="1:8">
      <c r="A49" s="3" t="s">
        <v>1171</v>
      </c>
      <c r="B49" s="3" t="s">
        <v>1779</v>
      </c>
      <c r="C49" s="3" t="s">
        <v>1229</v>
      </c>
      <c r="D49" s="3"/>
      <c r="E49" s="3"/>
      <c r="F49" s="3"/>
      <c r="G49" s="3"/>
      <c r="H49" s="3"/>
    </row>
    <row r="50" spans="1:8">
      <c r="A50" s="3" t="s">
        <v>1171</v>
      </c>
      <c r="B50" s="3" t="s">
        <v>1780</v>
      </c>
      <c r="C50" s="3" t="s">
        <v>1781</v>
      </c>
      <c r="D50" s="3"/>
      <c r="E50" s="3"/>
      <c r="F50" s="3"/>
      <c r="G50" s="3"/>
      <c r="H50" s="3"/>
    </row>
    <row r="51" spans="1:8">
      <c r="A51" s="3" t="s">
        <v>1171</v>
      </c>
      <c r="B51" s="3" t="s">
        <v>1204</v>
      </c>
      <c r="C51" s="3" t="s">
        <v>1205</v>
      </c>
      <c r="D51" s="3"/>
      <c r="E51" s="3"/>
      <c r="F51" s="3"/>
      <c r="G51" s="3"/>
      <c r="H51" s="3"/>
    </row>
    <row r="52" spans="1:8">
      <c r="A52" s="3" t="s">
        <v>1171</v>
      </c>
      <c r="B52" s="3" t="s">
        <v>1752</v>
      </c>
      <c r="C52" s="3" t="s">
        <v>1753</v>
      </c>
      <c r="D52" s="3"/>
      <c r="E52" s="3"/>
      <c r="F52" s="3"/>
      <c r="G52" s="3"/>
      <c r="H52" s="3"/>
    </row>
    <row r="53" spans="1:8">
      <c r="A53" s="3" t="s">
        <v>1171</v>
      </c>
      <c r="B53" s="3" t="s">
        <v>1782</v>
      </c>
      <c r="C53" s="3" t="s">
        <v>1783</v>
      </c>
      <c r="D53" s="3"/>
      <c r="E53" s="3"/>
      <c r="F53" s="3"/>
      <c r="G53" s="3"/>
      <c r="H53" s="3"/>
    </row>
    <row r="54" spans="1:8">
      <c r="A54" s="3" t="s">
        <v>1171</v>
      </c>
      <c r="B54" s="3" t="s">
        <v>1664</v>
      </c>
      <c r="C54" s="3" t="s">
        <v>1665</v>
      </c>
      <c r="D54" s="3"/>
      <c r="E54" s="3"/>
      <c r="F54" s="3"/>
      <c r="G54" s="3"/>
      <c r="H54" s="3"/>
    </row>
    <row r="55" spans="1:8">
      <c r="A55" s="3" t="s">
        <v>1171</v>
      </c>
      <c r="B55" s="3" t="s">
        <v>1784</v>
      </c>
      <c r="C55" s="3" t="s">
        <v>1785</v>
      </c>
      <c r="D55" s="3"/>
      <c r="E55" s="3"/>
      <c r="F55" s="3"/>
      <c r="G55" s="3"/>
      <c r="H55" s="3"/>
    </row>
    <row r="56" spans="1:8">
      <c r="A56" s="3" t="s">
        <v>1171</v>
      </c>
      <c r="B56" s="3" t="s">
        <v>1786</v>
      </c>
      <c r="C56" s="3" t="s">
        <v>1787</v>
      </c>
      <c r="D56" s="3"/>
      <c r="E56" s="3"/>
      <c r="F56" s="3"/>
      <c r="G56" s="3"/>
      <c r="H56" s="3"/>
    </row>
    <row r="57" spans="1:8">
      <c r="A57" s="3" t="s">
        <v>1171</v>
      </c>
      <c r="B57" s="3" t="s">
        <v>1788</v>
      </c>
      <c r="C57" s="3" t="s">
        <v>1789</v>
      </c>
      <c r="D57" s="3"/>
      <c r="E57" s="3"/>
      <c r="F57" s="3"/>
      <c r="G57" s="3"/>
      <c r="H57" s="3"/>
    </row>
    <row r="58" spans="1:8">
      <c r="A58" s="3" t="s">
        <v>1171</v>
      </c>
      <c r="B58" s="3" t="s">
        <v>1790</v>
      </c>
      <c r="C58" s="3" t="s">
        <v>1791</v>
      </c>
      <c r="D58" s="3"/>
      <c r="E58" s="3"/>
      <c r="F58" s="3"/>
      <c r="G58" s="3"/>
      <c r="H58" s="3"/>
    </row>
    <row r="59" spans="1:8">
      <c r="A59" s="3" t="s">
        <v>1171</v>
      </c>
      <c r="B59" s="3" t="s">
        <v>1792</v>
      </c>
      <c r="C59" s="3" t="s">
        <v>1793</v>
      </c>
      <c r="D59" s="3"/>
      <c r="E59" s="3"/>
      <c r="F59" s="3"/>
      <c r="G59" s="3"/>
      <c r="H59" s="3"/>
    </row>
    <row r="60" spans="1:8">
      <c r="A60" s="3" t="s">
        <v>1171</v>
      </c>
      <c r="B60" s="3" t="s">
        <v>1794</v>
      </c>
      <c r="C60" s="3" t="s">
        <v>1795</v>
      </c>
      <c r="D60" s="3"/>
      <c r="E60" s="3"/>
      <c r="F60" s="3"/>
      <c r="G60" s="3"/>
      <c r="H60" s="3"/>
    </row>
    <row r="61" spans="1:8">
      <c r="A61" s="3" t="s">
        <v>1171</v>
      </c>
      <c r="B61" s="3" t="s">
        <v>1796</v>
      </c>
      <c r="C61" s="3" t="s">
        <v>1797</v>
      </c>
      <c r="D61" s="3"/>
      <c r="E61" s="3"/>
      <c r="F61" s="3"/>
      <c r="G61" s="3"/>
      <c r="H61" s="3"/>
    </row>
    <row r="62" spans="1:8">
      <c r="A62" s="3" t="s">
        <v>1171</v>
      </c>
      <c r="B62" s="3" t="s">
        <v>1798</v>
      </c>
      <c r="C62" s="3" t="s">
        <v>1799</v>
      </c>
      <c r="D62" s="3"/>
      <c r="E62" s="3"/>
      <c r="F62" s="3"/>
      <c r="G62" s="3"/>
      <c r="H62" s="3"/>
    </row>
    <row r="63" spans="1:8">
      <c r="A63" s="3" t="s">
        <v>1171</v>
      </c>
      <c r="B63" s="3" t="s">
        <v>1800</v>
      </c>
      <c r="C63" s="3" t="s">
        <v>1801</v>
      </c>
      <c r="D63" s="3"/>
      <c r="E63" s="3"/>
      <c r="F63" s="3"/>
      <c r="G63" s="3"/>
      <c r="H63" s="3"/>
    </row>
    <row r="64" spans="1:8">
      <c r="A64" s="3" t="s">
        <v>1171</v>
      </c>
      <c r="B64" s="3" t="s">
        <v>1802</v>
      </c>
      <c r="C64" s="3" t="s">
        <v>1803</v>
      </c>
      <c r="D64" s="3"/>
      <c r="E64" s="3"/>
      <c r="F64" s="3"/>
      <c r="G64" s="3"/>
      <c r="H64" s="3"/>
    </row>
    <row r="65" spans="1:8">
      <c r="A65" s="3" t="s">
        <v>1171</v>
      </c>
      <c r="B65" s="3" t="s">
        <v>1804</v>
      </c>
      <c r="C65" s="3" t="s">
        <v>1805</v>
      </c>
      <c r="D65" s="3"/>
      <c r="E65" s="3"/>
      <c r="F65" s="3"/>
      <c r="G65" s="3"/>
      <c r="H65" s="3"/>
    </row>
    <row r="66" spans="1:8">
      <c r="A66" s="3" t="s">
        <v>1171</v>
      </c>
      <c r="B66" s="3" t="s">
        <v>1806</v>
      </c>
      <c r="C66" s="3" t="s">
        <v>1807</v>
      </c>
      <c r="D66" s="3"/>
      <c r="E66" s="3"/>
      <c r="F66" s="3"/>
      <c r="G66" s="3"/>
      <c r="H66" s="3"/>
    </row>
    <row r="67" spans="1:8">
      <c r="A67" s="3" t="s">
        <v>1171</v>
      </c>
      <c r="B67" s="3" t="s">
        <v>1808</v>
      </c>
      <c r="C67" s="3" t="s">
        <v>1809</v>
      </c>
      <c r="D67" s="3"/>
      <c r="E67" s="3"/>
      <c r="F67" s="3"/>
      <c r="G67" s="3"/>
      <c r="H67" s="3"/>
    </row>
    <row r="68" spans="1:8">
      <c r="A68" s="3" t="s">
        <v>1171</v>
      </c>
      <c r="B68" s="3" t="s">
        <v>1810</v>
      </c>
      <c r="C68" s="3" t="s">
        <v>1811</v>
      </c>
      <c r="D68" s="3"/>
      <c r="E68" s="3"/>
      <c r="F68" s="3"/>
      <c r="G68" s="3"/>
      <c r="H68" s="3"/>
    </row>
    <row r="69" spans="1:8">
      <c r="A69" s="3" t="s">
        <v>1171</v>
      </c>
      <c r="B69" s="3" t="s">
        <v>1812</v>
      </c>
      <c r="C69" s="3" t="s">
        <v>1813</v>
      </c>
      <c r="D69" s="3"/>
      <c r="E69" s="3"/>
      <c r="F69" s="3"/>
      <c r="G69" s="3"/>
      <c r="H69" s="3"/>
    </row>
    <row r="70" spans="1:8">
      <c r="A70" s="3" t="s">
        <v>1171</v>
      </c>
      <c r="B70" s="3" t="s">
        <v>1635</v>
      </c>
      <c r="C70" s="3" t="s">
        <v>1636</v>
      </c>
      <c r="D70" s="249" t="s">
        <v>1987</v>
      </c>
      <c r="E70" s="264" t="s">
        <v>1132</v>
      </c>
      <c r="F70" s="3"/>
      <c r="G70" s="3"/>
      <c r="H70" s="3"/>
    </row>
    <row r="71" spans="1:8">
      <c r="A71" s="3" t="s">
        <v>1171</v>
      </c>
      <c r="B71" s="3" t="s">
        <v>1637</v>
      </c>
      <c r="C71" s="3" t="s">
        <v>1638</v>
      </c>
      <c r="D71" s="3"/>
      <c r="E71" s="3"/>
      <c r="F71" s="3"/>
      <c r="G71" s="3"/>
      <c r="H71" s="3"/>
    </row>
    <row r="72" spans="1:8">
      <c r="A72" s="3" t="s">
        <v>1171</v>
      </c>
      <c r="B72" s="3" t="s">
        <v>1814</v>
      </c>
      <c r="C72" s="3" t="s">
        <v>1815</v>
      </c>
      <c r="D72" s="3"/>
      <c r="E72" s="3"/>
      <c r="F72" s="3"/>
      <c r="G72" s="3"/>
      <c r="H72" s="3"/>
    </row>
    <row r="73" spans="1:8">
      <c r="A73" s="3" t="s">
        <v>1171</v>
      </c>
      <c r="B73" s="3" t="s">
        <v>1817</v>
      </c>
      <c r="C73" s="3" t="s">
        <v>1818</v>
      </c>
      <c r="D73" s="3"/>
      <c r="E73" s="3"/>
      <c r="F73" s="3"/>
      <c r="G73" s="3"/>
      <c r="H73" s="3"/>
    </row>
    <row r="74" spans="1:8">
      <c r="A74" s="3" t="s">
        <v>1171</v>
      </c>
      <c r="B74" s="3" t="s">
        <v>1819</v>
      </c>
      <c r="C74" s="3" t="s">
        <v>1820</v>
      </c>
      <c r="D74" s="3"/>
      <c r="E74" s="3"/>
      <c r="F74" s="3"/>
      <c r="G74" s="3"/>
      <c r="H74" s="3"/>
    </row>
    <row r="75" spans="1:8">
      <c r="A75" s="3" t="s">
        <v>1171</v>
      </c>
      <c r="B75" s="3" t="s">
        <v>1821</v>
      </c>
      <c r="C75" s="3" t="s">
        <v>1822</v>
      </c>
      <c r="D75" s="3"/>
      <c r="E75" s="3"/>
      <c r="F75" s="3"/>
      <c r="G75" s="3"/>
      <c r="H75" s="3"/>
    </row>
    <row r="76" spans="1:8">
      <c r="A76" s="3" t="s">
        <v>1171</v>
      </c>
      <c r="B76" s="3" t="s">
        <v>1682</v>
      </c>
      <c r="C76" s="3" t="s">
        <v>1683</v>
      </c>
      <c r="D76" s="3"/>
      <c r="E76" s="3"/>
      <c r="F76" s="3"/>
      <c r="G76" s="3"/>
      <c r="H76" s="3"/>
    </row>
    <row r="77" spans="1:8">
      <c r="A77" s="3" t="s">
        <v>1171</v>
      </c>
      <c r="B77" s="3" t="s">
        <v>1823</v>
      </c>
      <c r="C77" s="3" t="s">
        <v>1824</v>
      </c>
      <c r="D77" s="3"/>
      <c r="E77" s="3"/>
      <c r="F77" s="3"/>
      <c r="G77" s="3"/>
      <c r="H77" s="3"/>
    </row>
    <row r="78" spans="1:8">
      <c r="A78" s="3" t="s">
        <v>1171</v>
      </c>
      <c r="B78" s="3" t="s">
        <v>1825</v>
      </c>
      <c r="C78" s="3" t="s">
        <v>1826</v>
      </c>
      <c r="D78" s="3"/>
      <c r="E78" s="3"/>
      <c r="F78" s="3"/>
      <c r="G78" s="3"/>
      <c r="H78" s="3"/>
    </row>
    <row r="79" spans="1:8">
      <c r="A79" s="3" t="s">
        <v>1171</v>
      </c>
      <c r="B79" s="3" t="s">
        <v>1827</v>
      </c>
      <c r="C79" s="3" t="s">
        <v>1828</v>
      </c>
      <c r="D79" s="3"/>
      <c r="E79" s="3"/>
      <c r="F79" s="3"/>
      <c r="G79" s="3"/>
      <c r="H79" s="3"/>
    </row>
    <row r="80" spans="1:8">
      <c r="A80" s="3" t="s">
        <v>1171</v>
      </c>
      <c r="B80" s="3" t="s">
        <v>1829</v>
      </c>
      <c r="C80" s="3" t="s">
        <v>1830</v>
      </c>
      <c r="D80" s="3"/>
      <c r="E80" s="3"/>
      <c r="F80" s="3"/>
      <c r="G80" s="3"/>
      <c r="H80" s="3"/>
    </row>
    <row r="81" spans="1:8">
      <c r="A81" s="3" t="s">
        <v>1171</v>
      </c>
      <c r="B81" s="3" t="s">
        <v>1831</v>
      </c>
      <c r="C81" s="3" t="s">
        <v>1832</v>
      </c>
      <c r="D81" s="3"/>
      <c r="E81" s="3"/>
      <c r="F81" s="3"/>
      <c r="G81" s="3"/>
      <c r="H81" s="3"/>
    </row>
    <row r="82" spans="1:8">
      <c r="A82" s="3" t="s">
        <v>1171</v>
      </c>
      <c r="B82" s="3" t="s">
        <v>1833</v>
      </c>
      <c r="C82" s="3" t="s">
        <v>1834</v>
      </c>
      <c r="D82" s="3"/>
      <c r="E82" s="3"/>
      <c r="F82" s="3"/>
      <c r="G82" s="3"/>
      <c r="H82" s="3"/>
    </row>
    <row r="83" spans="1:8">
      <c r="A83" s="80" t="s">
        <v>1171</v>
      </c>
      <c r="B83" s="80" t="s">
        <v>946</v>
      </c>
      <c r="C83" s="80" t="s">
        <v>806</v>
      </c>
      <c r="D83" s="80"/>
      <c r="E83" s="80"/>
      <c r="F83" s="80"/>
      <c r="G83" s="80"/>
      <c r="H83" s="80"/>
    </row>
    <row r="84" spans="1:8">
      <c r="A84" s="255" t="s">
        <v>652</v>
      </c>
      <c r="B84" s="255" t="s">
        <v>924</v>
      </c>
      <c r="C84" s="255" t="s">
        <v>564</v>
      </c>
      <c r="D84" s="255" t="s">
        <v>788</v>
      </c>
      <c r="E84" s="255" t="s">
        <v>1237</v>
      </c>
      <c r="F84" s="255" t="s">
        <v>1237</v>
      </c>
      <c r="G84" s="3"/>
      <c r="H84" s="3"/>
    </row>
    <row r="85" spans="1:8">
      <c r="A85" s="255" t="s">
        <v>652</v>
      </c>
      <c r="B85" s="255" t="s">
        <v>926</v>
      </c>
      <c r="C85" s="255" t="s">
        <v>802</v>
      </c>
      <c r="D85" s="255" t="s">
        <v>803</v>
      </c>
      <c r="E85" s="255" t="s">
        <v>1237</v>
      </c>
      <c r="F85" s="255" t="s">
        <v>804</v>
      </c>
      <c r="G85" s="3"/>
      <c r="H85" s="3"/>
    </row>
    <row r="86" spans="1:8">
      <c r="A86" s="255" t="s">
        <v>652</v>
      </c>
      <c r="B86" s="255" t="s">
        <v>928</v>
      </c>
      <c r="C86" s="255" t="s">
        <v>784</v>
      </c>
      <c r="D86" s="255" t="s">
        <v>785</v>
      </c>
      <c r="E86" s="255" t="s">
        <v>1237</v>
      </c>
      <c r="F86" s="255" t="s">
        <v>786</v>
      </c>
      <c r="G86" s="3"/>
      <c r="H86" s="3"/>
    </row>
    <row r="87" spans="1:8">
      <c r="A87" s="255" t="s">
        <v>652</v>
      </c>
      <c r="B87" s="255" t="s">
        <v>1499</v>
      </c>
      <c r="C87" s="255" t="s">
        <v>858</v>
      </c>
      <c r="D87" s="255" t="s">
        <v>1237</v>
      </c>
      <c r="E87" s="255" t="s">
        <v>1237</v>
      </c>
      <c r="F87" s="255" t="s">
        <v>1237</v>
      </c>
      <c r="G87" s="3"/>
      <c r="H87" s="3"/>
    </row>
    <row r="88" spans="1:8">
      <c r="A88" s="255" t="s">
        <v>652</v>
      </c>
      <c r="B88" s="255" t="s">
        <v>933</v>
      </c>
      <c r="C88" s="255" t="s">
        <v>798</v>
      </c>
      <c r="D88" s="255" t="s">
        <v>1237</v>
      </c>
      <c r="E88" s="255" t="s">
        <v>1237</v>
      </c>
      <c r="F88" s="255" t="s">
        <v>1237</v>
      </c>
      <c r="G88" s="3"/>
      <c r="H88" s="3"/>
    </row>
    <row r="89" spans="1:8">
      <c r="A89" s="255" t="s">
        <v>652</v>
      </c>
      <c r="B89" s="255" t="s">
        <v>1098</v>
      </c>
      <c r="C89" s="255" t="s">
        <v>1099</v>
      </c>
      <c r="D89" s="255" t="s">
        <v>1237</v>
      </c>
      <c r="E89" s="255" t="s">
        <v>1237</v>
      </c>
      <c r="F89" s="255" t="s">
        <v>1237</v>
      </c>
      <c r="G89" s="3"/>
      <c r="H89" s="3"/>
    </row>
    <row r="90" spans="1:8">
      <c r="A90" s="255" t="s">
        <v>652</v>
      </c>
      <c r="B90" s="255" t="s">
        <v>1500</v>
      </c>
      <c r="C90" s="255" t="s">
        <v>1501</v>
      </c>
      <c r="D90" s="255" t="s">
        <v>1237</v>
      </c>
      <c r="E90" s="255" t="s">
        <v>1237</v>
      </c>
      <c r="F90" s="255" t="s">
        <v>1237</v>
      </c>
      <c r="G90" s="3"/>
      <c r="H90" s="3"/>
    </row>
    <row r="91" spans="1:8">
      <c r="A91" s="255" t="s">
        <v>652</v>
      </c>
      <c r="B91" s="255" t="s">
        <v>1502</v>
      </c>
      <c r="C91" s="255" t="s">
        <v>1503</v>
      </c>
      <c r="D91" s="255" t="s">
        <v>1504</v>
      </c>
      <c r="E91" s="255" t="s">
        <v>1502</v>
      </c>
      <c r="F91" s="255" t="s">
        <v>804</v>
      </c>
      <c r="G91" s="3"/>
      <c r="H91" s="3"/>
    </row>
    <row r="92" spans="1:8">
      <c r="A92" s="255" t="s">
        <v>652</v>
      </c>
      <c r="B92" s="255" t="s">
        <v>936</v>
      </c>
      <c r="C92" s="255" t="s">
        <v>796</v>
      </c>
      <c r="D92" s="255" t="s">
        <v>1237</v>
      </c>
      <c r="E92" s="255" t="s">
        <v>1237</v>
      </c>
      <c r="F92" s="255" t="s">
        <v>1237</v>
      </c>
      <c r="G92" s="3"/>
      <c r="H92" s="3"/>
    </row>
    <row r="93" spans="1:8">
      <c r="A93" s="255" t="s">
        <v>652</v>
      </c>
      <c r="B93" s="255" t="s">
        <v>939</v>
      </c>
      <c r="C93" s="255" t="s">
        <v>821</v>
      </c>
      <c r="D93" s="255" t="s">
        <v>1237</v>
      </c>
      <c r="E93" s="255" t="s">
        <v>1237</v>
      </c>
      <c r="F93" s="255" t="s">
        <v>1237</v>
      </c>
      <c r="G93" s="3"/>
      <c r="H93" s="3"/>
    </row>
    <row r="94" spans="1:8">
      <c r="A94" s="255" t="s">
        <v>652</v>
      </c>
      <c r="B94" s="255" t="s">
        <v>940</v>
      </c>
      <c r="C94" s="255" t="s">
        <v>818</v>
      </c>
      <c r="D94" s="255" t="s">
        <v>1237</v>
      </c>
      <c r="E94" s="255" t="s">
        <v>1237</v>
      </c>
      <c r="F94" s="255" t="s">
        <v>1237</v>
      </c>
      <c r="G94" s="3"/>
      <c r="H94" s="3"/>
    </row>
    <row r="95" spans="1:8">
      <c r="A95" s="255" t="s">
        <v>652</v>
      </c>
      <c r="B95" s="255" t="s">
        <v>1505</v>
      </c>
      <c r="C95" s="255" t="s">
        <v>1506</v>
      </c>
      <c r="D95" s="255" t="s">
        <v>1237</v>
      </c>
      <c r="E95" s="255" t="s">
        <v>1237</v>
      </c>
      <c r="F95" s="255" t="s">
        <v>1237</v>
      </c>
      <c r="G95" s="3"/>
      <c r="H95" s="3"/>
    </row>
    <row r="96" spans="1:8">
      <c r="A96" s="255" t="s">
        <v>652</v>
      </c>
      <c r="B96" s="255" t="s">
        <v>1031</v>
      </c>
      <c r="C96" s="255" t="s">
        <v>1032</v>
      </c>
      <c r="D96" s="255" t="s">
        <v>1507</v>
      </c>
      <c r="E96" s="255" t="s">
        <v>1237</v>
      </c>
      <c r="F96" s="255" t="s">
        <v>1237</v>
      </c>
      <c r="G96" s="3"/>
      <c r="H96" s="3"/>
    </row>
    <row r="97" spans="1:8">
      <c r="A97" s="255" t="s">
        <v>652</v>
      </c>
      <c r="B97" s="255" t="s">
        <v>1034</v>
      </c>
      <c r="C97" s="255" t="s">
        <v>1035</v>
      </c>
      <c r="D97" s="255" t="s">
        <v>1508</v>
      </c>
      <c r="E97" s="255" t="s">
        <v>1237</v>
      </c>
      <c r="F97" s="255" t="s">
        <v>1237</v>
      </c>
      <c r="G97" s="3"/>
      <c r="H97" s="3"/>
    </row>
    <row r="98" spans="1:8">
      <c r="A98" s="255" t="s">
        <v>652</v>
      </c>
      <c r="B98" s="255" t="s">
        <v>1509</v>
      </c>
      <c r="C98" s="255" t="s">
        <v>1510</v>
      </c>
      <c r="D98" s="255" t="s">
        <v>1237</v>
      </c>
      <c r="E98" s="255" t="s">
        <v>1237</v>
      </c>
      <c r="F98" s="255" t="s">
        <v>1237</v>
      </c>
      <c r="G98" s="3"/>
      <c r="H98" s="3"/>
    </row>
    <row r="99" spans="1:8">
      <c r="A99" s="255" t="s">
        <v>652</v>
      </c>
      <c r="B99" s="255" t="s">
        <v>1511</v>
      </c>
      <c r="C99" s="255" t="s">
        <v>1512</v>
      </c>
      <c r="D99" s="255" t="s">
        <v>1237</v>
      </c>
      <c r="E99" s="255" t="s">
        <v>1237</v>
      </c>
      <c r="F99" s="255" t="s">
        <v>1237</v>
      </c>
      <c r="G99" s="3"/>
      <c r="H99" s="3"/>
    </row>
    <row r="100" spans="1:8">
      <c r="A100" s="255" t="s">
        <v>652</v>
      </c>
      <c r="B100" s="255" t="s">
        <v>1513</v>
      </c>
      <c r="C100" s="255" t="s">
        <v>1514</v>
      </c>
      <c r="D100" s="255" t="s">
        <v>1237</v>
      </c>
      <c r="E100" s="255" t="s">
        <v>1237</v>
      </c>
      <c r="F100" s="255" t="s">
        <v>1237</v>
      </c>
      <c r="G100" s="3"/>
      <c r="H100" s="3"/>
    </row>
    <row r="101" spans="1:8">
      <c r="A101" s="255" t="s">
        <v>652</v>
      </c>
      <c r="B101" s="255" t="s">
        <v>944</v>
      </c>
      <c r="C101" s="255" t="s">
        <v>794</v>
      </c>
      <c r="D101" s="255" t="s">
        <v>1237</v>
      </c>
      <c r="E101" s="255" t="s">
        <v>1237</v>
      </c>
      <c r="F101" s="255" t="s">
        <v>1237</v>
      </c>
      <c r="G101" s="3"/>
      <c r="H101" s="3"/>
    </row>
    <row r="102" spans="1:8">
      <c r="A102" s="255" t="s">
        <v>652</v>
      </c>
      <c r="B102" s="255" t="s">
        <v>945</v>
      </c>
      <c r="C102" s="255" t="s">
        <v>800</v>
      </c>
      <c r="D102" s="255" t="s">
        <v>1237</v>
      </c>
      <c r="E102" s="255" t="s">
        <v>1237</v>
      </c>
      <c r="F102" s="255" t="s">
        <v>1237</v>
      </c>
      <c r="G102" s="3"/>
      <c r="H102" s="3"/>
    </row>
    <row r="103" spans="1:8">
      <c r="A103" s="255" t="s">
        <v>652</v>
      </c>
      <c r="B103" s="255" t="s">
        <v>1515</v>
      </c>
      <c r="C103" s="255" t="s">
        <v>1516</v>
      </c>
      <c r="D103" s="255" t="s">
        <v>1237</v>
      </c>
      <c r="E103" s="255" t="s">
        <v>1237</v>
      </c>
      <c r="F103" s="255" t="s">
        <v>1237</v>
      </c>
      <c r="G103" s="3"/>
      <c r="H103" s="3"/>
    </row>
    <row r="104" spans="1:8" ht="26.25">
      <c r="A104" s="255" t="s">
        <v>652</v>
      </c>
      <c r="B104" s="255" t="s">
        <v>1517</v>
      </c>
      <c r="C104" s="255" t="s">
        <v>1518</v>
      </c>
      <c r="D104" s="256" t="s">
        <v>1189</v>
      </c>
      <c r="E104" s="255" t="s">
        <v>1519</v>
      </c>
      <c r="F104" s="255" t="s">
        <v>804</v>
      </c>
      <c r="G104" s="3"/>
      <c r="H104" s="3"/>
    </row>
    <row r="105" spans="1:8">
      <c r="A105" s="255" t="s">
        <v>652</v>
      </c>
      <c r="B105" s="255" t="s">
        <v>1520</v>
      </c>
      <c r="C105" s="255" t="s">
        <v>1521</v>
      </c>
      <c r="D105" s="255" t="s">
        <v>1237</v>
      </c>
      <c r="E105" s="255" t="s">
        <v>1237</v>
      </c>
      <c r="F105" s="255" t="s">
        <v>1237</v>
      </c>
      <c r="G105" s="3"/>
      <c r="H105" s="3"/>
    </row>
    <row r="106" spans="1:8">
      <c r="A106" s="255" t="s">
        <v>652</v>
      </c>
      <c r="B106" s="255" t="s">
        <v>1522</v>
      </c>
      <c r="C106" s="255" t="s">
        <v>1523</v>
      </c>
      <c r="D106" s="255" t="s">
        <v>1524</v>
      </c>
      <c r="E106" s="255" t="s">
        <v>1237</v>
      </c>
      <c r="F106" s="255" t="s">
        <v>804</v>
      </c>
      <c r="G106" s="3"/>
      <c r="H106" s="3"/>
    </row>
    <row r="107" spans="1:8">
      <c r="A107" s="255" t="s">
        <v>652</v>
      </c>
      <c r="B107" s="255" t="s">
        <v>1525</v>
      </c>
      <c r="C107" s="255" t="s">
        <v>1526</v>
      </c>
      <c r="D107" s="255" t="s">
        <v>1237</v>
      </c>
      <c r="E107" s="255" t="s">
        <v>1237</v>
      </c>
      <c r="F107" s="255" t="s">
        <v>1237</v>
      </c>
      <c r="G107" s="3"/>
      <c r="H107" s="3"/>
    </row>
    <row r="108" spans="1:8">
      <c r="A108" s="255" t="s">
        <v>652</v>
      </c>
      <c r="B108" s="255" t="s">
        <v>1527</v>
      </c>
      <c r="C108" s="255" t="s">
        <v>315</v>
      </c>
      <c r="D108" s="255" t="s">
        <v>1528</v>
      </c>
      <c r="E108" s="255" t="s">
        <v>1529</v>
      </c>
      <c r="F108" s="255" t="s">
        <v>1237</v>
      </c>
      <c r="G108" s="3"/>
      <c r="H108" s="3"/>
    </row>
    <row r="109" spans="1:8">
      <c r="A109" s="255" t="s">
        <v>652</v>
      </c>
      <c r="B109" s="255" t="s">
        <v>946</v>
      </c>
      <c r="C109" s="255" t="s">
        <v>806</v>
      </c>
      <c r="D109" s="255" t="s">
        <v>1237</v>
      </c>
      <c r="E109" s="255" t="s">
        <v>1237</v>
      </c>
      <c r="F109" s="255" t="s">
        <v>1237</v>
      </c>
      <c r="G109" s="3"/>
      <c r="H109" s="3"/>
    </row>
    <row r="110" spans="1:8">
      <c r="A110" s="255" t="s">
        <v>652</v>
      </c>
      <c r="B110" s="255" t="s">
        <v>1530</v>
      </c>
      <c r="C110" s="256" t="s">
        <v>1531</v>
      </c>
      <c r="D110" s="255" t="s">
        <v>1237</v>
      </c>
      <c r="E110" s="255" t="s">
        <v>1237</v>
      </c>
      <c r="F110" s="255" t="s">
        <v>1237</v>
      </c>
      <c r="G110" s="3"/>
      <c r="H110" s="3"/>
    </row>
    <row r="111" spans="1:8">
      <c r="A111" s="255" t="s">
        <v>652</v>
      </c>
      <c r="B111" s="255" t="s">
        <v>1532</v>
      </c>
      <c r="C111" s="255" t="s">
        <v>1533</v>
      </c>
      <c r="D111" s="255" t="s">
        <v>1237</v>
      </c>
      <c r="E111" s="255" t="s">
        <v>1237</v>
      </c>
      <c r="F111" s="255" t="s">
        <v>1237</v>
      </c>
      <c r="G111" s="3"/>
      <c r="H111" s="3"/>
    </row>
    <row r="112" spans="1:8">
      <c r="A112" s="255" t="s">
        <v>652</v>
      </c>
      <c r="B112" s="255" t="s">
        <v>1534</v>
      </c>
      <c r="C112" s="255" t="s">
        <v>1535</v>
      </c>
      <c r="D112" s="255" t="s">
        <v>1237</v>
      </c>
      <c r="E112" s="255" t="s">
        <v>1237</v>
      </c>
      <c r="F112" s="255" t="s">
        <v>1237</v>
      </c>
      <c r="G112" s="3"/>
      <c r="H112" s="3"/>
    </row>
    <row r="113" spans="1:8">
      <c r="A113" s="255" t="s">
        <v>652</v>
      </c>
      <c r="B113" s="255" t="s">
        <v>1536</v>
      </c>
      <c r="C113" s="255" t="s">
        <v>1537</v>
      </c>
      <c r="D113" s="255" t="s">
        <v>1237</v>
      </c>
      <c r="E113" s="255" t="s">
        <v>1237</v>
      </c>
      <c r="F113" s="255" t="s">
        <v>1237</v>
      </c>
      <c r="G113" s="3"/>
      <c r="H113" s="3"/>
    </row>
    <row r="114" spans="1:8">
      <c r="A114" s="255" t="s">
        <v>652</v>
      </c>
      <c r="B114" s="255" t="s">
        <v>1538</v>
      </c>
      <c r="C114" s="255" t="s">
        <v>1539</v>
      </c>
      <c r="D114" s="255" t="s">
        <v>1237</v>
      </c>
      <c r="E114" s="255" t="s">
        <v>1237</v>
      </c>
      <c r="F114" s="255" t="s">
        <v>1237</v>
      </c>
      <c r="G114" s="3"/>
      <c r="H114" s="3"/>
    </row>
    <row r="115" spans="1:8">
      <c r="A115" s="255" t="s">
        <v>652</v>
      </c>
      <c r="B115" s="255" t="s">
        <v>1540</v>
      </c>
      <c r="C115" s="255" t="s">
        <v>1541</v>
      </c>
      <c r="D115" s="255" t="s">
        <v>1237</v>
      </c>
      <c r="E115" s="255" t="s">
        <v>1237</v>
      </c>
      <c r="F115" s="255" t="s">
        <v>1237</v>
      </c>
      <c r="G115" s="3"/>
      <c r="H115" s="3"/>
    </row>
    <row r="116" spans="1:8">
      <c r="A116" s="255" t="s">
        <v>652</v>
      </c>
      <c r="B116" s="255" t="s">
        <v>1542</v>
      </c>
      <c r="C116" s="255" t="s">
        <v>1543</v>
      </c>
      <c r="D116" s="255" t="s">
        <v>1237</v>
      </c>
      <c r="E116" s="255" t="s">
        <v>1237</v>
      </c>
      <c r="F116" s="255" t="s">
        <v>1237</v>
      </c>
      <c r="G116" s="3"/>
      <c r="H116" s="3"/>
    </row>
    <row r="117" spans="1:8">
      <c r="A117" s="255" t="s">
        <v>652</v>
      </c>
      <c r="B117" s="255" t="s">
        <v>1544</v>
      </c>
      <c r="C117" s="255" t="s">
        <v>1545</v>
      </c>
      <c r="D117" s="255" t="s">
        <v>1237</v>
      </c>
      <c r="E117" s="255" t="s">
        <v>1237</v>
      </c>
      <c r="F117" s="255" t="s">
        <v>1237</v>
      </c>
      <c r="G117" s="3"/>
      <c r="H117" s="3"/>
    </row>
    <row r="118" spans="1:8">
      <c r="A118" s="255" t="s">
        <v>652</v>
      </c>
      <c r="B118" s="255" t="s">
        <v>1546</v>
      </c>
      <c r="C118" s="255" t="s">
        <v>1547</v>
      </c>
      <c r="D118" s="255" t="s">
        <v>1237</v>
      </c>
      <c r="E118" s="255" t="s">
        <v>1237</v>
      </c>
      <c r="F118" s="255" t="s">
        <v>1237</v>
      </c>
      <c r="G118" s="3"/>
      <c r="H118" s="3"/>
    </row>
    <row r="119" spans="1:8">
      <c r="A119" s="255" t="s">
        <v>652</v>
      </c>
      <c r="B119" s="255" t="s">
        <v>1548</v>
      </c>
      <c r="C119" s="255" t="s">
        <v>1549</v>
      </c>
      <c r="D119" s="255" t="s">
        <v>1237</v>
      </c>
      <c r="E119" s="255" t="s">
        <v>1237</v>
      </c>
      <c r="F119" s="255" t="s">
        <v>1237</v>
      </c>
      <c r="G119" s="3"/>
      <c r="H119" s="3"/>
    </row>
    <row r="120" spans="1:8">
      <c r="A120" s="255" t="s">
        <v>652</v>
      </c>
      <c r="B120" s="255" t="s">
        <v>1550</v>
      </c>
      <c r="C120" s="255" t="s">
        <v>1551</v>
      </c>
      <c r="D120" s="255" t="s">
        <v>1237</v>
      </c>
      <c r="E120" s="255" t="s">
        <v>1237</v>
      </c>
      <c r="F120" s="255" t="s">
        <v>1237</v>
      </c>
      <c r="G120" s="3"/>
      <c r="H120" s="3"/>
    </row>
    <row r="121" spans="1:8">
      <c r="A121" s="255" t="s">
        <v>652</v>
      </c>
      <c r="B121" s="255" t="s">
        <v>1552</v>
      </c>
      <c r="C121" s="255" t="s">
        <v>1553</v>
      </c>
      <c r="D121" s="255" t="s">
        <v>1237</v>
      </c>
      <c r="E121" s="255" t="s">
        <v>1237</v>
      </c>
      <c r="F121" s="255" t="s">
        <v>1237</v>
      </c>
      <c r="G121" s="3"/>
      <c r="H121" s="3"/>
    </row>
    <row r="122" spans="1:8">
      <c r="A122" s="255" t="s">
        <v>652</v>
      </c>
      <c r="B122" s="255" t="s">
        <v>1554</v>
      </c>
      <c r="C122" s="255" t="s">
        <v>1555</v>
      </c>
      <c r="D122" s="255" t="s">
        <v>1237</v>
      </c>
      <c r="E122" s="255" t="s">
        <v>1237</v>
      </c>
      <c r="F122" s="255" t="s">
        <v>1237</v>
      </c>
      <c r="G122" s="3"/>
      <c r="H122" s="3"/>
    </row>
    <row r="123" spans="1:8">
      <c r="A123" s="255" t="s">
        <v>584</v>
      </c>
      <c r="B123" s="255" t="s">
        <v>1627</v>
      </c>
      <c r="C123" s="255" t="s">
        <v>1611</v>
      </c>
      <c r="D123" s="255" t="s">
        <v>1237</v>
      </c>
      <c r="E123" s="255" t="s">
        <v>1237</v>
      </c>
      <c r="F123" s="255" t="s">
        <v>1237</v>
      </c>
      <c r="G123" s="255" t="s">
        <v>1237</v>
      </c>
      <c r="H123" s="3"/>
    </row>
    <row r="124" spans="1:8">
      <c r="A124" s="255" t="s">
        <v>584</v>
      </c>
      <c r="B124" s="255" t="s">
        <v>924</v>
      </c>
      <c r="C124" s="255" t="s">
        <v>564</v>
      </c>
      <c r="D124" s="255" t="s">
        <v>788</v>
      </c>
      <c r="E124" s="255" t="s">
        <v>1628</v>
      </c>
      <c r="F124" s="255" t="s">
        <v>804</v>
      </c>
      <c r="G124" s="255" t="s">
        <v>1629</v>
      </c>
      <c r="H124" s="3"/>
    </row>
    <row r="125" spans="1:8">
      <c r="A125" s="255" t="s">
        <v>584</v>
      </c>
      <c r="B125" s="255" t="s">
        <v>1630</v>
      </c>
      <c r="C125" s="255" t="s">
        <v>1631</v>
      </c>
      <c r="D125" s="255"/>
      <c r="E125" s="3"/>
      <c r="F125" s="3"/>
      <c r="G125" s="3"/>
      <c r="H125" s="3"/>
    </row>
    <row r="126" spans="1:8">
      <c r="A126" s="255" t="s">
        <v>584</v>
      </c>
      <c r="B126" s="255" t="s">
        <v>928</v>
      </c>
      <c r="C126" s="255" t="s">
        <v>784</v>
      </c>
      <c r="D126" s="255" t="s">
        <v>785</v>
      </c>
      <c r="E126" s="255" t="s">
        <v>1237</v>
      </c>
      <c r="F126" s="255" t="s">
        <v>786</v>
      </c>
      <c r="G126" s="255"/>
      <c r="H126" s="3"/>
    </row>
    <row r="127" spans="1:8">
      <c r="A127" s="255" t="s">
        <v>584</v>
      </c>
      <c r="B127" s="255" t="s">
        <v>933</v>
      </c>
      <c r="C127" s="255" t="s">
        <v>798</v>
      </c>
      <c r="D127" s="255"/>
      <c r="E127" s="255"/>
      <c r="F127" s="255"/>
      <c r="G127" s="255"/>
      <c r="H127" s="3"/>
    </row>
    <row r="128" spans="1:8">
      <c r="A128" s="255" t="s">
        <v>584</v>
      </c>
      <c r="B128" s="255" t="s">
        <v>936</v>
      </c>
      <c r="C128" s="255" t="s">
        <v>796</v>
      </c>
      <c r="D128" s="3"/>
      <c r="E128" s="3"/>
      <c r="F128" s="3"/>
      <c r="G128" s="3"/>
      <c r="H128" s="3"/>
    </row>
    <row r="129" spans="1:8">
      <c r="A129" s="255" t="s">
        <v>584</v>
      </c>
      <c r="B129" s="3" t="s">
        <v>1632</v>
      </c>
      <c r="C129" s="3" t="s">
        <v>879</v>
      </c>
      <c r="D129" s="3"/>
      <c r="E129" s="3"/>
      <c r="F129" s="3"/>
      <c r="G129" s="3"/>
      <c r="H129" s="3"/>
    </row>
    <row r="130" spans="1:8">
      <c r="A130" s="255" t="s">
        <v>584</v>
      </c>
      <c r="B130" s="3" t="s">
        <v>939</v>
      </c>
      <c r="C130" s="3" t="s">
        <v>821</v>
      </c>
      <c r="D130" s="3"/>
      <c r="E130" s="3"/>
      <c r="F130" s="3"/>
      <c r="G130" s="3"/>
      <c r="H130" s="3"/>
    </row>
    <row r="131" spans="1:8">
      <c r="A131" s="255" t="s">
        <v>584</v>
      </c>
      <c r="B131" s="3" t="s">
        <v>940</v>
      </c>
      <c r="C131" s="3" t="s">
        <v>818</v>
      </c>
      <c r="D131" s="3"/>
      <c r="E131" s="3"/>
      <c r="F131" s="3"/>
      <c r="G131" s="3"/>
      <c r="H131" s="3"/>
    </row>
    <row r="132" spans="1:8">
      <c r="A132" s="255" t="s">
        <v>584</v>
      </c>
      <c r="B132" s="3" t="s">
        <v>1633</v>
      </c>
      <c r="C132" s="3" t="s">
        <v>1634</v>
      </c>
      <c r="D132" s="3"/>
      <c r="E132" s="3"/>
      <c r="F132" s="3"/>
      <c r="G132" s="3"/>
      <c r="H132" s="3"/>
    </row>
    <row r="133" spans="1:8">
      <c r="A133" s="255" t="s">
        <v>584</v>
      </c>
      <c r="B133" s="3" t="s">
        <v>1635</v>
      </c>
      <c r="C133" s="3" t="s">
        <v>1636</v>
      </c>
      <c r="D133" s="3"/>
      <c r="E133" s="3"/>
      <c r="F133" s="3"/>
      <c r="G133" s="3"/>
      <c r="H133" s="3"/>
    </row>
    <row r="134" spans="1:8">
      <c r="A134" s="255" t="s">
        <v>584</v>
      </c>
      <c r="B134" s="3" t="s">
        <v>1637</v>
      </c>
      <c r="C134" s="3" t="s">
        <v>1638</v>
      </c>
      <c r="D134" s="3"/>
      <c r="E134" s="3"/>
      <c r="F134" s="3"/>
      <c r="G134" s="3"/>
      <c r="H134" s="3"/>
    </row>
    <row r="135" spans="1:8">
      <c r="A135" s="255" t="s">
        <v>584</v>
      </c>
      <c r="B135" s="3" t="s">
        <v>1639</v>
      </c>
      <c r="C135" s="3" t="s">
        <v>1012</v>
      </c>
      <c r="D135" s="3"/>
      <c r="E135" s="3"/>
      <c r="F135" s="3"/>
      <c r="G135" s="3"/>
      <c r="H135" s="3"/>
    </row>
    <row r="136" spans="1:8">
      <c r="A136" s="255" t="s">
        <v>584</v>
      </c>
      <c r="B136" s="3" t="s">
        <v>944</v>
      </c>
      <c r="C136" s="3" t="s">
        <v>794</v>
      </c>
      <c r="D136" s="3"/>
      <c r="E136" s="3"/>
      <c r="F136" s="3"/>
      <c r="G136" s="3"/>
      <c r="H136" s="3"/>
    </row>
    <row r="137" spans="1:8">
      <c r="A137" s="255" t="s">
        <v>584</v>
      </c>
      <c r="B137" s="3" t="s">
        <v>945</v>
      </c>
      <c r="C137" s="3" t="s">
        <v>800</v>
      </c>
      <c r="D137" s="3"/>
      <c r="E137" s="3"/>
      <c r="F137" s="3"/>
      <c r="G137" s="3"/>
      <c r="H137" s="3"/>
    </row>
    <row r="138" spans="1:8">
      <c r="A138" s="255" t="s">
        <v>584</v>
      </c>
      <c r="B138" s="3" t="s">
        <v>1640</v>
      </c>
      <c r="C138" s="3" t="s">
        <v>1641</v>
      </c>
      <c r="D138" s="3" t="s">
        <v>1618</v>
      </c>
      <c r="E138" s="255" t="s">
        <v>1642</v>
      </c>
      <c r="F138" s="255"/>
      <c r="G138" s="255" t="s">
        <v>1643</v>
      </c>
      <c r="H138" s="3"/>
    </row>
    <row r="139" spans="1:8">
      <c r="A139" s="255" t="s">
        <v>584</v>
      </c>
      <c r="B139" s="3" t="s">
        <v>1293</v>
      </c>
      <c r="C139" s="3" t="s">
        <v>1294</v>
      </c>
      <c r="D139" s="3"/>
      <c r="E139" s="3"/>
      <c r="F139" s="3"/>
      <c r="G139" s="3"/>
      <c r="H139" s="3"/>
    </row>
    <row r="140" spans="1:8">
      <c r="A140" s="255" t="s">
        <v>584</v>
      </c>
      <c r="B140" s="3" t="s">
        <v>1644</v>
      </c>
      <c r="C140" s="3" t="s">
        <v>1645</v>
      </c>
      <c r="D140" s="3"/>
      <c r="E140" s="3"/>
      <c r="F140" s="3"/>
      <c r="G140" s="3"/>
      <c r="H140" s="3"/>
    </row>
    <row r="141" spans="1:8">
      <c r="A141" s="255" t="s">
        <v>584</v>
      </c>
      <c r="B141" s="3" t="s">
        <v>946</v>
      </c>
      <c r="C141" s="3" t="s">
        <v>806</v>
      </c>
      <c r="D141" s="3"/>
      <c r="E141" s="3"/>
      <c r="F141" s="3"/>
      <c r="G141" s="3"/>
      <c r="H141" s="3"/>
    </row>
    <row r="142" spans="1:8">
      <c r="A142" s="255" t="s">
        <v>584</v>
      </c>
      <c r="B142" s="3" t="s">
        <v>1646</v>
      </c>
      <c r="C142" s="3" t="s">
        <v>1647</v>
      </c>
      <c r="D142" s="3"/>
      <c r="E142" s="3"/>
      <c r="F142" s="3"/>
      <c r="G142" s="3"/>
      <c r="H142" s="3"/>
    </row>
  </sheetData>
  <mergeCells count="2">
    <mergeCell ref="C2:H2"/>
    <mergeCell ref="C3:H3"/>
  </mergeCells>
  <hyperlinks>
    <hyperlink ref="B1" location="Summary!A1" display="Summary" xr:uid="{92146C42-4D49-4B89-8503-3EABA3222126}"/>
  </hyperlinks>
  <pageMargins left="0.7" right="0.7" top="0.75" bottom="0.75" header="0.3" footer="0.3"/>
  <pageSetup orientation="portrait" horizontalDpi="4294967293"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440F-7F34-4E32-8CF3-E7B4F179983A}">
  <dimension ref="A1:H92"/>
  <sheetViews>
    <sheetView topLeftCell="A13" workbookViewId="0"/>
  </sheetViews>
  <sheetFormatPr defaultRowHeight="15"/>
  <cols>
    <col min="1" max="4" width="36.5703125" customWidth="1"/>
    <col min="5" max="5" width="45" customWidth="1"/>
    <col min="6" max="8" width="36.5703125" customWidth="1"/>
  </cols>
  <sheetData>
    <row r="1" spans="1:8">
      <c r="A1" s="1" t="s">
        <v>773</v>
      </c>
    </row>
    <row r="2" spans="1:8">
      <c r="A2" s="40" t="s">
        <v>1387</v>
      </c>
    </row>
    <row r="3" spans="1:8">
      <c r="A3" s="40" t="s">
        <v>1075</v>
      </c>
    </row>
    <row r="4" spans="1:8">
      <c r="A4" s="40" t="s">
        <v>566</v>
      </c>
    </row>
    <row r="6" spans="1:8">
      <c r="A6" s="261" t="s">
        <v>550</v>
      </c>
      <c r="B6" s="262" t="s">
        <v>775</v>
      </c>
      <c r="C6" s="262" t="s">
        <v>776</v>
      </c>
      <c r="D6" s="262" t="s">
        <v>777</v>
      </c>
      <c r="E6" s="262" t="s">
        <v>778</v>
      </c>
      <c r="F6" s="263" t="s">
        <v>779</v>
      </c>
      <c r="G6" s="263" t="s">
        <v>568</v>
      </c>
      <c r="H6" s="263" t="s">
        <v>780</v>
      </c>
    </row>
    <row r="7" spans="1:8">
      <c r="A7" s="254" t="s">
        <v>621</v>
      </c>
      <c r="B7" s="3" t="s">
        <v>919</v>
      </c>
      <c r="C7" s="3" t="s">
        <v>790</v>
      </c>
      <c r="D7" s="3" t="s">
        <v>1988</v>
      </c>
      <c r="E7" s="3" t="s">
        <v>1989</v>
      </c>
      <c r="F7" s="3" t="s">
        <v>1990</v>
      </c>
      <c r="G7" s="3"/>
      <c r="H7" s="3"/>
    </row>
    <row r="8" spans="1:8">
      <c r="A8" s="254" t="s">
        <v>621</v>
      </c>
      <c r="B8" s="3" t="s">
        <v>924</v>
      </c>
      <c r="C8" s="3" t="s">
        <v>564</v>
      </c>
      <c r="D8" s="22" t="s">
        <v>925</v>
      </c>
      <c r="E8" s="22"/>
      <c r="F8" s="67" t="s">
        <v>786</v>
      </c>
      <c r="G8" s="3"/>
      <c r="H8" s="3"/>
    </row>
    <row r="9" spans="1:8">
      <c r="A9" s="254" t="s">
        <v>621</v>
      </c>
      <c r="B9" s="3" t="s">
        <v>926</v>
      </c>
      <c r="C9" s="3" t="s">
        <v>802</v>
      </c>
      <c r="D9" s="124" t="s">
        <v>927</v>
      </c>
      <c r="E9" s="124"/>
      <c r="F9" s="124" t="s">
        <v>804</v>
      </c>
      <c r="G9" s="3"/>
      <c r="H9" s="3"/>
    </row>
    <row r="10" spans="1:8">
      <c r="A10" s="254" t="s">
        <v>621</v>
      </c>
      <c r="B10" s="3" t="s">
        <v>928</v>
      </c>
      <c r="C10" s="3" t="s">
        <v>784</v>
      </c>
      <c r="D10" s="67" t="s">
        <v>929</v>
      </c>
      <c r="E10" s="67"/>
      <c r="F10" s="67" t="s">
        <v>786</v>
      </c>
      <c r="G10" s="3"/>
      <c r="H10" s="3"/>
    </row>
    <row r="11" spans="1:8">
      <c r="A11" s="254" t="s">
        <v>621</v>
      </c>
      <c r="B11" s="3" t="s">
        <v>930</v>
      </c>
      <c r="C11" s="3" t="s">
        <v>814</v>
      </c>
      <c r="D11" s="67"/>
      <c r="E11" s="67"/>
      <c r="F11" s="67"/>
      <c r="G11" s="3"/>
      <c r="H11" s="3"/>
    </row>
    <row r="12" spans="1:8">
      <c r="A12" s="254" t="s">
        <v>621</v>
      </c>
      <c r="B12" s="3" t="s">
        <v>933</v>
      </c>
      <c r="C12" s="3" t="s">
        <v>798</v>
      </c>
      <c r="D12" s="3"/>
      <c r="E12" s="3"/>
      <c r="F12" s="3"/>
      <c r="G12" s="3" t="s">
        <v>1991</v>
      </c>
      <c r="H12" s="3"/>
    </row>
    <row r="13" spans="1:8">
      <c r="A13" s="254" t="s">
        <v>621</v>
      </c>
      <c r="B13" s="3" t="s">
        <v>934</v>
      </c>
      <c r="C13" s="3" t="s">
        <v>782</v>
      </c>
      <c r="D13" s="3"/>
      <c r="E13" s="3"/>
      <c r="F13" s="3"/>
      <c r="G13" s="3"/>
      <c r="H13" s="3"/>
    </row>
    <row r="14" spans="1:8">
      <c r="A14" s="254" t="s">
        <v>621</v>
      </c>
      <c r="B14" s="3" t="s">
        <v>935</v>
      </c>
      <c r="C14" s="3" t="s">
        <v>808</v>
      </c>
      <c r="D14" s="3"/>
      <c r="E14" s="3"/>
      <c r="F14" s="3"/>
      <c r="G14" s="3"/>
      <c r="H14" s="3"/>
    </row>
    <row r="15" spans="1:8">
      <c r="A15" s="254" t="s">
        <v>621</v>
      </c>
      <c r="B15" s="3" t="s">
        <v>936</v>
      </c>
      <c r="C15" s="3" t="s">
        <v>796</v>
      </c>
      <c r="D15" s="3"/>
      <c r="E15" s="3"/>
      <c r="F15" s="3"/>
      <c r="G15" s="3"/>
      <c r="H15" s="3"/>
    </row>
    <row r="16" spans="1:8">
      <c r="A16" s="254" t="s">
        <v>621</v>
      </c>
      <c r="B16" s="3" t="s">
        <v>937</v>
      </c>
      <c r="C16" s="3" t="s">
        <v>810</v>
      </c>
      <c r="D16" s="3"/>
      <c r="E16" s="3"/>
      <c r="F16" s="3"/>
      <c r="G16" s="3"/>
      <c r="H16" s="3"/>
    </row>
    <row r="17" spans="1:8">
      <c r="A17" s="254" t="s">
        <v>621</v>
      </c>
      <c r="B17" s="3" t="s">
        <v>939</v>
      </c>
      <c r="C17" s="3" t="s">
        <v>821</v>
      </c>
      <c r="D17" s="3"/>
      <c r="E17" s="3"/>
      <c r="F17" s="3"/>
      <c r="G17" s="3"/>
      <c r="H17" s="3"/>
    </row>
    <row r="18" spans="1:8">
      <c r="A18" s="254" t="s">
        <v>621</v>
      </c>
      <c r="B18" s="3" t="s">
        <v>940</v>
      </c>
      <c r="C18" s="3" t="s">
        <v>818</v>
      </c>
      <c r="D18" s="3"/>
      <c r="E18" s="3"/>
      <c r="F18" s="3"/>
      <c r="G18" s="3"/>
      <c r="H18" s="3"/>
    </row>
    <row r="19" spans="1:8">
      <c r="A19" s="254" t="s">
        <v>621</v>
      </c>
      <c r="B19" s="3" t="s">
        <v>941</v>
      </c>
      <c r="C19" s="3" t="s">
        <v>825</v>
      </c>
      <c r="D19" s="3"/>
      <c r="E19" s="3"/>
      <c r="F19" s="3"/>
      <c r="G19" s="3"/>
      <c r="H19" s="3"/>
    </row>
    <row r="20" spans="1:8">
      <c r="A20" s="254" t="s">
        <v>621</v>
      </c>
      <c r="B20" s="3" t="s">
        <v>943</v>
      </c>
      <c r="C20" s="3" t="s">
        <v>823</v>
      </c>
      <c r="D20" s="3"/>
      <c r="E20" s="3"/>
      <c r="F20" s="3"/>
      <c r="G20" s="3"/>
      <c r="H20" s="3"/>
    </row>
    <row r="21" spans="1:8">
      <c r="A21" s="254" t="s">
        <v>621</v>
      </c>
      <c r="B21" s="3" t="s">
        <v>944</v>
      </c>
      <c r="C21" s="3" t="s">
        <v>794</v>
      </c>
      <c r="D21" s="3"/>
      <c r="E21" s="3"/>
      <c r="F21" s="3"/>
      <c r="G21" s="3"/>
      <c r="H21" s="3"/>
    </row>
    <row r="22" spans="1:8">
      <c r="A22" s="254" t="s">
        <v>621</v>
      </c>
      <c r="B22" s="3" t="s">
        <v>945</v>
      </c>
      <c r="C22" s="3" t="s">
        <v>800</v>
      </c>
      <c r="D22" s="3"/>
      <c r="E22" s="3"/>
      <c r="F22" s="3"/>
      <c r="G22" s="3"/>
      <c r="H22" s="3"/>
    </row>
    <row r="23" spans="1:8">
      <c r="A23" s="254" t="s">
        <v>621</v>
      </c>
      <c r="B23" s="3" t="s">
        <v>946</v>
      </c>
      <c r="C23" s="3" t="s">
        <v>806</v>
      </c>
      <c r="D23" s="3"/>
      <c r="E23" s="3"/>
      <c r="F23" s="3"/>
      <c r="G23" s="3"/>
      <c r="H23" s="3"/>
    </row>
    <row r="24" spans="1:8">
      <c r="A24" s="3" t="s">
        <v>1245</v>
      </c>
      <c r="B24" s="3" t="s">
        <v>1992</v>
      </c>
      <c r="C24" s="3"/>
      <c r="D24" s="3"/>
      <c r="E24" s="3" t="s">
        <v>1993</v>
      </c>
      <c r="F24" s="3"/>
      <c r="G24" s="3" t="s">
        <v>1994</v>
      </c>
      <c r="H24" s="3"/>
    </row>
    <row r="25" spans="1:8">
      <c r="A25" s="3" t="s">
        <v>1245</v>
      </c>
      <c r="B25" s="3" t="s">
        <v>1920</v>
      </c>
      <c r="C25" s="3"/>
      <c r="D25" s="3"/>
      <c r="E25" s="3" t="s">
        <v>1995</v>
      </c>
      <c r="F25" s="3"/>
      <c r="G25" s="3"/>
      <c r="H25" s="3"/>
    </row>
    <row r="26" spans="1:8">
      <c r="A26" s="3" t="s">
        <v>1245</v>
      </c>
      <c r="B26" s="3" t="s">
        <v>1996</v>
      </c>
      <c r="C26" s="3"/>
      <c r="D26" s="3"/>
      <c r="E26" s="3" t="s">
        <v>1997</v>
      </c>
      <c r="F26" s="3"/>
      <c r="G26" s="3"/>
      <c r="H26" s="3"/>
    </row>
    <row r="27" spans="1:8">
      <c r="A27" s="3" t="s">
        <v>1245</v>
      </c>
      <c r="B27" s="3" t="s">
        <v>1998</v>
      </c>
      <c r="C27" s="3"/>
      <c r="D27" s="3"/>
      <c r="E27" s="3" t="s">
        <v>1999</v>
      </c>
      <c r="F27" s="3"/>
      <c r="G27" s="3"/>
      <c r="H27" s="3"/>
    </row>
    <row r="28" spans="1:8">
      <c r="A28" s="3" t="s">
        <v>1245</v>
      </c>
      <c r="B28" s="3" t="s">
        <v>2000</v>
      </c>
      <c r="C28" s="3"/>
      <c r="D28" s="3"/>
      <c r="E28" s="3" t="s">
        <v>2001</v>
      </c>
      <c r="F28" s="3"/>
      <c r="G28" s="3"/>
      <c r="H28" s="3"/>
    </row>
    <row r="29" spans="1:8" ht="17.25" customHeight="1">
      <c r="A29" s="3" t="s">
        <v>1245</v>
      </c>
      <c r="B29" s="3" t="s">
        <v>2002</v>
      </c>
      <c r="C29" s="3"/>
      <c r="D29" s="3"/>
      <c r="E29" s="3" t="s">
        <v>2003</v>
      </c>
      <c r="F29" s="3"/>
      <c r="G29" s="3" t="s">
        <v>2004</v>
      </c>
      <c r="H29" s="3"/>
    </row>
    <row r="30" spans="1:8">
      <c r="A30" s="3" t="s">
        <v>1245</v>
      </c>
      <c r="B30" s="3" t="s">
        <v>2005</v>
      </c>
      <c r="C30" s="3"/>
      <c r="D30" s="3"/>
      <c r="E30" s="3" t="s">
        <v>2006</v>
      </c>
      <c r="F30" s="3"/>
      <c r="G30" s="3"/>
      <c r="H30" s="3"/>
    </row>
    <row r="31" spans="1:8">
      <c r="A31" s="3" t="s">
        <v>1245</v>
      </c>
      <c r="B31" s="3" t="s">
        <v>2007</v>
      </c>
      <c r="C31" s="3"/>
      <c r="D31" s="3"/>
      <c r="E31" s="3" t="s">
        <v>2008</v>
      </c>
      <c r="F31" s="3"/>
      <c r="G31" s="3"/>
      <c r="H31" s="3"/>
    </row>
    <row r="32" spans="1:8">
      <c r="A32" s="3" t="s">
        <v>1245</v>
      </c>
      <c r="B32" s="3" t="s">
        <v>2009</v>
      </c>
      <c r="C32" s="3"/>
      <c r="D32" s="3"/>
      <c r="E32" s="3" t="s">
        <v>2010</v>
      </c>
      <c r="F32" s="3"/>
      <c r="G32" s="3"/>
      <c r="H32" s="3"/>
    </row>
    <row r="33" spans="1:8">
      <c r="A33" s="3" t="s">
        <v>631</v>
      </c>
      <c r="B33" s="3" t="s">
        <v>924</v>
      </c>
      <c r="C33" s="3" t="s">
        <v>564</v>
      </c>
      <c r="D33" s="22" t="s">
        <v>925</v>
      </c>
      <c r="E33" s="22"/>
      <c r="F33" s="67" t="s">
        <v>786</v>
      </c>
      <c r="G33" s="3"/>
      <c r="H33" s="3"/>
    </row>
    <row r="34" spans="1:8">
      <c r="A34" s="3" t="s">
        <v>631</v>
      </c>
      <c r="B34" s="3" t="s">
        <v>928</v>
      </c>
      <c r="C34" s="3" t="s">
        <v>784</v>
      </c>
      <c r="D34" s="67" t="s">
        <v>929</v>
      </c>
      <c r="E34" s="67"/>
      <c r="F34" s="67" t="s">
        <v>786</v>
      </c>
      <c r="G34" s="3"/>
      <c r="H34" s="3"/>
    </row>
    <row r="35" spans="1:8">
      <c r="A35" s="3" t="s">
        <v>631</v>
      </c>
      <c r="B35" s="3" t="s">
        <v>1296</v>
      </c>
      <c r="C35" s="3" t="s">
        <v>1297</v>
      </c>
      <c r="D35" s="3"/>
      <c r="E35" s="3"/>
      <c r="F35" s="3"/>
      <c r="G35" s="3"/>
      <c r="H35" s="3"/>
    </row>
    <row r="36" spans="1:8">
      <c r="A36" s="3" t="s">
        <v>631</v>
      </c>
      <c r="B36" s="3" t="s">
        <v>933</v>
      </c>
      <c r="C36" s="3" t="s">
        <v>798</v>
      </c>
      <c r="D36" s="3"/>
      <c r="E36" s="268"/>
      <c r="F36" s="3"/>
      <c r="G36" s="3"/>
      <c r="H36" s="3"/>
    </row>
    <row r="37" spans="1:8">
      <c r="A37" s="3" t="s">
        <v>631</v>
      </c>
      <c r="B37" s="3" t="s">
        <v>1298</v>
      </c>
      <c r="C37" s="3" t="s">
        <v>1299</v>
      </c>
      <c r="D37" s="3"/>
      <c r="E37" s="3"/>
      <c r="F37" s="3"/>
      <c r="G37" s="3"/>
      <c r="H37" s="3"/>
    </row>
    <row r="38" spans="1:8">
      <c r="A38" s="3" t="s">
        <v>631</v>
      </c>
      <c r="B38" s="3" t="s">
        <v>1276</v>
      </c>
      <c r="C38" s="3" t="s">
        <v>1277</v>
      </c>
      <c r="D38" s="3" t="s">
        <v>621</v>
      </c>
      <c r="E38" s="3" t="s">
        <v>1261</v>
      </c>
      <c r="F38" s="3" t="s">
        <v>804</v>
      </c>
      <c r="G38" s="3"/>
      <c r="H38" s="3"/>
    </row>
    <row r="39" spans="1:8" ht="39">
      <c r="A39" s="3" t="s">
        <v>631</v>
      </c>
      <c r="B39" s="3" t="s">
        <v>1301</v>
      </c>
      <c r="C39" s="3" t="s">
        <v>1302</v>
      </c>
      <c r="D39" s="259" t="s">
        <v>916</v>
      </c>
      <c r="E39" s="259" t="s">
        <v>2011</v>
      </c>
      <c r="F39" s="3"/>
      <c r="G39" s="3" t="s">
        <v>2012</v>
      </c>
      <c r="H39" s="3"/>
    </row>
    <row r="40" spans="1:8">
      <c r="A40" s="3" t="s">
        <v>631</v>
      </c>
      <c r="B40" s="3" t="s">
        <v>1303</v>
      </c>
      <c r="C40" s="3" t="s">
        <v>1304</v>
      </c>
      <c r="D40" s="3" t="s">
        <v>621</v>
      </c>
      <c r="E40" s="3" t="s">
        <v>2013</v>
      </c>
      <c r="F40" s="3" t="s">
        <v>804</v>
      </c>
      <c r="G40" s="3"/>
      <c r="H40" s="3"/>
    </row>
    <row r="41" spans="1:8">
      <c r="A41" s="3" t="s">
        <v>631</v>
      </c>
      <c r="B41" s="3" t="s">
        <v>1305</v>
      </c>
      <c r="C41" s="3" t="s">
        <v>1306</v>
      </c>
      <c r="D41" s="3"/>
      <c r="E41" s="3"/>
      <c r="F41" s="3"/>
      <c r="G41" s="3"/>
      <c r="H41" s="3"/>
    </row>
    <row r="42" spans="1:8">
      <c r="A42" s="3" t="s">
        <v>631</v>
      </c>
      <c r="B42" s="3" t="s">
        <v>1307</v>
      </c>
      <c r="C42" s="3" t="s">
        <v>1308</v>
      </c>
      <c r="D42" s="3"/>
      <c r="E42" s="3"/>
      <c r="F42" s="3"/>
      <c r="G42" s="3"/>
      <c r="H42" s="3"/>
    </row>
    <row r="43" spans="1:8">
      <c r="A43" s="3" t="s">
        <v>631</v>
      </c>
      <c r="B43" s="3" t="s">
        <v>1309</v>
      </c>
      <c r="C43" s="3" t="s">
        <v>295</v>
      </c>
      <c r="D43" s="3"/>
      <c r="E43" s="3"/>
      <c r="F43" s="3"/>
      <c r="G43" s="3"/>
      <c r="H43" s="3"/>
    </row>
    <row r="44" spans="1:8">
      <c r="A44" s="3" t="s">
        <v>631</v>
      </c>
      <c r="B44" s="3" t="s">
        <v>1310</v>
      </c>
      <c r="C44" s="3" t="s">
        <v>1311</v>
      </c>
      <c r="D44" s="3"/>
      <c r="E44" s="3"/>
      <c r="F44" s="3"/>
      <c r="G44" s="3"/>
      <c r="H44" s="3"/>
    </row>
    <row r="45" spans="1:8">
      <c r="A45" s="3" t="s">
        <v>631</v>
      </c>
      <c r="B45" s="3" t="s">
        <v>1312</v>
      </c>
      <c r="C45" s="3" t="s">
        <v>1313</v>
      </c>
      <c r="D45" s="3"/>
      <c r="E45" s="3"/>
      <c r="F45" s="3"/>
      <c r="G45" s="3"/>
      <c r="H45" s="3"/>
    </row>
    <row r="46" spans="1:8">
      <c r="A46" s="3" t="s">
        <v>631</v>
      </c>
      <c r="B46" s="3" t="s">
        <v>1314</v>
      </c>
      <c r="C46" s="3" t="s">
        <v>1315</v>
      </c>
      <c r="D46" s="3"/>
      <c r="E46" s="3"/>
      <c r="F46" s="3"/>
      <c r="G46" s="3"/>
      <c r="H46" s="3"/>
    </row>
    <row r="47" spans="1:8">
      <c r="A47" s="3" t="s">
        <v>631</v>
      </c>
      <c r="B47" s="3" t="s">
        <v>1316</v>
      </c>
      <c r="C47" s="3" t="s">
        <v>1317</v>
      </c>
      <c r="D47" s="3"/>
      <c r="E47" s="3"/>
      <c r="F47" s="3"/>
      <c r="G47" s="3"/>
      <c r="H47" s="3"/>
    </row>
    <row r="48" spans="1:8">
      <c r="A48" s="3" t="s">
        <v>631</v>
      </c>
      <c r="B48" s="3" t="s">
        <v>1318</v>
      </c>
      <c r="C48" s="3" t="s">
        <v>1319</v>
      </c>
      <c r="D48" s="3"/>
      <c r="E48" s="3"/>
      <c r="F48" s="3"/>
      <c r="G48" s="3"/>
      <c r="H48" s="3"/>
    </row>
    <row r="49" spans="1:8">
      <c r="A49" s="3" t="s">
        <v>631</v>
      </c>
      <c r="B49" s="3" t="s">
        <v>1320</v>
      </c>
      <c r="C49" s="3" t="s">
        <v>1321</v>
      </c>
      <c r="D49" s="3"/>
      <c r="E49" s="3"/>
      <c r="F49" s="3"/>
      <c r="G49" s="3"/>
      <c r="H49" s="3"/>
    </row>
    <row r="50" spans="1:8">
      <c r="A50" s="3" t="s">
        <v>631</v>
      </c>
      <c r="B50" s="3" t="s">
        <v>1322</v>
      </c>
      <c r="C50" s="3" t="s">
        <v>1323</v>
      </c>
      <c r="D50" s="3"/>
      <c r="E50" s="3"/>
      <c r="F50" s="3"/>
      <c r="G50" s="3"/>
      <c r="H50" s="3"/>
    </row>
    <row r="51" spans="1:8">
      <c r="A51" s="3" t="s">
        <v>631</v>
      </c>
      <c r="B51" s="3" t="s">
        <v>1324</v>
      </c>
      <c r="C51" s="3" t="s">
        <v>1325</v>
      </c>
      <c r="D51" s="3"/>
      <c r="E51" s="3"/>
      <c r="F51" s="3"/>
      <c r="G51" s="3"/>
      <c r="H51" s="3"/>
    </row>
    <row r="52" spans="1:8">
      <c r="A52" s="3" t="s">
        <v>631</v>
      </c>
      <c r="B52" s="3" t="s">
        <v>1326</v>
      </c>
      <c r="C52" s="3" t="s">
        <v>1327</v>
      </c>
      <c r="D52" s="3"/>
      <c r="E52" s="3"/>
      <c r="F52" s="3"/>
      <c r="G52" s="3"/>
      <c r="H52" s="3"/>
    </row>
    <row r="53" spans="1:8">
      <c r="A53" s="3" t="s">
        <v>631</v>
      </c>
      <c r="B53" s="3" t="s">
        <v>1328</v>
      </c>
      <c r="C53" s="3" t="s">
        <v>1329</v>
      </c>
      <c r="D53" s="3"/>
      <c r="E53" s="3"/>
      <c r="F53" s="3"/>
      <c r="G53" s="3"/>
      <c r="H53" s="3"/>
    </row>
    <row r="54" spans="1:8">
      <c r="A54" s="3" t="s">
        <v>631</v>
      </c>
      <c r="B54" s="3" t="s">
        <v>1330</v>
      </c>
      <c r="C54" s="3" t="s">
        <v>1331</v>
      </c>
      <c r="D54" s="3"/>
      <c r="E54" s="3"/>
      <c r="F54" s="3"/>
      <c r="G54" s="3"/>
      <c r="H54" s="3"/>
    </row>
    <row r="55" spans="1:8">
      <c r="A55" s="3" t="s">
        <v>631</v>
      </c>
      <c r="B55" s="3" t="s">
        <v>1332</v>
      </c>
      <c r="C55" s="3" t="s">
        <v>1333</v>
      </c>
      <c r="D55" s="3"/>
      <c r="E55" s="3"/>
      <c r="F55" s="3"/>
      <c r="G55" s="3"/>
      <c r="H55" s="3"/>
    </row>
    <row r="56" spans="1:8">
      <c r="A56" s="3" t="s">
        <v>631</v>
      </c>
      <c r="B56" s="3" t="s">
        <v>1334</v>
      </c>
      <c r="C56" s="3" t="s">
        <v>1335</v>
      </c>
      <c r="D56" s="3"/>
      <c r="E56" s="3"/>
      <c r="F56" s="3"/>
      <c r="G56" s="3"/>
      <c r="H56" s="3"/>
    </row>
    <row r="57" spans="1:8">
      <c r="A57" s="3" t="s">
        <v>631</v>
      </c>
      <c r="B57" s="3" t="s">
        <v>1336</v>
      </c>
      <c r="C57" s="3" t="s">
        <v>1337</v>
      </c>
      <c r="D57" s="3"/>
      <c r="E57" s="3"/>
      <c r="F57" s="3"/>
      <c r="G57" s="3"/>
      <c r="H57" s="3"/>
    </row>
    <row r="58" spans="1:8">
      <c r="A58" s="3" t="s">
        <v>631</v>
      </c>
      <c r="B58" s="3" t="s">
        <v>945</v>
      </c>
      <c r="C58" s="3" t="s">
        <v>800</v>
      </c>
      <c r="D58" s="3"/>
      <c r="E58" s="3"/>
      <c r="F58" s="3"/>
      <c r="G58" s="3"/>
      <c r="H58" s="3"/>
    </row>
    <row r="59" spans="1:8">
      <c r="A59" s="80" t="s">
        <v>631</v>
      </c>
      <c r="B59" s="80" t="s">
        <v>1338</v>
      </c>
      <c r="C59" s="80" t="s">
        <v>1339</v>
      </c>
      <c r="D59" s="80"/>
      <c r="E59" s="80"/>
      <c r="F59" s="80"/>
      <c r="G59" s="80"/>
      <c r="H59" s="3"/>
    </row>
    <row r="60" spans="1:8">
      <c r="A60" s="80" t="s">
        <v>631</v>
      </c>
      <c r="B60" s="80" t="s">
        <v>946</v>
      </c>
      <c r="C60" s="80" t="s">
        <v>806</v>
      </c>
      <c r="D60" s="80"/>
      <c r="E60" s="80"/>
      <c r="F60" s="80"/>
      <c r="G60" s="80"/>
      <c r="H60" s="158"/>
    </row>
    <row r="61" spans="1:8">
      <c r="A61" s="3" t="s">
        <v>636</v>
      </c>
      <c r="B61" s="3" t="s">
        <v>924</v>
      </c>
      <c r="C61" s="3" t="s">
        <v>564</v>
      </c>
      <c r="D61" s="3"/>
      <c r="E61" s="3"/>
      <c r="F61" s="3"/>
      <c r="G61" s="3"/>
      <c r="H61" s="3"/>
    </row>
    <row r="62" spans="1:8">
      <c r="A62" s="3" t="s">
        <v>636</v>
      </c>
      <c r="B62" s="3" t="s">
        <v>926</v>
      </c>
      <c r="C62" s="3" t="s">
        <v>802</v>
      </c>
      <c r="D62" s="3"/>
      <c r="E62" s="3"/>
      <c r="F62" s="3"/>
      <c r="G62" s="3"/>
      <c r="H62" s="3"/>
    </row>
    <row r="63" spans="1:8">
      <c r="A63" s="3" t="s">
        <v>636</v>
      </c>
      <c r="B63" s="3" t="s">
        <v>928</v>
      </c>
      <c r="C63" s="3" t="s">
        <v>784</v>
      </c>
      <c r="D63" s="3"/>
      <c r="E63" s="3"/>
      <c r="F63" s="3"/>
      <c r="G63" s="3"/>
      <c r="H63" s="3"/>
    </row>
    <row r="64" spans="1:8">
      <c r="A64" s="3" t="s">
        <v>636</v>
      </c>
      <c r="B64" s="3" t="s">
        <v>933</v>
      </c>
      <c r="C64" s="3" t="s">
        <v>798</v>
      </c>
      <c r="D64" s="3"/>
      <c r="E64" s="3"/>
      <c r="F64" s="3"/>
      <c r="G64" s="3"/>
      <c r="H64" s="3"/>
    </row>
    <row r="65" spans="1:8">
      <c r="A65" s="3" t="s">
        <v>636</v>
      </c>
      <c r="B65" s="3" t="s">
        <v>1398</v>
      </c>
      <c r="C65" s="3" t="s">
        <v>1399</v>
      </c>
      <c r="D65" s="3"/>
      <c r="E65" s="3"/>
      <c r="F65" s="3"/>
      <c r="G65" s="3"/>
      <c r="H65" s="3"/>
    </row>
    <row r="66" spans="1:8">
      <c r="A66" s="3" t="s">
        <v>636</v>
      </c>
      <c r="B66" s="3" t="s">
        <v>1400</v>
      </c>
      <c r="C66" s="3" t="s">
        <v>1401</v>
      </c>
      <c r="D66" s="3"/>
      <c r="E66" s="3"/>
      <c r="F66" s="3"/>
      <c r="G66" s="3"/>
      <c r="H66" s="3"/>
    </row>
    <row r="67" spans="1:8">
      <c r="A67" s="3" t="s">
        <v>636</v>
      </c>
      <c r="B67" s="3" t="s">
        <v>1402</v>
      </c>
      <c r="C67" s="3" t="s">
        <v>1403</v>
      </c>
      <c r="D67" s="3"/>
      <c r="E67" s="3"/>
      <c r="F67" s="3"/>
      <c r="G67" s="3"/>
      <c r="H67" s="3"/>
    </row>
    <row r="68" spans="1:8">
      <c r="A68" s="3" t="s">
        <v>636</v>
      </c>
      <c r="B68" s="3" t="s">
        <v>939</v>
      </c>
      <c r="C68" s="3" t="s">
        <v>821</v>
      </c>
      <c r="D68" s="3"/>
      <c r="E68" s="3"/>
      <c r="F68" s="3"/>
      <c r="G68" s="3"/>
      <c r="H68" s="3"/>
    </row>
    <row r="69" spans="1:8">
      <c r="A69" s="3" t="s">
        <v>636</v>
      </c>
      <c r="B69" s="3" t="s">
        <v>940</v>
      </c>
      <c r="C69" s="3" t="s">
        <v>818</v>
      </c>
      <c r="D69" s="3"/>
      <c r="E69" s="3"/>
      <c r="F69" s="3"/>
      <c r="G69" s="3"/>
      <c r="H69" s="3"/>
    </row>
    <row r="70" spans="1:8">
      <c r="A70" s="3" t="s">
        <v>636</v>
      </c>
      <c r="B70" s="3" t="s">
        <v>1405</v>
      </c>
      <c r="C70" s="3" t="s">
        <v>1406</v>
      </c>
      <c r="D70" s="3"/>
      <c r="E70" s="3"/>
      <c r="F70" s="3"/>
      <c r="G70" s="3"/>
      <c r="H70" s="3"/>
    </row>
    <row r="71" spans="1:8">
      <c r="A71" s="3" t="s">
        <v>636</v>
      </c>
      <c r="B71" s="3" t="s">
        <v>1407</v>
      </c>
      <c r="C71" s="3" t="s">
        <v>1408</v>
      </c>
      <c r="D71" s="3"/>
      <c r="E71" s="3"/>
      <c r="F71" s="3"/>
      <c r="G71" s="3" t="s">
        <v>2014</v>
      </c>
      <c r="H71" s="3"/>
    </row>
    <row r="72" spans="1:8">
      <c r="A72" s="3" t="s">
        <v>636</v>
      </c>
      <c r="B72" s="3" t="s">
        <v>1409</v>
      </c>
      <c r="C72" s="3" t="s">
        <v>1410</v>
      </c>
      <c r="D72" s="3" t="s">
        <v>631</v>
      </c>
      <c r="E72" s="3" t="s">
        <v>1330</v>
      </c>
      <c r="F72" s="3" t="s">
        <v>804</v>
      </c>
      <c r="G72" s="3" t="s">
        <v>2015</v>
      </c>
      <c r="H72" s="3"/>
    </row>
    <row r="73" spans="1:8">
      <c r="A73" s="3" t="s">
        <v>636</v>
      </c>
      <c r="B73" s="3" t="s">
        <v>1298</v>
      </c>
      <c r="C73" s="3" t="s">
        <v>1299</v>
      </c>
      <c r="D73" s="3"/>
      <c r="E73" s="3"/>
      <c r="F73" s="3"/>
      <c r="G73" s="3"/>
      <c r="H73" s="3"/>
    </row>
    <row r="74" spans="1:8">
      <c r="A74" s="3" t="s">
        <v>636</v>
      </c>
      <c r="B74" s="3" t="s">
        <v>1276</v>
      </c>
      <c r="C74" s="3" t="s">
        <v>1277</v>
      </c>
      <c r="D74" s="3"/>
      <c r="E74" s="3"/>
      <c r="F74" s="3"/>
      <c r="G74" s="3"/>
      <c r="H74" s="3"/>
    </row>
    <row r="75" spans="1:8">
      <c r="A75" s="3" t="s">
        <v>636</v>
      </c>
      <c r="B75" s="3" t="s">
        <v>1411</v>
      </c>
      <c r="C75" s="3" t="s">
        <v>1412</v>
      </c>
      <c r="D75" s="3"/>
      <c r="E75" s="3"/>
      <c r="F75" s="3"/>
      <c r="G75" s="3"/>
      <c r="H75" s="3"/>
    </row>
    <row r="76" spans="1:8">
      <c r="A76" s="3" t="s">
        <v>636</v>
      </c>
      <c r="B76" s="3" t="s">
        <v>1413</v>
      </c>
      <c r="C76" s="3" t="s">
        <v>1414</v>
      </c>
      <c r="D76" s="3"/>
      <c r="E76" s="3"/>
      <c r="F76" s="3"/>
      <c r="G76" s="3"/>
      <c r="H76" s="3"/>
    </row>
    <row r="77" spans="1:8">
      <c r="A77" s="3" t="s">
        <v>636</v>
      </c>
      <c r="B77" s="3" t="s">
        <v>1415</v>
      </c>
      <c r="C77" s="3" t="s">
        <v>1416</v>
      </c>
      <c r="D77" s="3"/>
      <c r="E77" s="3"/>
      <c r="F77" s="3"/>
      <c r="G77" s="3"/>
      <c r="H77" s="3"/>
    </row>
    <row r="78" spans="1:8">
      <c r="A78" s="3" t="s">
        <v>636</v>
      </c>
      <c r="B78" s="3" t="s">
        <v>943</v>
      </c>
      <c r="C78" s="3" t="s">
        <v>823</v>
      </c>
      <c r="D78" s="3"/>
      <c r="E78" s="3"/>
      <c r="F78" s="3"/>
      <c r="G78" s="3"/>
      <c r="H78" s="3"/>
    </row>
    <row r="79" spans="1:8">
      <c r="A79" s="3" t="s">
        <v>636</v>
      </c>
      <c r="B79" s="3" t="s">
        <v>945</v>
      </c>
      <c r="C79" s="3" t="s">
        <v>800</v>
      </c>
      <c r="D79" s="3"/>
      <c r="E79" s="3"/>
      <c r="F79" s="3"/>
      <c r="G79" s="3"/>
      <c r="H79" s="3"/>
    </row>
    <row r="80" spans="1:8">
      <c r="A80" s="3" t="s">
        <v>636</v>
      </c>
      <c r="B80" s="3" t="s">
        <v>1049</v>
      </c>
      <c r="C80" s="3" t="s">
        <v>1050</v>
      </c>
      <c r="D80" s="3"/>
      <c r="E80" s="3"/>
      <c r="F80" s="3"/>
      <c r="G80" s="3"/>
      <c r="H80" s="3"/>
    </row>
    <row r="81" spans="1:8">
      <c r="A81" s="3" t="s">
        <v>636</v>
      </c>
      <c r="B81" s="3" t="s">
        <v>1417</v>
      </c>
      <c r="C81" s="3" t="s">
        <v>1418</v>
      </c>
      <c r="D81" s="3"/>
      <c r="E81" s="3"/>
      <c r="F81" s="3"/>
      <c r="G81" s="3"/>
      <c r="H81" s="3"/>
    </row>
    <row r="82" spans="1:8">
      <c r="A82" s="3" t="s">
        <v>636</v>
      </c>
      <c r="B82" s="3" t="s">
        <v>946</v>
      </c>
      <c r="C82" s="3" t="s">
        <v>806</v>
      </c>
      <c r="D82" s="3"/>
      <c r="E82" s="3"/>
      <c r="F82" s="3"/>
      <c r="G82" s="3"/>
      <c r="H82" s="3"/>
    </row>
    <row r="84" spans="1:8">
      <c r="A84" t="s">
        <v>2016</v>
      </c>
    </row>
    <row r="85" spans="1:8" ht="409.5">
      <c r="B85" s="78" t="s">
        <v>2017</v>
      </c>
    </row>
    <row r="87" spans="1:8">
      <c r="A87" t="s">
        <v>2018</v>
      </c>
    </row>
    <row r="88" spans="1:8">
      <c r="A88" t="s">
        <v>2019</v>
      </c>
    </row>
    <row r="92" spans="1:8" ht="409.5">
      <c r="A92" s="78" t="s">
        <v>2020</v>
      </c>
    </row>
  </sheetData>
  <hyperlinks>
    <hyperlink ref="A1" location="Summary!A1" display="Summary" xr:uid="{DFF3B580-B2A9-4317-A2E3-63B957670FE8}"/>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807C-DBBA-4506-A453-83CB9B8ADDE4}">
  <dimension ref="A1:H146"/>
  <sheetViews>
    <sheetView workbookViewId="0"/>
  </sheetViews>
  <sheetFormatPr defaultRowHeight="15"/>
  <cols>
    <col min="1" max="8" width="35.85546875" customWidth="1"/>
  </cols>
  <sheetData>
    <row r="1" spans="1:8">
      <c r="A1" s="1" t="s">
        <v>773</v>
      </c>
    </row>
    <row r="2" spans="1:8">
      <c r="A2" s="40" t="s">
        <v>1387</v>
      </c>
    </row>
    <row r="3" spans="1:8">
      <c r="A3" s="40" t="s">
        <v>1075</v>
      </c>
    </row>
    <row r="4" spans="1:8">
      <c r="A4" s="40" t="s">
        <v>566</v>
      </c>
    </row>
    <row r="6" spans="1:8">
      <c r="A6" s="261" t="s">
        <v>550</v>
      </c>
      <c r="B6" s="262" t="s">
        <v>775</v>
      </c>
      <c r="C6" s="262" t="s">
        <v>776</v>
      </c>
      <c r="D6" s="262" t="s">
        <v>777</v>
      </c>
      <c r="E6" s="262" t="s">
        <v>778</v>
      </c>
      <c r="F6" s="263" t="s">
        <v>779</v>
      </c>
      <c r="G6" s="263" t="s">
        <v>568</v>
      </c>
      <c r="H6" s="263" t="s">
        <v>780</v>
      </c>
    </row>
    <row r="7" spans="1:8" s="244" customFormat="1">
      <c r="A7" s="3" t="s">
        <v>2021</v>
      </c>
      <c r="B7" s="3" t="s">
        <v>922</v>
      </c>
      <c r="C7" s="3" t="s">
        <v>923</v>
      </c>
      <c r="D7" s="3"/>
      <c r="E7" s="3"/>
      <c r="F7" s="3"/>
      <c r="G7" s="3"/>
      <c r="H7" s="3"/>
    </row>
    <row r="8" spans="1:8" s="244" customFormat="1">
      <c r="A8" s="3" t="s">
        <v>2021</v>
      </c>
      <c r="B8" s="3" t="s">
        <v>928</v>
      </c>
      <c r="C8" s="3" t="s">
        <v>784</v>
      </c>
      <c r="D8" s="3"/>
      <c r="E8" s="3"/>
      <c r="F8" s="3"/>
      <c r="G8" s="3"/>
      <c r="H8" s="3"/>
    </row>
    <row r="9" spans="1:8" s="244" customFormat="1">
      <c r="A9" s="3" t="s">
        <v>2021</v>
      </c>
      <c r="B9" s="3" t="s">
        <v>2022</v>
      </c>
      <c r="C9" s="3" t="s">
        <v>2023</v>
      </c>
      <c r="D9" s="3"/>
      <c r="E9" s="3"/>
      <c r="F9" s="3"/>
      <c r="G9" s="3" t="s">
        <v>2024</v>
      </c>
      <c r="H9" s="3"/>
    </row>
    <row r="10" spans="1:8" s="244" customFormat="1">
      <c r="A10" s="3" t="s">
        <v>2021</v>
      </c>
      <c r="B10" s="3" t="s">
        <v>1031</v>
      </c>
      <c r="C10" s="3" t="s">
        <v>1032</v>
      </c>
      <c r="D10" s="3"/>
      <c r="E10" s="3"/>
      <c r="F10" s="3"/>
      <c r="G10" s="3" t="s">
        <v>2025</v>
      </c>
      <c r="H10" s="3"/>
    </row>
    <row r="11" spans="1:8" s="244" customFormat="1">
      <c r="A11" s="3" t="s">
        <v>2021</v>
      </c>
      <c r="B11" s="3" t="s">
        <v>2026</v>
      </c>
      <c r="C11" s="3" t="s">
        <v>2027</v>
      </c>
      <c r="D11" s="3"/>
      <c r="E11" s="3"/>
      <c r="F11" s="3"/>
      <c r="G11" s="3"/>
      <c r="H11" s="3"/>
    </row>
    <row r="12" spans="1:8" s="244" customFormat="1">
      <c r="A12" s="3" t="s">
        <v>2021</v>
      </c>
      <c r="B12" s="3" t="s">
        <v>1970</v>
      </c>
      <c r="C12" s="3" t="s">
        <v>1514</v>
      </c>
      <c r="D12" s="3"/>
      <c r="E12" s="3"/>
      <c r="F12" s="3"/>
      <c r="G12" s="3"/>
      <c r="H12" s="3"/>
    </row>
    <row r="13" spans="1:8" s="244" customFormat="1">
      <c r="A13" s="3" t="s">
        <v>2021</v>
      </c>
      <c r="B13" s="3" t="s">
        <v>946</v>
      </c>
      <c r="C13" s="3" t="s">
        <v>806</v>
      </c>
      <c r="D13" s="3"/>
      <c r="E13" s="3"/>
      <c r="F13" s="3"/>
      <c r="G13" s="3"/>
      <c r="H13" s="3"/>
    </row>
    <row r="14" spans="1:8">
      <c r="A14" s="3" t="s">
        <v>646</v>
      </c>
      <c r="B14" s="3" t="s">
        <v>984</v>
      </c>
      <c r="C14" s="3" t="s">
        <v>985</v>
      </c>
      <c r="D14" s="3"/>
      <c r="E14" s="3"/>
      <c r="F14" s="3"/>
      <c r="G14" s="3"/>
      <c r="H14" s="3"/>
    </row>
    <row r="15" spans="1:8">
      <c r="A15" s="3" t="s">
        <v>646</v>
      </c>
      <c r="B15" s="3" t="s">
        <v>987</v>
      </c>
      <c r="C15" s="3" t="s">
        <v>882</v>
      </c>
      <c r="D15" s="3"/>
      <c r="E15" s="3"/>
      <c r="F15" s="3"/>
      <c r="G15" s="3"/>
      <c r="H15" s="3"/>
    </row>
    <row r="16" spans="1:8">
      <c r="A16" s="3" t="s">
        <v>646</v>
      </c>
      <c r="B16" s="3" t="s">
        <v>988</v>
      </c>
      <c r="C16" s="3" t="s">
        <v>989</v>
      </c>
      <c r="D16" s="3"/>
      <c r="E16" s="3"/>
      <c r="F16" s="3"/>
      <c r="G16" s="3"/>
      <c r="H16" s="3"/>
    </row>
    <row r="17" spans="1:8">
      <c r="A17" s="3" t="s">
        <v>646</v>
      </c>
      <c r="B17" s="3" t="s">
        <v>990</v>
      </c>
      <c r="C17" s="3" t="s">
        <v>991</v>
      </c>
      <c r="D17" s="3"/>
      <c r="E17" s="3"/>
      <c r="F17" s="3"/>
      <c r="G17" s="3"/>
      <c r="H17" s="3"/>
    </row>
    <row r="18" spans="1:8">
      <c r="A18" s="3" t="s">
        <v>646</v>
      </c>
      <c r="B18" s="3" t="s">
        <v>992</v>
      </c>
      <c r="C18" s="3" t="s">
        <v>993</v>
      </c>
      <c r="D18" s="3"/>
      <c r="E18" s="3"/>
      <c r="F18" s="3"/>
      <c r="G18" s="3"/>
      <c r="H18" s="3"/>
    </row>
    <row r="19" spans="1:8">
      <c r="A19" s="3" t="s">
        <v>646</v>
      </c>
      <c r="B19" s="3" t="s">
        <v>994</v>
      </c>
      <c r="C19" s="3" t="s">
        <v>995</v>
      </c>
      <c r="D19" s="3"/>
      <c r="E19" s="3"/>
      <c r="F19" s="3"/>
      <c r="G19" s="3"/>
      <c r="H19" s="3"/>
    </row>
    <row r="20" spans="1:8">
      <c r="A20" s="3" t="s">
        <v>646</v>
      </c>
      <c r="B20" s="3" t="s">
        <v>922</v>
      </c>
      <c r="C20" s="3" t="s">
        <v>923</v>
      </c>
      <c r="D20" s="3"/>
      <c r="E20" s="3"/>
      <c r="F20" s="3"/>
      <c r="G20" s="3"/>
      <c r="H20" s="3"/>
    </row>
    <row r="21" spans="1:8">
      <c r="A21" s="3" t="s">
        <v>646</v>
      </c>
      <c r="B21" s="3" t="s">
        <v>924</v>
      </c>
      <c r="C21" s="3" t="s">
        <v>564</v>
      </c>
      <c r="D21" s="3"/>
      <c r="E21" s="3"/>
      <c r="F21" s="3"/>
      <c r="G21" s="3"/>
      <c r="H21" s="3"/>
    </row>
    <row r="22" spans="1:8">
      <c r="A22" s="3" t="s">
        <v>646</v>
      </c>
      <c r="B22" s="3" t="s">
        <v>926</v>
      </c>
      <c r="C22" s="3" t="s">
        <v>802</v>
      </c>
      <c r="D22" s="3"/>
      <c r="E22" s="3"/>
      <c r="F22" s="3"/>
      <c r="G22" s="3"/>
      <c r="H22" s="3"/>
    </row>
    <row r="23" spans="1:8">
      <c r="A23" s="3" t="s">
        <v>646</v>
      </c>
      <c r="B23" s="3" t="s">
        <v>928</v>
      </c>
      <c r="C23" s="3" t="s">
        <v>784</v>
      </c>
      <c r="D23" s="3"/>
      <c r="E23" s="3"/>
      <c r="F23" s="3"/>
      <c r="G23" s="3"/>
      <c r="H23" s="3"/>
    </row>
    <row r="24" spans="1:8">
      <c r="A24" s="3" t="s">
        <v>646</v>
      </c>
      <c r="B24" s="3" t="s">
        <v>996</v>
      </c>
      <c r="C24" s="3" t="s">
        <v>885</v>
      </c>
      <c r="D24" s="3"/>
      <c r="E24" s="3"/>
      <c r="F24" s="3"/>
      <c r="G24" s="3"/>
      <c r="H24" s="3"/>
    </row>
    <row r="25" spans="1:8">
      <c r="A25" s="3" t="s">
        <v>646</v>
      </c>
      <c r="B25" s="3" t="s">
        <v>997</v>
      </c>
      <c r="C25" s="3" t="s">
        <v>998</v>
      </c>
      <c r="D25" s="3"/>
      <c r="E25" s="3"/>
      <c r="F25" s="3"/>
      <c r="G25" s="3"/>
      <c r="H25" s="3"/>
    </row>
    <row r="26" spans="1:8">
      <c r="A26" s="3" t="s">
        <v>646</v>
      </c>
      <c r="B26" s="3" t="s">
        <v>999</v>
      </c>
      <c r="C26" s="3" t="s">
        <v>893</v>
      </c>
      <c r="D26" s="3"/>
      <c r="E26" s="3"/>
      <c r="F26" s="3"/>
      <c r="G26" s="3"/>
      <c r="H26" s="3"/>
    </row>
    <row r="27" spans="1:8">
      <c r="A27" s="3" t="s">
        <v>646</v>
      </c>
      <c r="B27" s="3" t="s">
        <v>1000</v>
      </c>
      <c r="C27" s="3" t="s">
        <v>887</v>
      </c>
      <c r="D27" s="3"/>
      <c r="E27" s="3"/>
      <c r="F27" s="3"/>
      <c r="G27" s="3"/>
      <c r="H27" s="3"/>
    </row>
    <row r="28" spans="1:8">
      <c r="A28" s="3" t="s">
        <v>646</v>
      </c>
      <c r="B28" s="3" t="s">
        <v>933</v>
      </c>
      <c r="C28" s="3" t="s">
        <v>798</v>
      </c>
      <c r="D28" s="3"/>
      <c r="E28" s="3"/>
      <c r="F28" s="3"/>
      <c r="G28" s="3"/>
      <c r="H28" s="3"/>
    </row>
    <row r="29" spans="1:8">
      <c r="A29" s="3" t="s">
        <v>646</v>
      </c>
      <c r="B29" s="3" t="s">
        <v>1001</v>
      </c>
      <c r="C29" s="3" t="s">
        <v>1002</v>
      </c>
      <c r="D29" s="3"/>
      <c r="E29" s="3"/>
      <c r="F29" s="3"/>
      <c r="G29" s="3"/>
      <c r="H29" s="3"/>
    </row>
    <row r="30" spans="1:8">
      <c r="A30" s="3" t="s">
        <v>646</v>
      </c>
      <c r="B30" s="3" t="s">
        <v>1003</v>
      </c>
      <c r="C30" s="3" t="s">
        <v>895</v>
      </c>
      <c r="D30" s="3"/>
      <c r="E30" s="3"/>
      <c r="F30" s="3"/>
      <c r="G30" s="3"/>
      <c r="H30" s="3"/>
    </row>
    <row r="31" spans="1:8">
      <c r="A31" s="3" t="s">
        <v>646</v>
      </c>
      <c r="B31" s="3" t="s">
        <v>1004</v>
      </c>
      <c r="C31" s="3" t="s">
        <v>897</v>
      </c>
      <c r="D31" s="3"/>
      <c r="E31" s="3"/>
      <c r="F31" s="3"/>
      <c r="G31" s="3"/>
      <c r="H31" s="3"/>
    </row>
    <row r="32" spans="1:8">
      <c r="A32" s="3" t="s">
        <v>646</v>
      </c>
      <c r="B32" s="3" t="s">
        <v>1005</v>
      </c>
      <c r="C32" s="3" t="s">
        <v>1006</v>
      </c>
      <c r="D32" s="3"/>
      <c r="E32" s="3"/>
      <c r="F32" s="3"/>
      <c r="G32" s="3"/>
      <c r="H32" s="3"/>
    </row>
    <row r="33" spans="1:8">
      <c r="A33" s="3" t="s">
        <v>646</v>
      </c>
      <c r="B33" s="3" t="s">
        <v>1007</v>
      </c>
      <c r="C33" s="3" t="s">
        <v>1008</v>
      </c>
      <c r="D33" s="3"/>
      <c r="E33" s="3"/>
      <c r="F33" s="3"/>
      <c r="G33" s="3"/>
      <c r="H33" s="3"/>
    </row>
    <row r="34" spans="1:8">
      <c r="A34" s="3" t="s">
        <v>646</v>
      </c>
      <c r="B34" s="3" t="s">
        <v>1009</v>
      </c>
      <c r="C34" s="3" t="s">
        <v>1010</v>
      </c>
      <c r="D34" s="3"/>
      <c r="E34" s="3"/>
      <c r="F34" s="3"/>
      <c r="G34" s="3"/>
      <c r="H34" s="3"/>
    </row>
    <row r="35" spans="1:8">
      <c r="A35" s="3" t="s">
        <v>646</v>
      </c>
      <c r="B35" s="3" t="s">
        <v>1011</v>
      </c>
      <c r="C35" s="3" t="s">
        <v>1012</v>
      </c>
      <c r="D35" s="3"/>
      <c r="E35" s="3"/>
      <c r="F35" s="3"/>
      <c r="G35" s="3"/>
      <c r="H35" s="3"/>
    </row>
    <row r="36" spans="1:8">
      <c r="A36" s="3" t="s">
        <v>646</v>
      </c>
      <c r="B36" s="3" t="s">
        <v>1014</v>
      </c>
      <c r="C36" s="3" t="s">
        <v>842</v>
      </c>
      <c r="D36" s="3"/>
      <c r="E36" s="3"/>
      <c r="F36" s="3"/>
      <c r="G36" s="3"/>
      <c r="H36" s="3"/>
    </row>
    <row r="37" spans="1:8">
      <c r="A37" s="3" t="s">
        <v>646</v>
      </c>
      <c r="B37" s="3" t="s">
        <v>1016</v>
      </c>
      <c r="C37" s="3" t="s">
        <v>1017</v>
      </c>
      <c r="D37" s="3"/>
      <c r="E37" s="3"/>
      <c r="F37" s="3"/>
      <c r="G37" s="3"/>
      <c r="H37" s="3"/>
    </row>
    <row r="38" spans="1:8">
      <c r="A38" s="3" t="s">
        <v>646</v>
      </c>
      <c r="B38" s="3" t="s">
        <v>1020</v>
      </c>
      <c r="C38" s="3" t="s">
        <v>1021</v>
      </c>
      <c r="D38" s="3"/>
      <c r="E38" s="3"/>
      <c r="F38" s="3"/>
      <c r="G38" s="3"/>
      <c r="H38" s="3"/>
    </row>
    <row r="39" spans="1:8">
      <c r="A39" s="3" t="s">
        <v>646</v>
      </c>
      <c r="B39" s="3" t="s">
        <v>1022</v>
      </c>
      <c r="C39" s="3" t="s">
        <v>1023</v>
      </c>
      <c r="D39" s="3"/>
      <c r="E39" s="3"/>
      <c r="F39" s="3"/>
      <c r="G39" s="3"/>
      <c r="H39" s="3"/>
    </row>
    <row r="40" spans="1:8">
      <c r="A40" s="3" t="s">
        <v>646</v>
      </c>
      <c r="B40" s="3" t="s">
        <v>1024</v>
      </c>
      <c r="C40" s="3" t="s">
        <v>1025</v>
      </c>
      <c r="D40" s="3"/>
      <c r="E40" s="3"/>
      <c r="F40" s="3"/>
      <c r="G40" s="3"/>
      <c r="H40" s="3"/>
    </row>
    <row r="41" spans="1:8">
      <c r="A41" s="3" t="s">
        <v>646</v>
      </c>
      <c r="B41" s="3" t="s">
        <v>1026</v>
      </c>
      <c r="C41" s="3" t="s">
        <v>1027</v>
      </c>
      <c r="D41" s="3"/>
      <c r="E41" s="3"/>
      <c r="F41" s="3"/>
      <c r="G41" s="3"/>
      <c r="H41" s="3"/>
    </row>
    <row r="42" spans="1:8">
      <c r="A42" s="3" t="s">
        <v>646</v>
      </c>
      <c r="B42" s="3" t="s">
        <v>1028</v>
      </c>
      <c r="C42" s="3" t="s">
        <v>1029</v>
      </c>
      <c r="D42" s="3"/>
      <c r="E42" s="3"/>
      <c r="F42" s="3"/>
      <c r="G42" s="3"/>
      <c r="H42" s="3"/>
    </row>
    <row r="43" spans="1:8">
      <c r="A43" s="3" t="s">
        <v>646</v>
      </c>
      <c r="B43" s="3" t="s">
        <v>1031</v>
      </c>
      <c r="C43" s="3" t="s">
        <v>1032</v>
      </c>
      <c r="D43" s="3" t="s">
        <v>2021</v>
      </c>
      <c r="E43" s="3" t="s">
        <v>1031</v>
      </c>
      <c r="F43" s="3" t="s">
        <v>1990</v>
      </c>
      <c r="G43" s="3" t="s">
        <v>2028</v>
      </c>
      <c r="H43" s="3"/>
    </row>
    <row r="44" spans="1:8">
      <c r="A44" s="3" t="s">
        <v>646</v>
      </c>
      <c r="B44" s="3" t="s">
        <v>1034</v>
      </c>
      <c r="C44" s="3" t="s">
        <v>1035</v>
      </c>
      <c r="D44" s="3"/>
      <c r="E44" s="3"/>
      <c r="F44" s="3"/>
      <c r="G44" s="3"/>
      <c r="H44" s="3"/>
    </row>
    <row r="45" spans="1:8">
      <c r="A45" s="3" t="s">
        <v>646</v>
      </c>
      <c r="B45" s="3" t="s">
        <v>1037</v>
      </c>
      <c r="C45" s="3" t="s">
        <v>1038</v>
      </c>
      <c r="D45" s="3"/>
      <c r="E45" s="3"/>
      <c r="F45" s="3"/>
      <c r="G45" s="3"/>
      <c r="H45" s="3"/>
    </row>
    <row r="46" spans="1:8">
      <c r="A46" s="3" t="s">
        <v>646</v>
      </c>
      <c r="B46" s="3" t="s">
        <v>1039</v>
      </c>
      <c r="C46" s="3" t="s">
        <v>1040</v>
      </c>
      <c r="D46" s="3"/>
      <c r="E46" s="3"/>
      <c r="F46" s="3"/>
      <c r="G46" s="3"/>
      <c r="H46" s="3"/>
    </row>
    <row r="47" spans="1:8">
      <c r="A47" s="3" t="s">
        <v>646</v>
      </c>
      <c r="B47" s="3" t="s">
        <v>1041</v>
      </c>
      <c r="C47" s="3" t="s">
        <v>1042</v>
      </c>
      <c r="D47" s="3"/>
      <c r="E47" s="3"/>
      <c r="F47" s="3"/>
      <c r="G47" s="3"/>
      <c r="H47" s="3"/>
    </row>
    <row r="48" spans="1:8">
      <c r="A48" s="3" t="s">
        <v>646</v>
      </c>
      <c r="B48" s="3" t="s">
        <v>1043</v>
      </c>
      <c r="C48" s="3" t="s">
        <v>889</v>
      </c>
      <c r="D48" s="3"/>
      <c r="E48" s="3"/>
      <c r="F48" s="3"/>
      <c r="G48" s="3"/>
      <c r="H48" s="3"/>
    </row>
    <row r="49" spans="1:8">
      <c r="A49" s="3" t="s">
        <v>646</v>
      </c>
      <c r="B49" s="3" t="s">
        <v>1044</v>
      </c>
      <c r="C49" s="3" t="s">
        <v>1045</v>
      </c>
      <c r="D49" s="3"/>
      <c r="E49" s="3"/>
      <c r="F49" s="3"/>
      <c r="G49" s="3"/>
      <c r="H49" s="3"/>
    </row>
    <row r="50" spans="1:8">
      <c r="A50" s="3" t="s">
        <v>646</v>
      </c>
      <c r="B50" s="3" t="s">
        <v>1047</v>
      </c>
      <c r="C50" s="3" t="s">
        <v>891</v>
      </c>
      <c r="D50" s="3"/>
      <c r="E50" s="3"/>
      <c r="F50" s="3"/>
      <c r="G50" s="3"/>
      <c r="H50" s="3"/>
    </row>
    <row r="51" spans="1:8">
      <c r="A51" s="3" t="s">
        <v>646</v>
      </c>
      <c r="B51" s="3" t="s">
        <v>945</v>
      </c>
      <c r="C51" s="3" t="s">
        <v>800</v>
      </c>
      <c r="D51" s="3"/>
      <c r="E51" s="3"/>
      <c r="F51" s="3"/>
      <c r="G51" s="3"/>
      <c r="H51" s="3"/>
    </row>
    <row r="52" spans="1:8">
      <c r="A52" s="3" t="s">
        <v>646</v>
      </c>
      <c r="B52" s="3" t="s">
        <v>1049</v>
      </c>
      <c r="C52" s="3" t="s">
        <v>1050</v>
      </c>
      <c r="D52" s="3"/>
      <c r="E52" s="3"/>
      <c r="F52" s="3"/>
      <c r="G52" s="3"/>
      <c r="H52" s="3"/>
    </row>
    <row r="53" spans="1:8">
      <c r="A53" s="3" t="s">
        <v>646</v>
      </c>
      <c r="B53" s="3" t="s">
        <v>946</v>
      </c>
      <c r="C53" s="3" t="s">
        <v>806</v>
      </c>
      <c r="D53" s="3"/>
      <c r="E53" s="3"/>
      <c r="F53" s="3"/>
      <c r="G53" s="3"/>
      <c r="H53" s="3"/>
    </row>
    <row r="54" spans="1:8">
      <c r="A54" s="3" t="s">
        <v>640</v>
      </c>
      <c r="B54" s="3" t="s">
        <v>1161</v>
      </c>
      <c r="C54" s="3" t="s">
        <v>1162</v>
      </c>
      <c r="D54" s="3"/>
      <c r="E54" s="3"/>
      <c r="F54" s="3"/>
      <c r="G54" s="3"/>
      <c r="H54" s="3"/>
    </row>
    <row r="55" spans="1:8">
      <c r="A55" s="3" t="s">
        <v>640</v>
      </c>
      <c r="B55" s="3" t="s">
        <v>922</v>
      </c>
      <c r="C55" s="3" t="s">
        <v>923</v>
      </c>
      <c r="D55" s="3"/>
      <c r="E55" s="3"/>
      <c r="F55" s="3"/>
      <c r="G55" s="3"/>
      <c r="H55" s="3"/>
    </row>
    <row r="56" spans="1:8">
      <c r="A56" s="3" t="s">
        <v>640</v>
      </c>
      <c r="B56" s="3" t="s">
        <v>924</v>
      </c>
      <c r="C56" s="3" t="s">
        <v>564</v>
      </c>
      <c r="D56" s="3"/>
      <c r="E56" s="3" t="s">
        <v>2029</v>
      </c>
      <c r="F56" s="3" t="s">
        <v>1241</v>
      </c>
      <c r="G56" s="3" t="s">
        <v>2030</v>
      </c>
      <c r="H56" s="3"/>
    </row>
    <row r="57" spans="1:8">
      <c r="A57" s="3" t="s">
        <v>640</v>
      </c>
      <c r="B57" s="3" t="s">
        <v>926</v>
      </c>
      <c r="C57" s="3" t="s">
        <v>802</v>
      </c>
      <c r="D57" s="3"/>
      <c r="E57" s="3"/>
      <c r="F57" s="3"/>
      <c r="G57" s="3"/>
      <c r="H57" s="3"/>
    </row>
    <row r="58" spans="1:8">
      <c r="A58" s="3" t="s">
        <v>640</v>
      </c>
      <c r="B58" s="3" t="s">
        <v>928</v>
      </c>
      <c r="C58" s="3" t="s">
        <v>784</v>
      </c>
      <c r="D58" s="3"/>
      <c r="E58" s="3"/>
      <c r="F58" s="3"/>
      <c r="G58" s="3"/>
      <c r="H58" s="3"/>
    </row>
    <row r="59" spans="1:8">
      <c r="A59" s="3" t="s">
        <v>640</v>
      </c>
      <c r="B59" s="3" t="s">
        <v>933</v>
      </c>
      <c r="C59" s="3" t="s">
        <v>798</v>
      </c>
      <c r="D59" s="3"/>
      <c r="E59" s="3"/>
      <c r="F59" s="3"/>
      <c r="G59" s="3"/>
      <c r="H59" s="3"/>
    </row>
    <row r="60" spans="1:8">
      <c r="A60" s="3" t="s">
        <v>640</v>
      </c>
      <c r="B60" s="3" t="s">
        <v>1167</v>
      </c>
      <c r="C60" s="3" t="s">
        <v>1168</v>
      </c>
      <c r="D60" s="3"/>
      <c r="E60" s="3"/>
      <c r="F60" s="3"/>
      <c r="G60" s="3"/>
      <c r="H60" s="3"/>
    </row>
    <row r="61" spans="1:8">
      <c r="A61" s="3" t="s">
        <v>640</v>
      </c>
      <c r="B61" s="3" t="s">
        <v>1170</v>
      </c>
      <c r="C61" s="3" t="s">
        <v>1155</v>
      </c>
      <c r="D61" s="3"/>
      <c r="E61" s="3"/>
      <c r="F61" s="3"/>
      <c r="G61" s="3"/>
      <c r="H61" s="3"/>
    </row>
    <row r="62" spans="1:8">
      <c r="A62" s="3" t="s">
        <v>640</v>
      </c>
      <c r="B62" s="3" t="s">
        <v>1011</v>
      </c>
      <c r="C62" s="3" t="s">
        <v>1012</v>
      </c>
      <c r="D62" s="3" t="s">
        <v>646</v>
      </c>
      <c r="E62" s="3" t="s">
        <v>1191</v>
      </c>
      <c r="F62" s="3" t="s">
        <v>1241</v>
      </c>
      <c r="G62" s="3"/>
      <c r="H62" s="3"/>
    </row>
    <row r="63" spans="1:8">
      <c r="A63" s="3" t="s">
        <v>640</v>
      </c>
      <c r="B63" s="3" t="s">
        <v>1172</v>
      </c>
      <c r="C63" s="3" t="s">
        <v>260</v>
      </c>
      <c r="D63" s="3"/>
      <c r="E63" s="3"/>
      <c r="F63" s="3"/>
      <c r="G63" s="3" t="s">
        <v>2031</v>
      </c>
      <c r="H63" s="3"/>
    </row>
    <row r="64" spans="1:8">
      <c r="A64" s="3" t="s">
        <v>640</v>
      </c>
      <c r="B64" s="3" t="s">
        <v>1173</v>
      </c>
      <c r="C64" s="3" t="s">
        <v>1174</v>
      </c>
      <c r="D64" s="3"/>
      <c r="E64" s="3"/>
      <c r="F64" s="3"/>
      <c r="G64" s="3"/>
      <c r="H64" s="3"/>
    </row>
    <row r="65" spans="1:8">
      <c r="A65" s="3" t="s">
        <v>640</v>
      </c>
      <c r="B65" s="3" t="s">
        <v>1175</v>
      </c>
      <c r="C65" s="3" t="s">
        <v>1147</v>
      </c>
      <c r="D65" s="3"/>
      <c r="E65" s="3"/>
      <c r="F65" s="3"/>
      <c r="G65" s="3"/>
      <c r="H65" s="3"/>
    </row>
    <row r="66" spans="1:8">
      <c r="A66" s="3" t="s">
        <v>640</v>
      </c>
      <c r="B66" s="3" t="s">
        <v>945</v>
      </c>
      <c r="C66" s="3" t="s">
        <v>800</v>
      </c>
      <c r="D66" s="3"/>
      <c r="E66" s="3"/>
      <c r="F66" s="3"/>
      <c r="G66" s="3"/>
      <c r="H66" s="3"/>
    </row>
    <row r="67" spans="1:8">
      <c r="A67" s="3" t="s">
        <v>640</v>
      </c>
      <c r="B67" s="3" t="s">
        <v>946</v>
      </c>
      <c r="C67" s="3" t="s">
        <v>806</v>
      </c>
      <c r="D67" s="3"/>
      <c r="E67" s="3"/>
      <c r="F67" s="3"/>
      <c r="G67" s="3"/>
      <c r="H67" s="3"/>
    </row>
    <row r="68" spans="1:8">
      <c r="A68" s="3" t="s">
        <v>642</v>
      </c>
      <c r="B68" s="3" t="s">
        <v>984</v>
      </c>
      <c r="C68" s="3" t="s">
        <v>985</v>
      </c>
      <c r="D68" s="3"/>
      <c r="E68" s="3"/>
      <c r="F68" s="3"/>
      <c r="G68" s="3"/>
      <c r="H68" s="3"/>
    </row>
    <row r="69" spans="1:8">
      <c r="A69" s="3" t="s">
        <v>642</v>
      </c>
      <c r="B69" s="3" t="s">
        <v>1256</v>
      </c>
      <c r="C69" s="3" t="s">
        <v>1257</v>
      </c>
      <c r="D69" s="3"/>
      <c r="E69" s="3"/>
      <c r="F69" s="3"/>
      <c r="G69" s="3"/>
      <c r="H69" s="3"/>
    </row>
    <row r="70" spans="1:8">
      <c r="A70" s="3" t="s">
        <v>642</v>
      </c>
      <c r="B70" s="3" t="s">
        <v>1258</v>
      </c>
      <c r="C70" s="3" t="s">
        <v>1259</v>
      </c>
      <c r="D70" s="3"/>
      <c r="E70" s="3"/>
      <c r="F70" s="3"/>
      <c r="G70" s="3"/>
      <c r="H70" s="3"/>
    </row>
    <row r="71" spans="1:8">
      <c r="A71" s="3" t="s">
        <v>642</v>
      </c>
      <c r="B71" s="3" t="s">
        <v>922</v>
      </c>
      <c r="C71" s="3" t="s">
        <v>923</v>
      </c>
      <c r="D71" s="3"/>
      <c r="E71" s="3"/>
      <c r="F71" s="3"/>
      <c r="G71" s="3"/>
      <c r="H71" s="3"/>
    </row>
    <row r="72" spans="1:8">
      <c r="A72" s="3" t="s">
        <v>642</v>
      </c>
      <c r="B72" s="3" t="s">
        <v>924</v>
      </c>
      <c r="C72" s="3" t="s">
        <v>564</v>
      </c>
      <c r="D72" s="3"/>
      <c r="E72" s="3"/>
      <c r="F72" s="3"/>
      <c r="G72" s="3"/>
      <c r="H72" s="3"/>
    </row>
    <row r="73" spans="1:8">
      <c r="A73" s="3" t="s">
        <v>642</v>
      </c>
      <c r="B73" s="3" t="s">
        <v>926</v>
      </c>
      <c r="C73" s="3" t="s">
        <v>802</v>
      </c>
      <c r="D73" s="3"/>
      <c r="E73" s="3"/>
      <c r="F73" s="3"/>
      <c r="G73" s="3"/>
      <c r="H73" s="3"/>
    </row>
    <row r="74" spans="1:8">
      <c r="A74" s="3" t="s">
        <v>642</v>
      </c>
      <c r="B74" s="3" t="s">
        <v>928</v>
      </c>
      <c r="C74" s="3" t="s">
        <v>784</v>
      </c>
      <c r="D74" s="3"/>
      <c r="E74" s="3"/>
      <c r="F74" s="3"/>
      <c r="G74" s="3"/>
      <c r="H74" s="3"/>
    </row>
    <row r="75" spans="1:8">
      <c r="A75" s="3" t="s">
        <v>642</v>
      </c>
      <c r="B75" s="3" t="s">
        <v>933</v>
      </c>
      <c r="C75" s="3" t="s">
        <v>798</v>
      </c>
      <c r="D75" s="3"/>
      <c r="E75" s="3"/>
      <c r="F75" s="3"/>
      <c r="G75" s="3"/>
      <c r="H75" s="3"/>
    </row>
    <row r="76" spans="1:8">
      <c r="A76" s="3" t="s">
        <v>642</v>
      </c>
      <c r="B76" s="3" t="s">
        <v>1266</v>
      </c>
      <c r="C76" s="3" t="s">
        <v>1267</v>
      </c>
      <c r="D76" s="3"/>
      <c r="E76" s="3"/>
      <c r="F76" s="3"/>
      <c r="G76" s="3"/>
      <c r="H76" s="3"/>
    </row>
    <row r="77" spans="1:8">
      <c r="A77" s="3" t="s">
        <v>642</v>
      </c>
      <c r="B77" s="3" t="s">
        <v>1268</v>
      </c>
      <c r="C77" s="3" t="s">
        <v>1269</v>
      </c>
      <c r="D77" s="3"/>
      <c r="E77" s="3"/>
      <c r="F77" s="3"/>
      <c r="G77" s="3"/>
      <c r="H77" s="3"/>
    </row>
    <row r="78" spans="1:8">
      <c r="A78" s="3" t="s">
        <v>642</v>
      </c>
      <c r="B78" s="3" t="s">
        <v>1270</v>
      </c>
      <c r="C78" s="3" t="s">
        <v>1271</v>
      </c>
      <c r="D78" s="3"/>
      <c r="E78" s="3"/>
      <c r="F78" s="3"/>
      <c r="G78" s="3"/>
      <c r="H78" s="3"/>
    </row>
    <row r="79" spans="1:8">
      <c r="A79" s="3" t="s">
        <v>642</v>
      </c>
      <c r="B79" s="3" t="s">
        <v>1272</v>
      </c>
      <c r="C79" s="3" t="s">
        <v>1273</v>
      </c>
      <c r="D79" s="3"/>
      <c r="E79" s="3"/>
      <c r="F79" s="3"/>
      <c r="G79" s="3"/>
      <c r="H79" s="3"/>
    </row>
    <row r="80" spans="1:8">
      <c r="A80" s="3" t="s">
        <v>642</v>
      </c>
      <c r="B80" s="3" t="s">
        <v>1172</v>
      </c>
      <c r="C80" s="3" t="s">
        <v>260</v>
      </c>
      <c r="D80" s="3" t="s">
        <v>640</v>
      </c>
      <c r="E80" s="3" t="s">
        <v>1138</v>
      </c>
      <c r="F80" s="3" t="s">
        <v>1990</v>
      </c>
      <c r="G80" s="3"/>
      <c r="H80" s="3"/>
    </row>
    <row r="81" spans="1:8">
      <c r="A81" s="3" t="s">
        <v>642</v>
      </c>
      <c r="B81" s="3" t="s">
        <v>1274</v>
      </c>
      <c r="C81" s="3" t="s">
        <v>1275</v>
      </c>
      <c r="D81" s="3"/>
      <c r="E81" s="3"/>
      <c r="F81" s="3"/>
      <c r="G81" s="3"/>
      <c r="H81" s="3"/>
    </row>
    <row r="82" spans="1:8">
      <c r="A82" s="3" t="s">
        <v>642</v>
      </c>
      <c r="B82" s="3" t="s">
        <v>1276</v>
      </c>
      <c r="C82" s="3" t="s">
        <v>1277</v>
      </c>
      <c r="D82" s="3"/>
      <c r="E82" s="3"/>
      <c r="F82" s="3"/>
      <c r="G82" s="3" t="s">
        <v>2032</v>
      </c>
      <c r="H82" s="3"/>
    </row>
    <row r="83" spans="1:8">
      <c r="A83" s="3" t="s">
        <v>642</v>
      </c>
      <c r="B83" s="3" t="s">
        <v>1278</v>
      </c>
      <c r="C83" s="3" t="s">
        <v>1279</v>
      </c>
      <c r="D83" s="3"/>
      <c r="E83" s="3"/>
      <c r="F83" s="3"/>
      <c r="G83" s="3"/>
      <c r="H83" s="3"/>
    </row>
    <row r="84" spans="1:8">
      <c r="A84" s="3" t="s">
        <v>642</v>
      </c>
      <c r="B84" s="3" t="s">
        <v>1280</v>
      </c>
      <c r="C84" s="3" t="s">
        <v>1281</v>
      </c>
      <c r="D84" s="3"/>
      <c r="E84" s="3"/>
      <c r="F84" s="3"/>
      <c r="G84" s="3"/>
      <c r="H84" s="3"/>
    </row>
    <row r="85" spans="1:8">
      <c r="A85" s="3" t="s">
        <v>642</v>
      </c>
      <c r="B85" s="3" t="s">
        <v>1283</v>
      </c>
      <c r="C85" s="3" t="s">
        <v>1284</v>
      </c>
      <c r="D85" s="3"/>
      <c r="E85" s="3"/>
      <c r="F85" s="3"/>
      <c r="G85" s="3"/>
      <c r="H85" s="3"/>
    </row>
    <row r="86" spans="1:8">
      <c r="A86" s="3" t="s">
        <v>642</v>
      </c>
      <c r="B86" s="3" t="s">
        <v>1285</v>
      </c>
      <c r="C86" s="3" t="s">
        <v>1286</v>
      </c>
      <c r="D86" s="3"/>
      <c r="E86" s="3"/>
      <c r="F86" s="3"/>
      <c r="G86" s="3"/>
      <c r="H86" s="3"/>
    </row>
    <row r="87" spans="1:8">
      <c r="A87" s="3" t="s">
        <v>642</v>
      </c>
      <c r="B87" s="3" t="s">
        <v>1287</v>
      </c>
      <c r="C87" s="3" t="s">
        <v>1288</v>
      </c>
      <c r="D87" s="3"/>
      <c r="E87" s="3"/>
      <c r="F87" s="3"/>
      <c r="G87" s="3"/>
      <c r="H87" s="3"/>
    </row>
    <row r="88" spans="1:8">
      <c r="A88" s="3" t="s">
        <v>642</v>
      </c>
      <c r="B88" s="3" t="s">
        <v>1289</v>
      </c>
      <c r="C88" s="3" t="s">
        <v>1290</v>
      </c>
      <c r="D88" s="3"/>
      <c r="E88" s="3"/>
      <c r="F88" s="3"/>
      <c r="G88" s="3"/>
      <c r="H88" s="3"/>
    </row>
    <row r="89" spans="1:8">
      <c r="A89" s="3" t="s">
        <v>642</v>
      </c>
      <c r="B89" s="3" t="s">
        <v>1291</v>
      </c>
      <c r="C89" s="3" t="s">
        <v>1292</v>
      </c>
      <c r="D89" s="3"/>
      <c r="E89" s="3"/>
      <c r="F89" s="3"/>
      <c r="G89" s="3"/>
      <c r="H89" s="3"/>
    </row>
    <row r="90" spans="1:8">
      <c r="A90" s="3" t="s">
        <v>642</v>
      </c>
      <c r="B90" s="3" t="s">
        <v>945</v>
      </c>
      <c r="C90" s="3" t="s">
        <v>800</v>
      </c>
      <c r="D90" s="3"/>
      <c r="E90" s="3"/>
      <c r="F90" s="3"/>
      <c r="G90" s="3"/>
      <c r="H90" s="3"/>
    </row>
    <row r="91" spans="1:8">
      <c r="A91" s="3" t="s">
        <v>642</v>
      </c>
      <c r="B91" s="3" t="s">
        <v>1049</v>
      </c>
      <c r="C91" s="3" t="s">
        <v>1050</v>
      </c>
      <c r="D91" s="3"/>
      <c r="E91" s="3"/>
      <c r="F91" s="3"/>
      <c r="G91" s="3"/>
      <c r="H91" s="3"/>
    </row>
    <row r="92" spans="1:8">
      <c r="A92" s="3" t="s">
        <v>642</v>
      </c>
      <c r="B92" s="3" t="s">
        <v>1293</v>
      </c>
      <c r="C92" s="3" t="s">
        <v>1294</v>
      </c>
      <c r="D92" s="3"/>
      <c r="E92" s="3"/>
      <c r="F92" s="3"/>
      <c r="G92" s="3"/>
      <c r="H92" s="3"/>
    </row>
    <row r="93" spans="1:8">
      <c r="A93" s="3" t="s">
        <v>642</v>
      </c>
      <c r="B93" s="3" t="s">
        <v>946</v>
      </c>
      <c r="C93" s="3" t="s">
        <v>806</v>
      </c>
      <c r="D93" s="3"/>
      <c r="E93" s="3"/>
      <c r="F93" s="3"/>
      <c r="G93" s="3"/>
      <c r="H93" s="3"/>
    </row>
    <row r="94" spans="1:8">
      <c r="A94" s="3" t="s">
        <v>631</v>
      </c>
      <c r="B94" s="3" t="s">
        <v>924</v>
      </c>
      <c r="C94" s="3" t="s">
        <v>564</v>
      </c>
      <c r="D94" s="3"/>
      <c r="E94" s="3"/>
      <c r="F94" s="3"/>
      <c r="G94" s="3"/>
      <c r="H94" s="3"/>
    </row>
    <row r="95" spans="1:8">
      <c r="A95" s="3" t="s">
        <v>631</v>
      </c>
      <c r="B95" s="3" t="s">
        <v>928</v>
      </c>
      <c r="C95" s="3" t="s">
        <v>784</v>
      </c>
      <c r="D95" s="3"/>
      <c r="E95" s="3"/>
      <c r="F95" s="3"/>
      <c r="G95" s="3"/>
      <c r="H95" s="3"/>
    </row>
    <row r="96" spans="1:8">
      <c r="A96" s="3" t="s">
        <v>631</v>
      </c>
      <c r="B96" s="3" t="s">
        <v>1296</v>
      </c>
      <c r="C96" s="3" t="s">
        <v>1297</v>
      </c>
      <c r="D96" s="3"/>
      <c r="E96" s="3"/>
      <c r="F96" s="3"/>
      <c r="G96" s="3"/>
      <c r="H96" s="3"/>
    </row>
    <row r="97" spans="1:8">
      <c r="A97" s="3" t="s">
        <v>631</v>
      </c>
      <c r="B97" s="3" t="s">
        <v>933</v>
      </c>
      <c r="C97" s="3" t="s">
        <v>798</v>
      </c>
      <c r="D97" s="3"/>
      <c r="E97" s="3"/>
      <c r="F97" s="3"/>
      <c r="G97" s="3"/>
      <c r="H97" s="3"/>
    </row>
    <row r="98" spans="1:8">
      <c r="A98" s="3" t="s">
        <v>631</v>
      </c>
      <c r="B98" s="3" t="s">
        <v>1298</v>
      </c>
      <c r="C98" s="3" t="s">
        <v>1299</v>
      </c>
      <c r="D98" s="3"/>
      <c r="E98" s="3"/>
      <c r="F98" s="3"/>
      <c r="G98" s="3"/>
      <c r="H98" s="3"/>
    </row>
    <row r="99" spans="1:8">
      <c r="A99" s="3" t="s">
        <v>631</v>
      </c>
      <c r="B99" s="3" t="s">
        <v>1276</v>
      </c>
      <c r="C99" s="3" t="s">
        <v>1277</v>
      </c>
      <c r="D99" s="3" t="s">
        <v>642</v>
      </c>
      <c r="E99" s="3" t="s">
        <v>1261</v>
      </c>
      <c r="F99" s="3"/>
      <c r="G99" s="3"/>
      <c r="H99" s="3"/>
    </row>
    <row r="100" spans="1:8" ht="51.75">
      <c r="A100" s="3" t="s">
        <v>631</v>
      </c>
      <c r="B100" s="3" t="s">
        <v>1301</v>
      </c>
      <c r="C100" s="3" t="s">
        <v>1302</v>
      </c>
      <c r="D100" s="259" t="s">
        <v>2033</v>
      </c>
      <c r="E100" s="259" t="s">
        <v>2011</v>
      </c>
      <c r="F100" s="3"/>
      <c r="G100" s="3" t="s">
        <v>2034</v>
      </c>
      <c r="H100" s="3"/>
    </row>
    <row r="101" spans="1:8">
      <c r="A101" s="3" t="s">
        <v>631</v>
      </c>
      <c r="B101" s="3" t="s">
        <v>1303</v>
      </c>
      <c r="C101" s="3" t="s">
        <v>1304</v>
      </c>
      <c r="D101" s="3"/>
      <c r="E101" s="3"/>
      <c r="F101" s="3"/>
      <c r="G101" s="3"/>
      <c r="H101" s="3"/>
    </row>
    <row r="102" spans="1:8">
      <c r="A102" s="3" t="s">
        <v>631</v>
      </c>
      <c r="B102" s="3" t="s">
        <v>1305</v>
      </c>
      <c r="C102" s="3" t="s">
        <v>1306</v>
      </c>
      <c r="D102" s="3"/>
      <c r="E102" s="3"/>
      <c r="F102" s="3"/>
      <c r="G102" s="3"/>
      <c r="H102" s="3"/>
    </row>
    <row r="103" spans="1:8">
      <c r="A103" s="3" t="s">
        <v>631</v>
      </c>
      <c r="B103" s="3" t="s">
        <v>1307</v>
      </c>
      <c r="C103" s="3" t="s">
        <v>1308</v>
      </c>
      <c r="D103" s="3"/>
      <c r="E103" s="3"/>
      <c r="F103" s="3"/>
      <c r="G103" s="3"/>
      <c r="H103" s="3"/>
    </row>
    <row r="104" spans="1:8">
      <c r="A104" s="3" t="s">
        <v>631</v>
      </c>
      <c r="B104" s="3" t="s">
        <v>1309</v>
      </c>
      <c r="C104" s="3" t="s">
        <v>295</v>
      </c>
      <c r="D104" s="3"/>
      <c r="E104" s="3"/>
      <c r="F104" s="3"/>
      <c r="G104" s="3"/>
      <c r="H104" s="3"/>
    </row>
    <row r="105" spans="1:8">
      <c r="A105" s="3" t="s">
        <v>631</v>
      </c>
      <c r="B105" s="3" t="s">
        <v>1310</v>
      </c>
      <c r="C105" s="3" t="s">
        <v>1311</v>
      </c>
      <c r="D105" s="3"/>
      <c r="E105" s="3"/>
      <c r="F105" s="3"/>
      <c r="G105" s="3"/>
      <c r="H105" s="3"/>
    </row>
    <row r="106" spans="1:8">
      <c r="A106" s="3" t="s">
        <v>631</v>
      </c>
      <c r="B106" s="3" t="s">
        <v>1312</v>
      </c>
      <c r="C106" s="3" t="s">
        <v>1313</v>
      </c>
      <c r="D106" s="3"/>
      <c r="E106" s="3"/>
      <c r="F106" s="3"/>
      <c r="G106" s="3"/>
      <c r="H106" s="3"/>
    </row>
    <row r="107" spans="1:8">
      <c r="A107" s="3" t="s">
        <v>631</v>
      </c>
      <c r="B107" s="3" t="s">
        <v>1314</v>
      </c>
      <c r="C107" s="3" t="s">
        <v>1315</v>
      </c>
      <c r="D107" s="3"/>
      <c r="E107" s="3"/>
      <c r="F107" s="3"/>
      <c r="G107" s="3"/>
      <c r="H107" s="3"/>
    </row>
    <row r="108" spans="1:8">
      <c r="A108" s="3" t="s">
        <v>631</v>
      </c>
      <c r="B108" s="3" t="s">
        <v>1316</v>
      </c>
      <c r="C108" s="3" t="s">
        <v>1317</v>
      </c>
      <c r="D108" s="3"/>
      <c r="E108" s="3"/>
      <c r="F108" s="3"/>
      <c r="G108" s="3"/>
      <c r="H108" s="3"/>
    </row>
    <row r="109" spans="1:8">
      <c r="A109" s="3" t="s">
        <v>631</v>
      </c>
      <c r="B109" s="3" t="s">
        <v>1318</v>
      </c>
      <c r="C109" s="3" t="s">
        <v>1319</v>
      </c>
      <c r="D109" s="3"/>
      <c r="E109" s="3"/>
      <c r="F109" s="3"/>
      <c r="G109" s="3"/>
      <c r="H109" s="3"/>
    </row>
    <row r="110" spans="1:8">
      <c r="A110" s="3" t="s">
        <v>631</v>
      </c>
      <c r="B110" s="3" t="s">
        <v>1320</v>
      </c>
      <c r="C110" s="3" t="s">
        <v>1321</v>
      </c>
      <c r="D110" s="3"/>
      <c r="E110" s="3"/>
      <c r="F110" s="3"/>
      <c r="G110" s="3"/>
      <c r="H110" s="3"/>
    </row>
    <row r="111" spans="1:8">
      <c r="A111" s="3" t="s">
        <v>631</v>
      </c>
      <c r="B111" s="3" t="s">
        <v>1322</v>
      </c>
      <c r="C111" s="3" t="s">
        <v>1323</v>
      </c>
      <c r="D111" s="3"/>
      <c r="E111" s="3"/>
      <c r="F111" s="3"/>
      <c r="G111" s="3"/>
      <c r="H111" s="3"/>
    </row>
    <row r="112" spans="1:8">
      <c r="A112" s="3" t="s">
        <v>631</v>
      </c>
      <c r="B112" s="3" t="s">
        <v>1324</v>
      </c>
      <c r="C112" s="3" t="s">
        <v>1325</v>
      </c>
      <c r="D112" s="3"/>
      <c r="E112" s="3"/>
      <c r="F112" s="3"/>
      <c r="G112" s="3"/>
      <c r="H112" s="3"/>
    </row>
    <row r="113" spans="1:8">
      <c r="A113" s="3" t="s">
        <v>631</v>
      </c>
      <c r="B113" s="3" t="s">
        <v>1326</v>
      </c>
      <c r="C113" s="3" t="s">
        <v>1327</v>
      </c>
      <c r="D113" s="3"/>
      <c r="E113" s="3"/>
      <c r="F113" s="3"/>
      <c r="G113" s="3"/>
      <c r="H113" s="3"/>
    </row>
    <row r="114" spans="1:8">
      <c r="A114" s="3" t="s">
        <v>631</v>
      </c>
      <c r="B114" s="3" t="s">
        <v>1328</v>
      </c>
      <c r="C114" s="3" t="s">
        <v>1329</v>
      </c>
      <c r="D114" s="3"/>
      <c r="E114" s="3"/>
      <c r="F114" s="3"/>
      <c r="G114" s="3"/>
      <c r="H114" s="3"/>
    </row>
    <row r="115" spans="1:8">
      <c r="A115" s="3" t="s">
        <v>631</v>
      </c>
      <c r="B115" s="3" t="s">
        <v>1330</v>
      </c>
      <c r="C115" s="3" t="s">
        <v>1331</v>
      </c>
      <c r="D115" s="3" t="s">
        <v>636</v>
      </c>
      <c r="E115" s="268" t="s">
        <v>2035</v>
      </c>
      <c r="F115" s="3" t="s">
        <v>1990</v>
      </c>
      <c r="G115" s="3"/>
      <c r="H115" s="3"/>
    </row>
    <row r="116" spans="1:8">
      <c r="A116" s="3" t="s">
        <v>631</v>
      </c>
      <c r="B116" s="3" t="s">
        <v>1332</v>
      </c>
      <c r="C116" s="3" t="s">
        <v>1333</v>
      </c>
      <c r="D116" s="3"/>
      <c r="E116" s="3"/>
      <c r="F116" s="3"/>
      <c r="G116" s="3"/>
      <c r="H116" s="3"/>
    </row>
    <row r="117" spans="1:8">
      <c r="A117" s="3" t="s">
        <v>631</v>
      </c>
      <c r="B117" s="3" t="s">
        <v>1334</v>
      </c>
      <c r="C117" s="3" t="s">
        <v>1335</v>
      </c>
      <c r="D117" s="3"/>
      <c r="E117" s="3"/>
      <c r="F117" s="3"/>
      <c r="G117" s="3"/>
      <c r="H117" s="3"/>
    </row>
    <row r="118" spans="1:8">
      <c r="A118" s="3" t="s">
        <v>631</v>
      </c>
      <c r="B118" s="3" t="s">
        <v>1336</v>
      </c>
      <c r="C118" s="3" t="s">
        <v>1337</v>
      </c>
      <c r="D118" s="3"/>
      <c r="E118" s="3"/>
      <c r="F118" s="3"/>
      <c r="G118" s="3"/>
      <c r="H118" s="3"/>
    </row>
    <row r="119" spans="1:8">
      <c r="A119" s="3" t="s">
        <v>631</v>
      </c>
      <c r="B119" s="3" t="s">
        <v>945</v>
      </c>
      <c r="C119" s="3" t="s">
        <v>800</v>
      </c>
      <c r="D119" s="3"/>
      <c r="E119" s="3"/>
      <c r="F119" s="3"/>
      <c r="G119" s="3"/>
      <c r="H119" s="3"/>
    </row>
    <row r="120" spans="1:8">
      <c r="A120" s="3" t="s">
        <v>631</v>
      </c>
      <c r="B120" s="3" t="s">
        <v>1338</v>
      </c>
      <c r="C120" s="3" t="s">
        <v>1339</v>
      </c>
      <c r="D120" s="3"/>
      <c r="E120" s="3"/>
      <c r="F120" s="3"/>
      <c r="G120" s="3"/>
      <c r="H120" s="3"/>
    </row>
    <row r="121" spans="1:8">
      <c r="A121" s="3" t="s">
        <v>631</v>
      </c>
      <c r="B121" s="3" t="s">
        <v>946</v>
      </c>
      <c r="C121" s="3" t="s">
        <v>806</v>
      </c>
      <c r="D121" s="3"/>
      <c r="E121" s="3"/>
      <c r="F121" s="3"/>
      <c r="G121" s="3"/>
      <c r="H121" s="3"/>
    </row>
    <row r="122" spans="1:8">
      <c r="A122" s="3" t="s">
        <v>636</v>
      </c>
      <c r="B122" s="3" t="s">
        <v>924</v>
      </c>
      <c r="C122" s="3" t="s">
        <v>564</v>
      </c>
      <c r="D122" s="3"/>
      <c r="E122" s="3"/>
      <c r="F122" s="3"/>
      <c r="G122" s="3" t="s">
        <v>2036</v>
      </c>
      <c r="H122" s="3"/>
    </row>
    <row r="123" spans="1:8">
      <c r="A123" s="3" t="s">
        <v>636</v>
      </c>
      <c r="B123" s="3" t="s">
        <v>926</v>
      </c>
      <c r="C123" s="3" t="s">
        <v>802</v>
      </c>
      <c r="D123" s="3"/>
      <c r="E123" s="3"/>
      <c r="F123" s="3"/>
      <c r="G123" s="3"/>
      <c r="H123" s="3"/>
    </row>
    <row r="124" spans="1:8">
      <c r="A124" s="3" t="s">
        <v>636</v>
      </c>
      <c r="B124" s="3" t="s">
        <v>928</v>
      </c>
      <c r="C124" s="3" t="s">
        <v>784</v>
      </c>
      <c r="D124" s="3"/>
      <c r="E124" s="3"/>
      <c r="F124" s="3"/>
      <c r="G124" s="3"/>
      <c r="H124" s="3"/>
    </row>
    <row r="125" spans="1:8">
      <c r="A125" s="3" t="s">
        <v>636</v>
      </c>
      <c r="B125" s="3" t="s">
        <v>933</v>
      </c>
      <c r="C125" s="3" t="s">
        <v>798</v>
      </c>
      <c r="D125" s="3"/>
      <c r="E125" s="3"/>
      <c r="F125" s="3"/>
      <c r="G125" s="3"/>
      <c r="H125" s="3"/>
    </row>
    <row r="126" spans="1:8">
      <c r="A126" s="3" t="s">
        <v>636</v>
      </c>
      <c r="B126" s="3" t="s">
        <v>1398</v>
      </c>
      <c r="C126" s="3" t="s">
        <v>1399</v>
      </c>
      <c r="D126" s="3"/>
      <c r="E126" s="3"/>
      <c r="F126" s="3"/>
      <c r="G126" s="3"/>
      <c r="H126" s="3"/>
    </row>
    <row r="127" spans="1:8">
      <c r="A127" s="3" t="s">
        <v>636</v>
      </c>
      <c r="B127" s="3" t="s">
        <v>1400</v>
      </c>
      <c r="C127" s="3" t="s">
        <v>1401</v>
      </c>
      <c r="D127" s="3"/>
      <c r="E127" s="3"/>
      <c r="F127" s="3"/>
      <c r="G127" s="3"/>
      <c r="H127" s="3"/>
    </row>
    <row r="128" spans="1:8">
      <c r="A128" s="3" t="s">
        <v>636</v>
      </c>
      <c r="B128" s="3" t="s">
        <v>1402</v>
      </c>
      <c r="C128" s="3" t="s">
        <v>1403</v>
      </c>
      <c r="D128" s="3"/>
      <c r="E128" s="3"/>
      <c r="F128" s="3"/>
      <c r="G128" s="3"/>
      <c r="H128" s="3"/>
    </row>
    <row r="129" spans="1:8">
      <c r="A129" s="3" t="s">
        <v>636</v>
      </c>
      <c r="B129" s="3" t="s">
        <v>939</v>
      </c>
      <c r="C129" s="3" t="s">
        <v>821</v>
      </c>
      <c r="D129" s="3"/>
      <c r="E129" s="3"/>
      <c r="F129" s="3"/>
      <c r="G129" s="3"/>
      <c r="H129" s="3"/>
    </row>
    <row r="130" spans="1:8">
      <c r="A130" s="3" t="s">
        <v>636</v>
      </c>
      <c r="B130" s="3" t="s">
        <v>940</v>
      </c>
      <c r="C130" s="3" t="s">
        <v>818</v>
      </c>
      <c r="D130" s="3"/>
      <c r="E130" s="3"/>
      <c r="F130" s="3"/>
      <c r="G130" s="3"/>
      <c r="H130" s="3"/>
    </row>
    <row r="131" spans="1:8">
      <c r="A131" s="3" t="s">
        <v>636</v>
      </c>
      <c r="B131" s="3" t="s">
        <v>1405</v>
      </c>
      <c r="C131" s="3" t="s">
        <v>1406</v>
      </c>
      <c r="D131" s="3"/>
      <c r="E131" s="3"/>
      <c r="F131" s="3"/>
      <c r="G131" s="3"/>
      <c r="H131" s="3"/>
    </row>
    <row r="132" spans="1:8">
      <c r="A132" s="3" t="s">
        <v>636</v>
      </c>
      <c r="B132" s="3" t="s">
        <v>1407</v>
      </c>
      <c r="C132" s="3" t="s">
        <v>1408</v>
      </c>
      <c r="D132" s="3"/>
      <c r="E132" s="3"/>
      <c r="F132" s="3"/>
      <c r="G132" s="3" t="s">
        <v>2037</v>
      </c>
      <c r="H132" s="3"/>
    </row>
    <row r="133" spans="1:8">
      <c r="A133" s="3" t="s">
        <v>636</v>
      </c>
      <c r="B133" s="3" t="s">
        <v>1409</v>
      </c>
      <c r="C133" s="3" t="s">
        <v>1410</v>
      </c>
      <c r="D133" s="3" t="s">
        <v>631</v>
      </c>
      <c r="E133" s="3" t="s">
        <v>1446</v>
      </c>
      <c r="F133" s="3" t="s">
        <v>1990</v>
      </c>
      <c r="G133" s="3" t="s">
        <v>2038</v>
      </c>
      <c r="H133" s="3"/>
    </row>
    <row r="134" spans="1:8">
      <c r="A134" s="3" t="s">
        <v>636</v>
      </c>
      <c r="B134" s="3" t="s">
        <v>1298</v>
      </c>
      <c r="C134" s="3" t="s">
        <v>1299</v>
      </c>
      <c r="D134" s="3"/>
      <c r="E134" s="3"/>
      <c r="F134" s="3"/>
      <c r="G134" s="3"/>
      <c r="H134" s="3"/>
    </row>
    <row r="135" spans="1:8">
      <c r="A135" s="3" t="s">
        <v>636</v>
      </c>
      <c r="B135" s="3" t="s">
        <v>1276</v>
      </c>
      <c r="C135" s="3" t="s">
        <v>1277</v>
      </c>
      <c r="D135" s="3"/>
      <c r="E135" s="3"/>
      <c r="F135" s="3"/>
      <c r="G135" s="3"/>
      <c r="H135" s="3"/>
    </row>
    <row r="136" spans="1:8">
      <c r="A136" s="3" t="s">
        <v>636</v>
      </c>
      <c r="B136" s="3" t="s">
        <v>1411</v>
      </c>
      <c r="C136" s="3" t="s">
        <v>1412</v>
      </c>
      <c r="D136" s="3"/>
      <c r="E136" s="3"/>
      <c r="F136" s="3"/>
      <c r="G136" s="3"/>
      <c r="H136" s="3"/>
    </row>
    <row r="137" spans="1:8">
      <c r="A137" s="3" t="s">
        <v>636</v>
      </c>
      <c r="B137" s="3" t="s">
        <v>1413</v>
      </c>
      <c r="C137" s="3" t="s">
        <v>1414</v>
      </c>
      <c r="D137" s="3"/>
      <c r="E137" s="3"/>
      <c r="F137" s="3"/>
      <c r="G137" s="3"/>
      <c r="H137" s="3"/>
    </row>
    <row r="138" spans="1:8">
      <c r="A138" s="3" t="s">
        <v>636</v>
      </c>
      <c r="B138" s="3" t="s">
        <v>1415</v>
      </c>
      <c r="C138" s="3" t="s">
        <v>1416</v>
      </c>
      <c r="D138" s="3"/>
      <c r="E138" s="3"/>
      <c r="F138" s="3"/>
      <c r="G138" s="3"/>
      <c r="H138" s="3"/>
    </row>
    <row r="139" spans="1:8">
      <c r="A139" s="3" t="s">
        <v>636</v>
      </c>
      <c r="B139" s="3" t="s">
        <v>943</v>
      </c>
      <c r="C139" s="3" t="s">
        <v>823</v>
      </c>
      <c r="D139" s="3"/>
      <c r="E139" s="3"/>
      <c r="F139" s="3"/>
      <c r="G139" s="3"/>
      <c r="H139" s="3"/>
    </row>
    <row r="140" spans="1:8">
      <c r="A140" s="3" t="s">
        <v>636</v>
      </c>
      <c r="B140" s="3" t="s">
        <v>945</v>
      </c>
      <c r="C140" s="3" t="s">
        <v>800</v>
      </c>
      <c r="D140" s="3"/>
      <c r="E140" s="3"/>
      <c r="F140" s="3"/>
      <c r="G140" s="3"/>
      <c r="H140" s="3"/>
    </row>
    <row r="141" spans="1:8">
      <c r="A141" s="3" t="s">
        <v>636</v>
      </c>
      <c r="B141" s="3" t="s">
        <v>1049</v>
      </c>
      <c r="C141" s="3" t="s">
        <v>1050</v>
      </c>
      <c r="D141" s="3"/>
      <c r="E141" s="3"/>
      <c r="F141" s="3"/>
      <c r="G141" s="3"/>
      <c r="H141" s="3"/>
    </row>
    <row r="142" spans="1:8">
      <c r="A142" s="3" t="s">
        <v>636</v>
      </c>
      <c r="B142" s="3" t="s">
        <v>1417</v>
      </c>
      <c r="C142" s="3" t="s">
        <v>1418</v>
      </c>
      <c r="D142" s="3"/>
      <c r="E142" s="3"/>
      <c r="F142" s="3"/>
      <c r="G142" s="3"/>
      <c r="H142" s="3"/>
    </row>
    <row r="143" spans="1:8">
      <c r="A143" s="3" t="s">
        <v>636</v>
      </c>
      <c r="B143" s="3" t="s">
        <v>946</v>
      </c>
      <c r="C143" s="3" t="s">
        <v>806</v>
      </c>
      <c r="D143" s="3"/>
      <c r="E143" s="3"/>
      <c r="F143" s="3"/>
      <c r="G143" s="3"/>
      <c r="H143" s="3"/>
    </row>
    <row r="146" spans="1:1" ht="409.5">
      <c r="A146" s="78" t="s">
        <v>2039</v>
      </c>
    </row>
  </sheetData>
  <hyperlinks>
    <hyperlink ref="A1" location="Summary!A1" display="Summary" xr:uid="{CFB392CB-DF71-4538-B09B-59CDA33E136F}"/>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95A4-0744-4C03-9DF7-585E8993F3BA}">
  <dimension ref="A1:H28"/>
  <sheetViews>
    <sheetView zoomScaleNormal="100" workbookViewId="0">
      <selection activeCell="B1" sqref="B1"/>
    </sheetView>
  </sheetViews>
  <sheetFormatPr defaultColWidth="36.42578125" defaultRowHeight="15"/>
  <cols>
    <col min="1" max="1" width="36.7109375" bestFit="1" customWidth="1"/>
  </cols>
  <sheetData>
    <row r="1" spans="1:8">
      <c r="B1" s="1" t="s">
        <v>773</v>
      </c>
      <c r="C1" s="44"/>
    </row>
    <row r="2" spans="1:8">
      <c r="B2" s="40" t="s">
        <v>2040</v>
      </c>
      <c r="C2" s="44"/>
    </row>
    <row r="3" spans="1:8">
      <c r="B3" s="40" t="s">
        <v>1075</v>
      </c>
      <c r="C3" s="44"/>
    </row>
    <row r="4" spans="1:8">
      <c r="B4" s="40" t="s">
        <v>1077</v>
      </c>
      <c r="C4" s="44" t="str">
        <f>Summary!I127</f>
        <v>Lennice</v>
      </c>
    </row>
    <row r="7" spans="1:8">
      <c r="A7" s="89" t="s">
        <v>550</v>
      </c>
      <c r="B7" s="89" t="s">
        <v>775</v>
      </c>
      <c r="C7" s="145" t="s">
        <v>776</v>
      </c>
      <c r="D7" s="89" t="s">
        <v>918</v>
      </c>
      <c r="E7" s="89" t="s">
        <v>778</v>
      </c>
      <c r="F7" s="90" t="s">
        <v>779</v>
      </c>
      <c r="G7" s="90" t="s">
        <v>568</v>
      </c>
      <c r="H7" s="90" t="s">
        <v>780</v>
      </c>
    </row>
    <row r="8" spans="1:8">
      <c r="A8" s="3" t="s">
        <v>649</v>
      </c>
      <c r="B8" s="3" t="s">
        <v>924</v>
      </c>
      <c r="C8" s="3" t="s">
        <v>564</v>
      </c>
      <c r="D8" s="3"/>
      <c r="E8" s="3"/>
      <c r="F8" s="3"/>
      <c r="G8" s="3"/>
      <c r="H8" s="3"/>
    </row>
    <row r="9" spans="1:8">
      <c r="A9" s="3" t="s">
        <v>649</v>
      </c>
      <c r="B9" s="3" t="s">
        <v>926</v>
      </c>
      <c r="C9" s="3" t="s">
        <v>802</v>
      </c>
      <c r="D9" s="3"/>
      <c r="E9" s="3"/>
      <c r="F9" s="3"/>
      <c r="G9" s="3"/>
      <c r="H9" s="3"/>
    </row>
    <row r="10" spans="1:8">
      <c r="A10" s="3" t="s">
        <v>649</v>
      </c>
      <c r="B10" s="3" t="s">
        <v>928</v>
      </c>
      <c r="C10" s="3" t="s">
        <v>784</v>
      </c>
      <c r="D10" s="3"/>
      <c r="E10" s="3"/>
      <c r="F10" s="3"/>
      <c r="G10" s="3"/>
      <c r="H10" s="3"/>
    </row>
    <row r="11" spans="1:8">
      <c r="A11" s="3" t="s">
        <v>649</v>
      </c>
      <c r="B11" s="3" t="s">
        <v>933</v>
      </c>
      <c r="C11" s="3" t="s">
        <v>798</v>
      </c>
      <c r="D11" s="3"/>
      <c r="E11" s="3"/>
      <c r="F11" s="3"/>
      <c r="G11" s="3"/>
      <c r="H11" s="3"/>
    </row>
    <row r="12" spans="1:8">
      <c r="A12" s="3" t="s">
        <v>649</v>
      </c>
      <c r="B12" s="3" t="s">
        <v>1011</v>
      </c>
      <c r="C12" s="3" t="s">
        <v>1012</v>
      </c>
      <c r="D12" s="3" t="s">
        <v>1255</v>
      </c>
      <c r="E12" s="3"/>
      <c r="F12" s="3"/>
      <c r="G12" s="3"/>
      <c r="H12" s="3"/>
    </row>
    <row r="13" spans="1:8">
      <c r="A13" s="3" t="s">
        <v>649</v>
      </c>
      <c r="B13" s="3" t="s">
        <v>1031</v>
      </c>
      <c r="C13" s="3" t="s">
        <v>1032</v>
      </c>
      <c r="D13" s="3" t="s">
        <v>1507</v>
      </c>
      <c r="E13" s="3"/>
      <c r="F13" s="3"/>
      <c r="G13" s="3"/>
      <c r="H13" s="3"/>
    </row>
    <row r="14" spans="1:8">
      <c r="A14" s="3" t="s">
        <v>649</v>
      </c>
      <c r="B14" s="3" t="s">
        <v>1034</v>
      </c>
      <c r="C14" s="3" t="s">
        <v>1035</v>
      </c>
      <c r="D14" s="3" t="s">
        <v>1508</v>
      </c>
      <c r="E14" s="3"/>
      <c r="F14" s="3"/>
      <c r="G14" s="3"/>
      <c r="H14" s="3"/>
    </row>
    <row r="15" spans="1:8">
      <c r="A15" s="3" t="s">
        <v>649</v>
      </c>
      <c r="B15" s="3" t="s">
        <v>1970</v>
      </c>
      <c r="C15" s="3" t="s">
        <v>1514</v>
      </c>
      <c r="D15" s="3" t="s">
        <v>2041</v>
      </c>
      <c r="E15" s="3"/>
      <c r="F15" s="3"/>
      <c r="G15" s="3"/>
      <c r="H15" s="3"/>
    </row>
    <row r="16" spans="1:8">
      <c r="A16" s="3" t="s">
        <v>649</v>
      </c>
      <c r="B16" s="3" t="s">
        <v>945</v>
      </c>
      <c r="C16" s="3" t="s">
        <v>800</v>
      </c>
      <c r="D16" s="3"/>
      <c r="E16" s="3"/>
      <c r="F16" s="3"/>
      <c r="G16" s="3"/>
      <c r="H16" s="3"/>
    </row>
    <row r="17" spans="1:8">
      <c r="A17" s="3" t="s">
        <v>649</v>
      </c>
      <c r="B17" s="3" t="s">
        <v>946</v>
      </c>
      <c r="C17" s="3" t="s">
        <v>806</v>
      </c>
      <c r="D17" s="3"/>
      <c r="E17" s="3"/>
      <c r="F17" s="3"/>
      <c r="G17" s="3"/>
      <c r="H17" s="3"/>
    </row>
    <row r="18" spans="1:8">
      <c r="A18" s="199" t="s">
        <v>640</v>
      </c>
      <c r="B18" s="199" t="s">
        <v>1146</v>
      </c>
      <c r="C18" s="200" t="s">
        <v>1351</v>
      </c>
      <c r="D18" s="200" t="s">
        <v>1352</v>
      </c>
      <c r="E18" s="200" t="s">
        <v>1172</v>
      </c>
      <c r="F18" s="200" t="s">
        <v>828</v>
      </c>
      <c r="G18" s="60"/>
      <c r="H18" s="3"/>
    </row>
    <row r="19" spans="1:8">
      <c r="A19" s="137" t="s">
        <v>640</v>
      </c>
      <c r="B19" s="137" t="s">
        <v>1191</v>
      </c>
      <c r="C19" s="25" t="s">
        <v>1353</v>
      </c>
      <c r="D19" s="25" t="s">
        <v>1352</v>
      </c>
      <c r="E19" s="25"/>
      <c r="F19" s="25" t="s">
        <v>786</v>
      </c>
      <c r="G19" s="50"/>
      <c r="H19" s="3"/>
    </row>
    <row r="20" spans="1:8" ht="25.5">
      <c r="A20" s="137" t="s">
        <v>640</v>
      </c>
      <c r="B20" s="137" t="s">
        <v>924</v>
      </c>
      <c r="C20" s="25" t="s">
        <v>564</v>
      </c>
      <c r="D20" s="25" t="s">
        <v>1352</v>
      </c>
      <c r="E20" s="25" t="s">
        <v>1242</v>
      </c>
      <c r="F20" s="25" t="s">
        <v>786</v>
      </c>
      <c r="G20" s="50" t="s">
        <v>1923</v>
      </c>
      <c r="H20" s="3"/>
    </row>
    <row r="21" spans="1:8" ht="25.5">
      <c r="A21" s="137" t="s">
        <v>642</v>
      </c>
      <c r="B21" s="137" t="s">
        <v>1261</v>
      </c>
      <c r="C21" s="137" t="s">
        <v>1277</v>
      </c>
      <c r="D21" s="137" t="s">
        <v>1300</v>
      </c>
      <c r="E21" s="137" t="s">
        <v>1172</v>
      </c>
      <c r="F21" s="137" t="s">
        <v>786</v>
      </c>
      <c r="G21" s="212" t="s">
        <v>1355</v>
      </c>
      <c r="H21" s="3"/>
    </row>
    <row r="22" spans="1:8">
      <c r="A22" s="137" t="s">
        <v>642</v>
      </c>
      <c r="B22" s="137" t="s">
        <v>1356</v>
      </c>
      <c r="C22" s="137" t="s">
        <v>1281</v>
      </c>
      <c r="D22" s="137" t="s">
        <v>1357</v>
      </c>
      <c r="E22" s="137"/>
      <c r="F22" s="137" t="s">
        <v>786</v>
      </c>
      <c r="G22" s="212"/>
      <c r="H22" s="3"/>
    </row>
    <row r="23" spans="1:8" ht="38.25">
      <c r="A23" s="137" t="s">
        <v>642</v>
      </c>
      <c r="B23" s="137" t="s">
        <v>1358</v>
      </c>
      <c r="C23" s="137" t="s">
        <v>1275</v>
      </c>
      <c r="D23" s="137" t="s">
        <v>1300</v>
      </c>
      <c r="E23" s="137"/>
      <c r="F23" s="137" t="s">
        <v>828</v>
      </c>
      <c r="G23" s="212" t="s">
        <v>1359</v>
      </c>
      <c r="H23" s="3"/>
    </row>
    <row r="24" spans="1:8" ht="38.25">
      <c r="A24" s="54" t="s">
        <v>642</v>
      </c>
      <c r="B24" s="54" t="s">
        <v>1291</v>
      </c>
      <c r="C24" s="54" t="s">
        <v>1292</v>
      </c>
      <c r="D24" s="54" t="s">
        <v>1300</v>
      </c>
      <c r="E24" s="54"/>
      <c r="F24" s="54" t="s">
        <v>828</v>
      </c>
      <c r="G24" s="54" t="s">
        <v>1359</v>
      </c>
      <c r="H24" s="3"/>
    </row>
    <row r="25" spans="1:8">
      <c r="A25" s="137" t="s">
        <v>631</v>
      </c>
      <c r="B25" s="137" t="s">
        <v>1261</v>
      </c>
      <c r="C25" s="137" t="s">
        <v>1277</v>
      </c>
      <c r="D25" s="137" t="s">
        <v>1300</v>
      </c>
      <c r="E25" s="137" t="s">
        <v>1261</v>
      </c>
      <c r="F25" s="137" t="s">
        <v>828</v>
      </c>
      <c r="G25" s="137"/>
      <c r="H25" s="137"/>
    </row>
    <row r="26" spans="1:8" ht="25.5">
      <c r="A26" s="137" t="s">
        <v>631</v>
      </c>
      <c r="B26" s="137" t="s">
        <v>1360</v>
      </c>
      <c r="C26" s="137" t="s">
        <v>1304</v>
      </c>
      <c r="D26" s="137" t="s">
        <v>1361</v>
      </c>
      <c r="E26" s="137" t="s">
        <v>2042</v>
      </c>
      <c r="F26" s="137" t="s">
        <v>828</v>
      </c>
      <c r="G26" s="137"/>
      <c r="H26" s="137"/>
    </row>
    <row r="27" spans="1:8" ht="63.75">
      <c r="A27" s="137" t="s">
        <v>631</v>
      </c>
      <c r="B27" s="137" t="s">
        <v>1364</v>
      </c>
      <c r="C27" s="137" t="s">
        <v>295</v>
      </c>
      <c r="D27" s="137" t="s">
        <v>1361</v>
      </c>
      <c r="E27" s="137" t="s">
        <v>2043</v>
      </c>
      <c r="F27" s="137" t="s">
        <v>828</v>
      </c>
      <c r="G27" s="137" t="s">
        <v>2044</v>
      </c>
      <c r="H27" s="137"/>
    </row>
    <row r="28" spans="1:8" ht="25.5">
      <c r="A28" s="137" t="s">
        <v>631</v>
      </c>
      <c r="B28" s="137" t="s">
        <v>1365</v>
      </c>
      <c r="C28" s="137" t="s">
        <v>1302</v>
      </c>
      <c r="D28" s="137" t="s">
        <v>2045</v>
      </c>
      <c r="E28" s="137" t="s">
        <v>1367</v>
      </c>
      <c r="F28" s="137" t="s">
        <v>828</v>
      </c>
      <c r="G28" s="137"/>
      <c r="H28" s="137"/>
    </row>
  </sheetData>
  <hyperlinks>
    <hyperlink ref="B1" location="Summary!A1" display="Summary" xr:uid="{89CCAB54-3763-431E-9CBD-1D059F3907D2}"/>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87F9-4D9C-4424-BCAB-225CF278EE0A}">
  <dimension ref="A1:I27"/>
  <sheetViews>
    <sheetView workbookViewId="0">
      <pane xSplit="2" ySplit="5" topLeftCell="D6" activePane="bottomRight" state="frozen"/>
      <selection pane="bottomRight" activeCell="B1" sqref="B1"/>
      <selection pane="bottomLeft" activeCell="A6" sqref="A6"/>
      <selection pane="topRight" activeCell="C1" sqref="C1"/>
    </sheetView>
  </sheetViews>
  <sheetFormatPr defaultColWidth="9.140625" defaultRowHeight="12.75"/>
  <cols>
    <col min="1" max="1" width="16" style="23" customWidth="1"/>
    <col min="2" max="2" width="30.7109375" style="23" bestFit="1" customWidth="1"/>
    <col min="3" max="3" width="19.140625" style="23" bestFit="1" customWidth="1"/>
    <col min="4" max="4" width="25.5703125" style="23" bestFit="1" customWidth="1"/>
    <col min="5" max="5" width="25.5703125" style="23" customWidth="1"/>
    <col min="6" max="6" width="9.140625" style="23"/>
    <col min="7" max="7" width="13.7109375" style="23" customWidth="1"/>
    <col min="8" max="8" width="13" style="23" bestFit="1" customWidth="1"/>
    <col min="9" max="16384" width="9.140625" style="23"/>
  </cols>
  <sheetData>
    <row r="1" spans="1:9">
      <c r="B1" s="28" t="s">
        <v>773</v>
      </c>
      <c r="C1" s="29"/>
      <c r="D1" s="29"/>
      <c r="E1" s="29"/>
      <c r="F1" s="29"/>
      <c r="G1" s="29"/>
      <c r="H1" s="29"/>
      <c r="I1" s="29"/>
    </row>
    <row r="2" spans="1:9">
      <c r="B2" s="30" t="s">
        <v>2046</v>
      </c>
      <c r="C2" s="316"/>
      <c r="D2" s="316"/>
      <c r="E2" s="316"/>
      <c r="F2" s="316"/>
      <c r="G2" s="316"/>
      <c r="H2" s="316"/>
      <c r="I2" s="316"/>
    </row>
    <row r="3" spans="1:9">
      <c r="B3" s="30" t="s">
        <v>571</v>
      </c>
      <c r="C3" s="318" t="str">
        <f>Summary!O163</f>
        <v>On a release management standpoint, wherein one query will allow us to know what is released or installed for a certain period</v>
      </c>
      <c r="D3" s="318"/>
      <c r="E3" s="318"/>
      <c r="F3" s="318"/>
      <c r="G3" s="318"/>
      <c r="H3" s="318"/>
      <c r="I3" s="318"/>
    </row>
    <row r="5" spans="1:9" ht="25.5">
      <c r="A5" s="89" t="s">
        <v>550</v>
      </c>
      <c r="B5" s="89" t="s">
        <v>775</v>
      </c>
      <c r="C5" s="89" t="s">
        <v>776</v>
      </c>
      <c r="D5" s="89" t="s">
        <v>777</v>
      </c>
      <c r="E5" s="89" t="s">
        <v>778</v>
      </c>
      <c r="F5" s="90" t="s">
        <v>779</v>
      </c>
      <c r="G5" s="90" t="s">
        <v>568</v>
      </c>
      <c r="H5" s="90" t="s">
        <v>780</v>
      </c>
    </row>
    <row r="6" spans="1:9" ht="51">
      <c r="A6" s="85" t="s">
        <v>661</v>
      </c>
      <c r="B6" s="91" t="s">
        <v>2047</v>
      </c>
      <c r="C6" s="91" t="s">
        <v>2048</v>
      </c>
      <c r="D6" s="85" t="s">
        <v>2049</v>
      </c>
      <c r="E6" s="85"/>
      <c r="F6" s="92" t="s">
        <v>804</v>
      </c>
      <c r="G6" s="92" t="s">
        <v>2050</v>
      </c>
      <c r="H6" s="85"/>
    </row>
    <row r="7" spans="1:9">
      <c r="A7" s="85" t="s">
        <v>661</v>
      </c>
      <c r="B7" s="91" t="s">
        <v>2051</v>
      </c>
      <c r="C7" s="91" t="s">
        <v>2052</v>
      </c>
      <c r="D7" s="91" t="s">
        <v>1018</v>
      </c>
      <c r="E7" s="91"/>
      <c r="F7" s="92" t="s">
        <v>786</v>
      </c>
      <c r="G7" s="92"/>
      <c r="H7" s="85"/>
    </row>
    <row r="8" spans="1:9">
      <c r="A8" s="85" t="s">
        <v>661</v>
      </c>
      <c r="B8" s="91" t="s">
        <v>783</v>
      </c>
      <c r="C8" s="91" t="s">
        <v>784</v>
      </c>
      <c r="D8" s="91" t="s">
        <v>929</v>
      </c>
      <c r="E8" s="91"/>
      <c r="F8" s="92" t="s">
        <v>786</v>
      </c>
      <c r="G8" s="92"/>
      <c r="H8" s="85"/>
    </row>
    <row r="9" spans="1:9">
      <c r="A9" s="85" t="s">
        <v>661</v>
      </c>
      <c r="B9" s="91" t="s">
        <v>787</v>
      </c>
      <c r="C9" s="91" t="s">
        <v>564</v>
      </c>
      <c r="D9" s="92" t="s">
        <v>925</v>
      </c>
      <c r="E9" s="92"/>
      <c r="F9" s="92" t="s">
        <v>786</v>
      </c>
      <c r="G9" s="92"/>
      <c r="H9" s="85"/>
    </row>
    <row r="10" spans="1:9">
      <c r="A10" s="85" t="s">
        <v>661</v>
      </c>
      <c r="B10" s="91" t="s">
        <v>799</v>
      </c>
      <c r="C10" s="91" t="s">
        <v>800</v>
      </c>
      <c r="D10" s="91" t="s">
        <v>725</v>
      </c>
      <c r="E10" s="91"/>
      <c r="F10" s="92" t="s">
        <v>725</v>
      </c>
      <c r="G10" s="92"/>
      <c r="H10" s="85"/>
    </row>
    <row r="11" spans="1:9">
      <c r="A11" s="85" t="s">
        <v>661</v>
      </c>
      <c r="B11" s="91" t="s">
        <v>797</v>
      </c>
      <c r="C11" s="91" t="s">
        <v>798</v>
      </c>
      <c r="D11" s="91" t="s">
        <v>725</v>
      </c>
      <c r="E11" s="91"/>
      <c r="F11" s="92" t="s">
        <v>725</v>
      </c>
      <c r="G11" s="92"/>
      <c r="H11" s="85"/>
    </row>
    <row r="12" spans="1:9">
      <c r="A12" s="85" t="s">
        <v>661</v>
      </c>
      <c r="B12" s="91" t="s">
        <v>1472</v>
      </c>
      <c r="C12" s="91" t="s">
        <v>1294</v>
      </c>
      <c r="D12" s="91" t="s">
        <v>977</v>
      </c>
      <c r="E12" s="91"/>
      <c r="F12" s="92" t="s">
        <v>786</v>
      </c>
      <c r="G12" s="92"/>
      <c r="H12" s="85"/>
    </row>
    <row r="13" spans="1:9" ht="25.5">
      <c r="A13" s="85" t="s">
        <v>661</v>
      </c>
      <c r="B13" s="91" t="s">
        <v>878</v>
      </c>
      <c r="C13" s="91" t="s">
        <v>879</v>
      </c>
      <c r="D13" s="91" t="s">
        <v>725</v>
      </c>
      <c r="E13" s="91"/>
      <c r="F13" s="92" t="s">
        <v>725</v>
      </c>
      <c r="G13" s="92" t="s">
        <v>2053</v>
      </c>
      <c r="H13" s="85"/>
    </row>
    <row r="14" spans="1:9">
      <c r="A14" s="85" t="s">
        <v>661</v>
      </c>
      <c r="B14" s="91" t="s">
        <v>805</v>
      </c>
      <c r="C14" s="91" t="s">
        <v>806</v>
      </c>
      <c r="D14" s="91" t="s">
        <v>725</v>
      </c>
      <c r="E14" s="91"/>
      <c r="F14" s="92" t="s">
        <v>725</v>
      </c>
      <c r="G14" s="92"/>
      <c r="H14" s="85"/>
    </row>
    <row r="15" spans="1:9">
      <c r="A15" s="85" t="s">
        <v>661</v>
      </c>
      <c r="B15" s="91" t="s">
        <v>2054</v>
      </c>
      <c r="C15" s="91" t="s">
        <v>1465</v>
      </c>
      <c r="D15" s="91" t="s">
        <v>725</v>
      </c>
      <c r="E15" s="91"/>
      <c r="F15" s="92" t="s">
        <v>725</v>
      </c>
      <c r="G15" s="92"/>
      <c r="H15" s="85"/>
    </row>
    <row r="16" spans="1:9">
      <c r="A16" s="85" t="s">
        <v>661</v>
      </c>
      <c r="B16" s="91" t="s">
        <v>2055</v>
      </c>
      <c r="C16" s="91" t="s">
        <v>2056</v>
      </c>
      <c r="D16" s="91"/>
      <c r="E16" s="91"/>
      <c r="F16" s="92"/>
      <c r="G16" s="92"/>
      <c r="H16" s="85"/>
    </row>
    <row r="17" spans="1:8" ht="51">
      <c r="A17" s="85" t="s">
        <v>2057</v>
      </c>
      <c r="B17" s="91" t="s">
        <v>2047</v>
      </c>
      <c r="C17" s="91" t="s">
        <v>2048</v>
      </c>
      <c r="D17" s="91" t="s">
        <v>725</v>
      </c>
      <c r="E17" s="91"/>
      <c r="F17" s="92" t="s">
        <v>725</v>
      </c>
      <c r="G17" s="92" t="s">
        <v>2058</v>
      </c>
      <c r="H17" s="85"/>
    </row>
    <row r="18" spans="1:8">
      <c r="A18" s="85" t="s">
        <v>2057</v>
      </c>
      <c r="B18" s="91" t="s">
        <v>2059</v>
      </c>
      <c r="C18" s="91" t="s">
        <v>1038</v>
      </c>
      <c r="D18" s="91" t="s">
        <v>725</v>
      </c>
      <c r="E18" s="91"/>
      <c r="F18" s="92" t="s">
        <v>725</v>
      </c>
      <c r="G18" s="92"/>
      <c r="H18" s="85"/>
    </row>
    <row r="19" spans="1:8">
      <c r="A19" s="85" t="s">
        <v>2057</v>
      </c>
      <c r="B19" s="91" t="s">
        <v>2060</v>
      </c>
      <c r="C19" s="91" t="s">
        <v>959</v>
      </c>
      <c r="D19" s="91" t="s">
        <v>960</v>
      </c>
      <c r="E19" s="91"/>
      <c r="F19" s="92" t="s">
        <v>786</v>
      </c>
      <c r="G19" s="92"/>
      <c r="H19" s="85"/>
    </row>
    <row r="20" spans="1:8">
      <c r="A20" s="85" t="s">
        <v>2057</v>
      </c>
      <c r="B20" s="91" t="s">
        <v>2061</v>
      </c>
      <c r="C20" s="91" t="s">
        <v>2062</v>
      </c>
      <c r="D20" s="91" t="s">
        <v>725</v>
      </c>
      <c r="E20" s="91"/>
      <c r="F20" s="92" t="s">
        <v>725</v>
      </c>
      <c r="G20" s="92"/>
      <c r="H20" s="85"/>
    </row>
    <row r="21" spans="1:8">
      <c r="A21" s="85" t="s">
        <v>2057</v>
      </c>
      <c r="B21" s="91" t="s">
        <v>2063</v>
      </c>
      <c r="C21" s="91" t="s">
        <v>963</v>
      </c>
      <c r="D21" s="91" t="s">
        <v>725</v>
      </c>
      <c r="E21" s="91"/>
      <c r="F21" s="92" t="s">
        <v>725</v>
      </c>
      <c r="G21" s="92"/>
      <c r="H21" s="85"/>
    </row>
    <row r="22" spans="1:8">
      <c r="A22" s="85" t="s">
        <v>2057</v>
      </c>
      <c r="B22" s="91" t="s">
        <v>2064</v>
      </c>
      <c r="C22" s="91" t="s">
        <v>965</v>
      </c>
      <c r="D22" s="91" t="s">
        <v>725</v>
      </c>
      <c r="E22" s="91"/>
      <c r="F22" s="92" t="s">
        <v>725</v>
      </c>
      <c r="G22" s="92"/>
      <c r="H22" s="85"/>
    </row>
    <row r="23" spans="1:8">
      <c r="A23" s="85" t="s">
        <v>2057</v>
      </c>
      <c r="B23" s="91" t="s">
        <v>2065</v>
      </c>
      <c r="C23" s="91" t="s">
        <v>967</v>
      </c>
      <c r="D23" s="91" t="s">
        <v>725</v>
      </c>
      <c r="E23" s="91"/>
      <c r="F23" s="92" t="s">
        <v>725</v>
      </c>
      <c r="G23" s="92"/>
      <c r="H23" s="85"/>
    </row>
    <row r="24" spans="1:8">
      <c r="A24" s="85" t="s">
        <v>2057</v>
      </c>
      <c r="B24" s="91" t="s">
        <v>2066</v>
      </c>
      <c r="C24" s="91" t="s">
        <v>969</v>
      </c>
      <c r="D24" s="91" t="s">
        <v>725</v>
      </c>
      <c r="E24" s="91"/>
      <c r="F24" s="92" t="s">
        <v>725</v>
      </c>
      <c r="G24" s="92"/>
      <c r="H24" s="85"/>
    </row>
    <row r="25" spans="1:8">
      <c r="A25" s="85" t="s">
        <v>2057</v>
      </c>
      <c r="B25" s="91" t="s">
        <v>2067</v>
      </c>
      <c r="C25" s="91" t="s">
        <v>971</v>
      </c>
      <c r="D25" s="91" t="s">
        <v>725</v>
      </c>
      <c r="E25" s="91"/>
      <c r="F25" s="92" t="s">
        <v>725</v>
      </c>
      <c r="G25" s="92"/>
      <c r="H25" s="85"/>
    </row>
    <row r="26" spans="1:8">
      <c r="A26" s="85" t="s">
        <v>2057</v>
      </c>
      <c r="B26" s="91" t="s">
        <v>805</v>
      </c>
      <c r="C26" s="91" t="s">
        <v>806</v>
      </c>
      <c r="D26" s="91" t="s">
        <v>725</v>
      </c>
      <c r="E26" s="91"/>
      <c r="F26" s="92" t="s">
        <v>725</v>
      </c>
      <c r="G26" s="92"/>
      <c r="H26" s="85"/>
    </row>
    <row r="27" spans="1:8">
      <c r="A27" s="85" t="s">
        <v>2057</v>
      </c>
      <c r="B27" s="91" t="s">
        <v>1472</v>
      </c>
      <c r="C27" s="91" t="s">
        <v>1294</v>
      </c>
      <c r="D27" s="91" t="s">
        <v>977</v>
      </c>
      <c r="E27" s="91"/>
      <c r="F27" s="92" t="s">
        <v>804</v>
      </c>
      <c r="G27" s="92"/>
      <c r="H27" s="85"/>
    </row>
  </sheetData>
  <autoFilter ref="A5:H5" xr:uid="{04E087F9-4D9C-4424-BCAB-225CF278EE0A}"/>
  <mergeCells count="2">
    <mergeCell ref="C2:I2"/>
    <mergeCell ref="C3:I3"/>
  </mergeCells>
  <hyperlinks>
    <hyperlink ref="B1" location="Summary!A1" display="Summary" xr:uid="{1AA7E9F5-3E66-4A6B-87FA-80CFC76CF99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F30B-CB4A-401F-B415-5CAEC8984402}">
  <dimension ref="A1:H42"/>
  <sheetViews>
    <sheetView topLeftCell="A16" workbookViewId="0">
      <selection activeCell="D40" sqref="D40"/>
    </sheetView>
  </sheetViews>
  <sheetFormatPr defaultColWidth="9.140625" defaultRowHeight="12.75"/>
  <cols>
    <col min="1" max="1" width="25.7109375" style="29" customWidth="1"/>
    <col min="2" max="2" width="22.7109375" style="29" bestFit="1" customWidth="1"/>
    <col min="3" max="3" width="27.28515625" style="29" bestFit="1" customWidth="1"/>
    <col min="4" max="4" width="25.5703125" style="29" bestFit="1" customWidth="1"/>
    <col min="5" max="5" width="25.5703125" style="29" customWidth="1"/>
    <col min="6" max="6" width="9.140625" style="29"/>
    <col min="7" max="7" width="10.7109375" style="29" customWidth="1"/>
    <col min="8" max="16384" width="9.140625" style="29"/>
  </cols>
  <sheetData>
    <row r="1" spans="1:8">
      <c r="A1" s="28" t="s">
        <v>773</v>
      </c>
    </row>
    <row r="2" spans="1:8" ht="25.5">
      <c r="A2" s="76" t="s">
        <v>2068</v>
      </c>
      <c r="B2" s="316"/>
      <c r="C2" s="316"/>
      <c r="D2" s="316"/>
      <c r="E2" s="316"/>
      <c r="F2" s="316"/>
      <c r="G2" s="316"/>
      <c r="H2" s="316"/>
    </row>
    <row r="3" spans="1:8">
      <c r="A3" s="30" t="s">
        <v>571</v>
      </c>
      <c r="B3" s="318" t="str">
        <f>Summary!O175</f>
        <v>On a release management standpoint, wherein one query will allow us to know what is released or installed for a certain period</v>
      </c>
      <c r="C3" s="318"/>
      <c r="D3" s="318"/>
      <c r="E3" s="318"/>
      <c r="F3" s="318"/>
      <c r="G3" s="318"/>
      <c r="H3" s="318"/>
    </row>
    <row r="5" spans="1:8" ht="25.5">
      <c r="A5" s="66" t="s">
        <v>550</v>
      </c>
      <c r="B5" s="66" t="s">
        <v>775</v>
      </c>
      <c r="C5" s="66" t="s">
        <v>776</v>
      </c>
      <c r="D5" s="66" t="s">
        <v>777</v>
      </c>
      <c r="E5" s="66" t="s">
        <v>778</v>
      </c>
      <c r="F5" s="70" t="s">
        <v>779</v>
      </c>
      <c r="G5" s="70" t="s">
        <v>568</v>
      </c>
      <c r="H5" s="70" t="s">
        <v>780</v>
      </c>
    </row>
    <row r="6" spans="1:8" ht="94.5">
      <c r="A6" s="101" t="s">
        <v>665</v>
      </c>
      <c r="B6" s="102" t="s">
        <v>2069</v>
      </c>
      <c r="C6" s="102" t="s">
        <v>359</v>
      </c>
      <c r="D6" s="101" t="s">
        <v>668</v>
      </c>
      <c r="E6" s="101"/>
      <c r="F6" s="103" t="s">
        <v>804</v>
      </c>
      <c r="G6" s="103" t="s">
        <v>2070</v>
      </c>
      <c r="H6" s="101"/>
    </row>
    <row r="7" spans="1:8" ht="13.5">
      <c r="A7" s="101" t="s">
        <v>665</v>
      </c>
      <c r="B7" s="102" t="s">
        <v>783</v>
      </c>
      <c r="C7" s="102" t="s">
        <v>784</v>
      </c>
      <c r="D7" s="102" t="s">
        <v>929</v>
      </c>
      <c r="E7" s="102"/>
      <c r="F7" s="103" t="s">
        <v>786</v>
      </c>
      <c r="G7" s="103"/>
      <c r="H7" s="101"/>
    </row>
    <row r="8" spans="1:8" ht="13.5">
      <c r="A8" s="101" t="s">
        <v>665</v>
      </c>
      <c r="B8" s="102" t="s">
        <v>787</v>
      </c>
      <c r="C8" s="102" t="s">
        <v>564</v>
      </c>
      <c r="D8" s="103" t="s">
        <v>925</v>
      </c>
      <c r="E8" s="103"/>
      <c r="F8" s="103" t="s">
        <v>786</v>
      </c>
      <c r="G8" s="103"/>
      <c r="H8" s="101"/>
    </row>
    <row r="9" spans="1:8" ht="13.5">
      <c r="A9" s="101" t="s">
        <v>665</v>
      </c>
      <c r="B9" s="102" t="s">
        <v>799</v>
      </c>
      <c r="C9" s="102" t="s">
        <v>800</v>
      </c>
      <c r="D9" s="102" t="s">
        <v>725</v>
      </c>
      <c r="E9" s="102"/>
      <c r="F9" s="103" t="s">
        <v>725</v>
      </c>
      <c r="G9" s="103"/>
      <c r="H9" s="101"/>
    </row>
    <row r="10" spans="1:8" ht="13.5">
      <c r="A10" s="101" t="s">
        <v>665</v>
      </c>
      <c r="B10" s="102" t="s">
        <v>2071</v>
      </c>
      <c r="C10" s="102" t="s">
        <v>802</v>
      </c>
      <c r="D10" s="102" t="s">
        <v>927</v>
      </c>
      <c r="E10" s="102"/>
      <c r="F10" s="103" t="s">
        <v>804</v>
      </c>
      <c r="G10" s="103"/>
      <c r="H10" s="101"/>
    </row>
    <row r="11" spans="1:8" ht="13.5">
      <c r="A11" s="101" t="s">
        <v>665</v>
      </c>
      <c r="B11" s="102" t="s">
        <v>2072</v>
      </c>
      <c r="C11" s="102" t="s">
        <v>2073</v>
      </c>
      <c r="D11" s="102" t="s">
        <v>2074</v>
      </c>
      <c r="E11" s="102"/>
      <c r="F11" s="103" t="s">
        <v>804</v>
      </c>
      <c r="G11" s="103"/>
      <c r="H11" s="101"/>
    </row>
    <row r="12" spans="1:8" ht="27">
      <c r="A12" s="101" t="s">
        <v>665</v>
      </c>
      <c r="B12" s="102" t="s">
        <v>878</v>
      </c>
      <c r="C12" s="102" t="s">
        <v>879</v>
      </c>
      <c r="D12" s="102" t="s">
        <v>725</v>
      </c>
      <c r="E12" s="102"/>
      <c r="F12" s="103" t="s">
        <v>725</v>
      </c>
      <c r="G12" s="103" t="s">
        <v>2075</v>
      </c>
      <c r="H12" s="101"/>
    </row>
    <row r="13" spans="1:8" ht="13.5">
      <c r="A13" s="101" t="s">
        <v>665</v>
      </c>
      <c r="B13" s="102" t="s">
        <v>2076</v>
      </c>
      <c r="C13" s="102" t="s">
        <v>2077</v>
      </c>
      <c r="D13" s="102" t="s">
        <v>725</v>
      </c>
      <c r="E13" s="102"/>
      <c r="F13" s="103" t="s">
        <v>725</v>
      </c>
      <c r="G13" s="103"/>
      <c r="H13" s="101"/>
    </row>
    <row r="14" spans="1:8" ht="13.5">
      <c r="A14" s="101" t="s">
        <v>665</v>
      </c>
      <c r="B14" s="102" t="s">
        <v>2078</v>
      </c>
      <c r="C14" s="102" t="s">
        <v>2079</v>
      </c>
      <c r="D14" s="102" t="s">
        <v>725</v>
      </c>
      <c r="E14" s="102"/>
      <c r="F14" s="103" t="s">
        <v>725</v>
      </c>
      <c r="G14" s="103"/>
      <c r="H14" s="101"/>
    </row>
    <row r="15" spans="1:8" ht="40.5">
      <c r="A15" s="101" t="s">
        <v>665</v>
      </c>
      <c r="B15" s="102" t="s">
        <v>2080</v>
      </c>
      <c r="C15" s="102" t="s">
        <v>2081</v>
      </c>
      <c r="D15" s="102" t="s">
        <v>725</v>
      </c>
      <c r="E15" s="102"/>
      <c r="F15" s="103" t="s">
        <v>725</v>
      </c>
      <c r="G15" s="103" t="s">
        <v>2082</v>
      </c>
      <c r="H15" s="101"/>
    </row>
    <row r="16" spans="1:8" ht="13.5">
      <c r="A16" s="101" t="s">
        <v>665</v>
      </c>
      <c r="B16" s="102" t="s">
        <v>2083</v>
      </c>
      <c r="C16" s="102" t="s">
        <v>2084</v>
      </c>
      <c r="D16" s="102" t="s">
        <v>925</v>
      </c>
      <c r="E16" s="102"/>
      <c r="F16" s="103" t="s">
        <v>804</v>
      </c>
      <c r="G16" s="103"/>
      <c r="H16" s="101"/>
    </row>
    <row r="17" spans="1:8" ht="13.5">
      <c r="A17" s="101" t="s">
        <v>665</v>
      </c>
      <c r="B17" s="102" t="s">
        <v>2085</v>
      </c>
      <c r="C17" s="102" t="s">
        <v>2086</v>
      </c>
      <c r="D17" s="102" t="s">
        <v>925</v>
      </c>
      <c r="E17" s="102"/>
      <c r="F17" s="103" t="s">
        <v>804</v>
      </c>
      <c r="G17" s="103"/>
      <c r="H17" s="101"/>
    </row>
    <row r="18" spans="1:8" ht="13.5">
      <c r="A18" s="101" t="s">
        <v>665</v>
      </c>
      <c r="B18" s="102" t="s">
        <v>805</v>
      </c>
      <c r="C18" s="102" t="s">
        <v>806</v>
      </c>
      <c r="D18" s="102" t="s">
        <v>725</v>
      </c>
      <c r="E18" s="102"/>
      <c r="F18" s="103" t="s">
        <v>725</v>
      </c>
      <c r="G18" s="103"/>
      <c r="H18" s="101"/>
    </row>
    <row r="19" spans="1:8" ht="13.5">
      <c r="A19" s="101" t="s">
        <v>665</v>
      </c>
      <c r="B19" s="102" t="s">
        <v>797</v>
      </c>
      <c r="C19" s="102" t="s">
        <v>798</v>
      </c>
      <c r="D19" s="102" t="s">
        <v>725</v>
      </c>
      <c r="E19" s="102"/>
      <c r="F19" s="103" t="s">
        <v>725</v>
      </c>
      <c r="G19" s="103"/>
      <c r="H19" s="101"/>
    </row>
    <row r="20" spans="1:8" ht="13.5">
      <c r="A20" s="101" t="s">
        <v>665</v>
      </c>
      <c r="B20" s="102" t="s">
        <v>1472</v>
      </c>
      <c r="C20" s="102" t="s">
        <v>1294</v>
      </c>
      <c r="D20" s="102" t="s">
        <v>977</v>
      </c>
      <c r="E20" s="102"/>
      <c r="F20" s="103" t="s">
        <v>786</v>
      </c>
      <c r="G20" s="103"/>
      <c r="H20" s="101"/>
    </row>
    <row r="21" spans="1:8" ht="13.5">
      <c r="A21" s="101" t="s">
        <v>665</v>
      </c>
      <c r="B21" s="102" t="s">
        <v>2087</v>
      </c>
      <c r="C21" s="102" t="s">
        <v>2088</v>
      </c>
      <c r="D21" s="102" t="s">
        <v>725</v>
      </c>
      <c r="E21" s="102"/>
      <c r="F21" s="103" t="s">
        <v>725</v>
      </c>
      <c r="G21" s="103"/>
      <c r="H21" s="101"/>
    </row>
    <row r="22" spans="1:8" ht="13.5">
      <c r="A22" s="101" t="s">
        <v>665</v>
      </c>
      <c r="B22" s="102" t="s">
        <v>2089</v>
      </c>
      <c r="C22" s="102" t="s">
        <v>2090</v>
      </c>
      <c r="D22" s="102" t="s">
        <v>725</v>
      </c>
      <c r="E22" s="102"/>
      <c r="F22" s="103" t="s">
        <v>725</v>
      </c>
      <c r="G22" s="103"/>
      <c r="H22" s="101"/>
    </row>
    <row r="23" spans="1:8" ht="13.5">
      <c r="A23" s="101" t="s">
        <v>665</v>
      </c>
      <c r="B23" s="102" t="s">
        <v>2091</v>
      </c>
      <c r="C23" s="102" t="s">
        <v>2092</v>
      </c>
      <c r="D23" s="102" t="s">
        <v>725</v>
      </c>
      <c r="E23" s="102"/>
      <c r="F23" s="103" t="s">
        <v>725</v>
      </c>
      <c r="G23" s="103"/>
      <c r="H23" s="101"/>
    </row>
    <row r="24" spans="1:8" ht="13.5">
      <c r="A24" s="104" t="s">
        <v>665</v>
      </c>
      <c r="B24" s="105" t="s">
        <v>2093</v>
      </c>
      <c r="C24" s="102" t="s">
        <v>2094</v>
      </c>
      <c r="D24" s="102" t="s">
        <v>1018</v>
      </c>
      <c r="E24" s="102"/>
      <c r="F24" s="103" t="s">
        <v>804</v>
      </c>
      <c r="G24" s="103"/>
      <c r="H24" s="101"/>
    </row>
    <row r="25" spans="1:8" ht="13.5">
      <c r="A25" s="104" t="s">
        <v>665</v>
      </c>
      <c r="B25" s="105" t="s">
        <v>2095</v>
      </c>
      <c r="C25" s="102" t="s">
        <v>2096</v>
      </c>
      <c r="D25" s="102" t="s">
        <v>1018</v>
      </c>
      <c r="E25" s="102"/>
      <c r="F25" s="103" t="s">
        <v>804</v>
      </c>
      <c r="G25" s="103"/>
      <c r="H25" s="101"/>
    </row>
    <row r="26" spans="1:8" ht="13.5">
      <c r="A26" s="104" t="s">
        <v>665</v>
      </c>
      <c r="B26" s="105" t="s">
        <v>2097</v>
      </c>
      <c r="C26" s="102" t="s">
        <v>2098</v>
      </c>
      <c r="D26" s="102" t="s">
        <v>1018</v>
      </c>
      <c r="E26" s="102"/>
      <c r="F26" s="103" t="s">
        <v>804</v>
      </c>
      <c r="G26" s="103"/>
      <c r="H26" s="101"/>
    </row>
    <row r="27" spans="1:8" ht="13.5">
      <c r="A27" s="101" t="s">
        <v>668</v>
      </c>
      <c r="B27" s="102" t="s">
        <v>2099</v>
      </c>
      <c r="C27" s="102" t="s">
        <v>363</v>
      </c>
      <c r="D27" s="102" t="s">
        <v>725</v>
      </c>
      <c r="E27" s="102"/>
      <c r="F27" s="103" t="s">
        <v>725</v>
      </c>
      <c r="G27" s="103"/>
      <c r="H27" s="101"/>
    </row>
    <row r="28" spans="1:8" ht="81">
      <c r="A28" s="101" t="s">
        <v>668</v>
      </c>
      <c r="B28" s="102" t="s">
        <v>2069</v>
      </c>
      <c r="C28" s="102" t="s">
        <v>359</v>
      </c>
      <c r="D28" s="102" t="s">
        <v>725</v>
      </c>
      <c r="E28" s="102"/>
      <c r="F28" s="103" t="s">
        <v>725</v>
      </c>
      <c r="G28" s="103" t="s">
        <v>2100</v>
      </c>
      <c r="H28" s="101"/>
    </row>
    <row r="29" spans="1:8" ht="13.5">
      <c r="A29" s="101" t="s">
        <v>668</v>
      </c>
      <c r="B29" s="102" t="s">
        <v>783</v>
      </c>
      <c r="C29" s="102" t="s">
        <v>784</v>
      </c>
      <c r="D29" s="102" t="s">
        <v>929</v>
      </c>
      <c r="E29" s="102"/>
      <c r="F29" s="103" t="s">
        <v>786</v>
      </c>
      <c r="G29" s="103"/>
      <c r="H29" s="101"/>
    </row>
    <row r="30" spans="1:8" ht="13.5">
      <c r="A30" s="101" t="s">
        <v>668</v>
      </c>
      <c r="B30" s="102" t="s">
        <v>787</v>
      </c>
      <c r="C30" s="102" t="s">
        <v>564</v>
      </c>
      <c r="D30" s="103" t="s">
        <v>925</v>
      </c>
      <c r="E30" s="103"/>
      <c r="F30" s="103" t="s">
        <v>786</v>
      </c>
      <c r="G30" s="103"/>
      <c r="H30" s="101"/>
    </row>
    <row r="31" spans="1:8" ht="13.5">
      <c r="A31" s="101" t="s">
        <v>668</v>
      </c>
      <c r="B31" s="102" t="s">
        <v>799</v>
      </c>
      <c r="C31" s="102" t="s">
        <v>800</v>
      </c>
      <c r="D31" s="102" t="s">
        <v>725</v>
      </c>
      <c r="E31" s="102"/>
      <c r="F31" s="103" t="s">
        <v>725</v>
      </c>
      <c r="G31" s="103"/>
      <c r="H31" s="101"/>
    </row>
    <row r="32" spans="1:8" ht="13.5">
      <c r="A32" s="101" t="s">
        <v>668</v>
      </c>
      <c r="B32" s="102" t="s">
        <v>2071</v>
      </c>
      <c r="C32" s="102" t="s">
        <v>802</v>
      </c>
      <c r="D32" s="102" t="s">
        <v>927</v>
      </c>
      <c r="E32" s="102"/>
      <c r="F32" s="103" t="s">
        <v>804</v>
      </c>
      <c r="G32" s="103"/>
      <c r="H32" s="101"/>
    </row>
    <row r="33" spans="1:8" ht="13.5">
      <c r="A33" s="101" t="s">
        <v>668</v>
      </c>
      <c r="B33" s="102" t="s">
        <v>2101</v>
      </c>
      <c r="C33" s="102" t="s">
        <v>2102</v>
      </c>
      <c r="D33" s="102" t="s">
        <v>2103</v>
      </c>
      <c r="E33" s="102"/>
      <c r="F33" s="103" t="s">
        <v>804</v>
      </c>
      <c r="G33" s="103"/>
      <c r="H33" s="101"/>
    </row>
    <row r="34" spans="1:8" ht="13.5">
      <c r="A34" s="101" t="s">
        <v>668</v>
      </c>
      <c r="B34" s="102" t="s">
        <v>2060</v>
      </c>
      <c r="C34" s="102" t="s">
        <v>959</v>
      </c>
      <c r="D34" s="102" t="s">
        <v>960</v>
      </c>
      <c r="E34" s="102"/>
      <c r="F34" s="103" t="s">
        <v>786</v>
      </c>
      <c r="G34" s="103"/>
      <c r="H34" s="101"/>
    </row>
    <row r="35" spans="1:8" ht="13.5">
      <c r="A35" s="101" t="s">
        <v>668</v>
      </c>
      <c r="B35" s="102" t="s">
        <v>2063</v>
      </c>
      <c r="C35" s="102" t="s">
        <v>963</v>
      </c>
      <c r="D35" s="102" t="s">
        <v>725</v>
      </c>
      <c r="E35" s="102"/>
      <c r="F35" s="103" t="s">
        <v>725</v>
      </c>
      <c r="G35" s="103"/>
      <c r="H35" s="101"/>
    </row>
    <row r="36" spans="1:8" ht="13.5">
      <c r="A36" s="101" t="s">
        <v>668</v>
      </c>
      <c r="B36" s="102" t="s">
        <v>2064</v>
      </c>
      <c r="C36" s="102" t="s">
        <v>965</v>
      </c>
      <c r="D36" s="102" t="s">
        <v>725</v>
      </c>
      <c r="E36" s="102"/>
      <c r="F36" s="103" t="s">
        <v>725</v>
      </c>
      <c r="G36" s="103"/>
      <c r="H36" s="101"/>
    </row>
    <row r="37" spans="1:8" ht="13.5">
      <c r="A37" s="101" t="s">
        <v>668</v>
      </c>
      <c r="B37" s="102" t="s">
        <v>2065</v>
      </c>
      <c r="C37" s="102" t="s">
        <v>967</v>
      </c>
      <c r="D37" s="102" t="s">
        <v>725</v>
      </c>
      <c r="E37" s="102"/>
      <c r="F37" s="103" t="s">
        <v>725</v>
      </c>
      <c r="G37" s="103"/>
      <c r="H37" s="101"/>
    </row>
    <row r="38" spans="1:8" ht="13.5">
      <c r="A38" s="101" t="s">
        <v>668</v>
      </c>
      <c r="B38" s="102" t="s">
        <v>2066</v>
      </c>
      <c r="C38" s="102" t="s">
        <v>969</v>
      </c>
      <c r="D38" s="102" t="s">
        <v>725</v>
      </c>
      <c r="E38" s="102"/>
      <c r="F38" s="103" t="s">
        <v>725</v>
      </c>
      <c r="G38" s="103"/>
      <c r="H38" s="101"/>
    </row>
    <row r="39" spans="1:8" ht="13.5">
      <c r="A39" s="101" t="s">
        <v>668</v>
      </c>
      <c r="B39" s="102" t="s">
        <v>2067</v>
      </c>
      <c r="C39" s="102" t="s">
        <v>971</v>
      </c>
      <c r="D39" s="102" t="s">
        <v>725</v>
      </c>
      <c r="E39" s="102"/>
      <c r="F39" s="103" t="s">
        <v>725</v>
      </c>
      <c r="G39" s="103"/>
      <c r="H39" s="101"/>
    </row>
    <row r="40" spans="1:8" ht="13.5">
      <c r="A40" s="101" t="s">
        <v>668</v>
      </c>
      <c r="B40" s="102" t="s">
        <v>805</v>
      </c>
      <c r="C40" s="102" t="s">
        <v>806</v>
      </c>
      <c r="D40" s="102" t="s">
        <v>725</v>
      </c>
      <c r="E40" s="102"/>
      <c r="F40" s="103" t="s">
        <v>725</v>
      </c>
      <c r="G40" s="103"/>
      <c r="H40" s="101"/>
    </row>
    <row r="41" spans="1:8" ht="13.5">
      <c r="A41" s="101" t="s">
        <v>668</v>
      </c>
      <c r="B41" s="102" t="s">
        <v>2104</v>
      </c>
      <c r="C41" s="102" t="s">
        <v>2105</v>
      </c>
      <c r="D41" s="102" t="s">
        <v>725</v>
      </c>
      <c r="E41" s="102"/>
      <c r="F41" s="103" t="s">
        <v>725</v>
      </c>
      <c r="G41" s="103"/>
      <c r="H41" s="101"/>
    </row>
    <row r="42" spans="1:8" ht="13.5">
      <c r="A42" s="101" t="s">
        <v>668</v>
      </c>
      <c r="B42" s="102" t="s">
        <v>2087</v>
      </c>
      <c r="C42" s="102" t="s">
        <v>2088</v>
      </c>
      <c r="D42" s="102" t="s">
        <v>725</v>
      </c>
      <c r="E42" s="102"/>
      <c r="F42" s="103" t="s">
        <v>725</v>
      </c>
      <c r="G42" s="103"/>
      <c r="H42" s="101"/>
    </row>
  </sheetData>
  <autoFilter ref="A5:H42" xr:uid="{FB21F30B-CB4A-401F-B415-5CAEC8984402}"/>
  <mergeCells count="2">
    <mergeCell ref="B2:H2"/>
    <mergeCell ref="B3:H3"/>
  </mergeCells>
  <hyperlinks>
    <hyperlink ref="A1" location="Summary!A1" display="Summary" xr:uid="{F3D2660E-A7DE-4CFA-95FA-56D22114B22B}"/>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D3FB-7FA8-4546-9BC7-6A1505EC8C11}">
  <dimension ref="A1:G127"/>
  <sheetViews>
    <sheetView workbookViewId="0">
      <pane xSplit="1" ySplit="6" topLeftCell="B98" activePane="bottomRight" state="frozen"/>
      <selection pane="bottomRight" activeCell="B125" sqref="B125"/>
      <selection pane="bottomLeft" activeCell="B4" sqref="B4"/>
      <selection pane="topRight" activeCell="B4" sqref="B4"/>
    </sheetView>
  </sheetViews>
  <sheetFormatPr defaultRowHeight="15"/>
  <cols>
    <col min="1" max="1" width="36.5703125" bestFit="1" customWidth="1"/>
    <col min="2" max="2" width="34" customWidth="1"/>
    <col min="3" max="4" width="28" customWidth="1"/>
    <col min="5" max="5" width="20.28515625" customWidth="1"/>
    <col min="6" max="6" width="25" customWidth="1"/>
    <col min="7" max="7" width="24.85546875" customWidth="1"/>
  </cols>
  <sheetData>
    <row r="1" spans="1:7">
      <c r="A1" s="1" t="s">
        <v>773</v>
      </c>
      <c r="B1" s="44"/>
      <c r="C1" s="44"/>
      <c r="D1" s="44"/>
      <c r="E1" s="44"/>
      <c r="F1" s="44"/>
    </row>
    <row r="2" spans="1:7">
      <c r="A2" s="40" t="s">
        <v>2106</v>
      </c>
      <c r="B2" s="44"/>
      <c r="C2" s="44"/>
      <c r="D2" s="44"/>
      <c r="E2" s="44"/>
      <c r="F2" s="44"/>
    </row>
    <row r="3" spans="1:7">
      <c r="A3" s="40" t="s">
        <v>2107</v>
      </c>
      <c r="B3" s="44"/>
      <c r="C3" s="44"/>
      <c r="D3" s="44"/>
      <c r="E3" s="44"/>
      <c r="F3" s="44"/>
    </row>
    <row r="4" spans="1:7">
      <c r="A4" s="40" t="s">
        <v>2108</v>
      </c>
      <c r="B4" s="44"/>
      <c r="C4" s="44"/>
      <c r="D4" s="44"/>
      <c r="E4" s="44"/>
      <c r="F4" s="44"/>
    </row>
    <row r="5" spans="1:7">
      <c r="A5" s="44"/>
      <c r="B5" s="44"/>
      <c r="C5" s="44"/>
      <c r="D5" s="44"/>
      <c r="E5" s="44"/>
      <c r="F5" s="44"/>
    </row>
    <row r="6" spans="1:7">
      <c r="A6" s="65" t="s">
        <v>743</v>
      </c>
      <c r="B6" s="65" t="s">
        <v>775</v>
      </c>
      <c r="C6" s="65" t="s">
        <v>776</v>
      </c>
      <c r="D6" s="65" t="s">
        <v>777</v>
      </c>
      <c r="E6" s="65" t="s">
        <v>1237</v>
      </c>
      <c r="F6" s="65" t="s">
        <v>779</v>
      </c>
      <c r="G6" s="65" t="s">
        <v>568</v>
      </c>
    </row>
    <row r="7" spans="1:7">
      <c r="A7" s="67" t="s">
        <v>614</v>
      </c>
      <c r="B7" s="67" t="s">
        <v>1228</v>
      </c>
      <c r="C7" s="67" t="s">
        <v>1229</v>
      </c>
      <c r="D7" s="67" t="s">
        <v>725</v>
      </c>
      <c r="E7" s="67" t="s">
        <v>1237</v>
      </c>
      <c r="F7" s="67" t="s">
        <v>725</v>
      </c>
      <c r="G7" s="67" t="s">
        <v>1237</v>
      </c>
    </row>
    <row r="8" spans="1:7">
      <c r="A8" s="67" t="s">
        <v>614</v>
      </c>
      <c r="B8" s="67" t="s">
        <v>1231</v>
      </c>
      <c r="C8" s="67" t="s">
        <v>1232</v>
      </c>
      <c r="D8" s="67" t="s">
        <v>2109</v>
      </c>
      <c r="E8" s="67" t="s">
        <v>1237</v>
      </c>
      <c r="F8" s="67" t="s">
        <v>786</v>
      </c>
      <c r="G8" s="67" t="s">
        <v>1237</v>
      </c>
    </row>
    <row r="9" spans="1:7">
      <c r="A9" s="67" t="s">
        <v>614</v>
      </c>
      <c r="B9" s="67" t="s">
        <v>1204</v>
      </c>
      <c r="C9" s="67" t="s">
        <v>1205</v>
      </c>
      <c r="D9" s="67" t="s">
        <v>2110</v>
      </c>
      <c r="E9" s="67" t="s">
        <v>1237</v>
      </c>
      <c r="F9" s="67" t="s">
        <v>804</v>
      </c>
      <c r="G9" s="67" t="s">
        <v>1237</v>
      </c>
    </row>
    <row r="10" spans="1:7">
      <c r="A10" s="67" t="s">
        <v>614</v>
      </c>
      <c r="B10" s="67" t="s">
        <v>1212</v>
      </c>
      <c r="C10" s="67" t="s">
        <v>1213</v>
      </c>
      <c r="D10" s="67" t="s">
        <v>2111</v>
      </c>
      <c r="E10" s="67" t="s">
        <v>1237</v>
      </c>
      <c r="F10" s="67" t="s">
        <v>804</v>
      </c>
      <c r="G10" s="67" t="s">
        <v>1237</v>
      </c>
    </row>
    <row r="11" spans="1:7">
      <c r="A11" s="67" t="s">
        <v>614</v>
      </c>
      <c r="B11" s="67" t="s">
        <v>1210</v>
      </c>
      <c r="C11" s="67" t="s">
        <v>1211</v>
      </c>
      <c r="D11" s="67" t="s">
        <v>725</v>
      </c>
      <c r="E11" s="67" t="s">
        <v>1237</v>
      </c>
      <c r="F11" s="67" t="s">
        <v>725</v>
      </c>
      <c r="G11" s="67" t="s">
        <v>1237</v>
      </c>
    </row>
    <row r="12" spans="1:7">
      <c r="A12" s="67" t="s">
        <v>614</v>
      </c>
      <c r="B12" s="67" t="s">
        <v>1208</v>
      </c>
      <c r="C12" s="67" t="s">
        <v>1209</v>
      </c>
      <c r="D12" s="67" t="s">
        <v>725</v>
      </c>
      <c r="E12" s="67" t="s">
        <v>1237</v>
      </c>
      <c r="F12" s="67" t="s">
        <v>725</v>
      </c>
      <c r="G12" s="67" t="s">
        <v>1237</v>
      </c>
    </row>
    <row r="13" spans="1:7">
      <c r="A13" s="67" t="s">
        <v>614</v>
      </c>
      <c r="B13" s="67" t="s">
        <v>1224</v>
      </c>
      <c r="C13" s="67" t="s">
        <v>1225</v>
      </c>
      <c r="D13" s="67" t="s">
        <v>725</v>
      </c>
      <c r="E13" s="67" t="s">
        <v>1237</v>
      </c>
      <c r="F13" s="67" t="s">
        <v>725</v>
      </c>
      <c r="G13" s="67" t="s">
        <v>1237</v>
      </c>
    </row>
    <row r="14" spans="1:7">
      <c r="A14" s="67" t="s">
        <v>614</v>
      </c>
      <c r="B14" s="67" t="s">
        <v>1218</v>
      </c>
      <c r="C14" s="67" t="s">
        <v>1219</v>
      </c>
      <c r="D14" s="67" t="s">
        <v>2112</v>
      </c>
      <c r="E14" s="67" t="s">
        <v>1237</v>
      </c>
      <c r="F14" s="67" t="s">
        <v>804</v>
      </c>
      <c r="G14" s="67" t="s">
        <v>1237</v>
      </c>
    </row>
    <row r="15" spans="1:7">
      <c r="A15" s="67" t="s">
        <v>614</v>
      </c>
      <c r="B15" s="67" t="s">
        <v>1220</v>
      </c>
      <c r="C15" s="67" t="s">
        <v>1221</v>
      </c>
      <c r="D15" s="67" t="s">
        <v>725</v>
      </c>
      <c r="E15" s="67" t="s">
        <v>1237</v>
      </c>
      <c r="F15" s="67" t="s">
        <v>725</v>
      </c>
      <c r="G15" s="67" t="s">
        <v>1237</v>
      </c>
    </row>
    <row r="16" spans="1:7">
      <c r="A16" s="67" t="s">
        <v>614</v>
      </c>
      <c r="B16" s="67" t="s">
        <v>1222</v>
      </c>
      <c r="C16" s="67" t="s">
        <v>1223</v>
      </c>
      <c r="D16" s="67" t="s">
        <v>2113</v>
      </c>
      <c r="E16" s="67" t="s">
        <v>1237</v>
      </c>
      <c r="F16" s="67" t="s">
        <v>804</v>
      </c>
      <c r="G16" s="67" t="s">
        <v>1237</v>
      </c>
    </row>
    <row r="17" spans="1:7">
      <c r="A17" s="67" t="s">
        <v>614</v>
      </c>
      <c r="B17" s="67" t="s">
        <v>1235</v>
      </c>
      <c r="C17" s="67" t="s">
        <v>1236</v>
      </c>
      <c r="D17" s="67" t="s">
        <v>2114</v>
      </c>
      <c r="E17" s="67" t="s">
        <v>1237</v>
      </c>
      <c r="F17" s="67" t="s">
        <v>804</v>
      </c>
      <c r="G17" s="67" t="s">
        <v>1237</v>
      </c>
    </row>
    <row r="18" spans="1:7">
      <c r="A18" s="67" t="s">
        <v>614</v>
      </c>
      <c r="B18" s="67" t="s">
        <v>987</v>
      </c>
      <c r="C18" s="67" t="s">
        <v>882</v>
      </c>
      <c r="D18" s="67" t="s">
        <v>725</v>
      </c>
      <c r="E18" s="67" t="s">
        <v>1237</v>
      </c>
      <c r="F18" s="67" t="s">
        <v>725</v>
      </c>
      <c r="G18" s="67" t="s">
        <v>1237</v>
      </c>
    </row>
    <row r="19" spans="1:7">
      <c r="A19" s="67" t="s">
        <v>614</v>
      </c>
      <c r="B19" s="67" t="s">
        <v>990</v>
      </c>
      <c r="C19" s="67" t="s">
        <v>991</v>
      </c>
      <c r="D19" s="67" t="s">
        <v>725</v>
      </c>
      <c r="E19" s="67" t="s">
        <v>1237</v>
      </c>
      <c r="F19" s="67" t="s">
        <v>725</v>
      </c>
      <c r="G19" s="67" t="s">
        <v>1237</v>
      </c>
    </row>
    <row r="20" spans="1:7">
      <c r="A20" s="67" t="s">
        <v>614</v>
      </c>
      <c r="B20" s="67" t="s">
        <v>992</v>
      </c>
      <c r="C20" s="67" t="s">
        <v>993</v>
      </c>
      <c r="D20" s="67" t="s">
        <v>725</v>
      </c>
      <c r="E20" s="67" t="s">
        <v>1237</v>
      </c>
      <c r="F20" s="67" t="s">
        <v>725</v>
      </c>
      <c r="G20" s="67" t="s">
        <v>1237</v>
      </c>
    </row>
    <row r="21" spans="1:7">
      <c r="A21" s="67" t="s">
        <v>614</v>
      </c>
      <c r="B21" s="67" t="s">
        <v>994</v>
      </c>
      <c r="C21" s="67" t="s">
        <v>995</v>
      </c>
      <c r="D21" s="67" t="s">
        <v>725</v>
      </c>
      <c r="E21" s="67" t="s">
        <v>1237</v>
      </c>
      <c r="F21" s="67" t="s">
        <v>725</v>
      </c>
      <c r="G21" s="67" t="s">
        <v>1237</v>
      </c>
    </row>
    <row r="22" spans="1:7">
      <c r="A22" s="67" t="s">
        <v>614</v>
      </c>
      <c r="B22" s="67" t="s">
        <v>996</v>
      </c>
      <c r="C22" s="67" t="s">
        <v>885</v>
      </c>
      <c r="D22" s="67" t="s">
        <v>725</v>
      </c>
      <c r="E22" s="67" t="s">
        <v>1237</v>
      </c>
      <c r="F22" s="67" t="s">
        <v>725</v>
      </c>
      <c r="G22" s="67" t="s">
        <v>1237</v>
      </c>
    </row>
    <row r="23" spans="1:7">
      <c r="A23" s="67" t="s">
        <v>614</v>
      </c>
      <c r="B23" s="67" t="s">
        <v>1039</v>
      </c>
      <c r="C23" s="67" t="s">
        <v>1040</v>
      </c>
      <c r="D23" s="67" t="s">
        <v>725</v>
      </c>
      <c r="E23" s="67" t="s">
        <v>1237</v>
      </c>
      <c r="F23" s="67" t="s">
        <v>725</v>
      </c>
      <c r="G23" s="67" t="s">
        <v>1237</v>
      </c>
    </row>
    <row r="24" spans="1:7">
      <c r="A24" s="67" t="s">
        <v>614</v>
      </c>
      <c r="B24" s="67" t="s">
        <v>1041</v>
      </c>
      <c r="C24" s="67" t="s">
        <v>1042</v>
      </c>
      <c r="D24" s="67" t="s">
        <v>725</v>
      </c>
      <c r="E24" s="67" t="s">
        <v>1237</v>
      </c>
      <c r="F24" s="67" t="s">
        <v>725</v>
      </c>
      <c r="G24" s="67" t="s">
        <v>1237</v>
      </c>
    </row>
    <row r="25" spans="1:7">
      <c r="A25" s="67" t="s">
        <v>614</v>
      </c>
      <c r="B25" s="67" t="s">
        <v>1000</v>
      </c>
      <c r="C25" s="67" t="s">
        <v>887</v>
      </c>
      <c r="D25" s="67" t="s">
        <v>725</v>
      </c>
      <c r="E25" s="67" t="s">
        <v>1237</v>
      </c>
      <c r="F25" s="67" t="s">
        <v>725</v>
      </c>
      <c r="G25" s="67" t="s">
        <v>1237</v>
      </c>
    </row>
    <row r="26" spans="1:7">
      <c r="A26" s="67" t="s">
        <v>614</v>
      </c>
      <c r="B26" s="67" t="s">
        <v>1043</v>
      </c>
      <c r="C26" s="67" t="s">
        <v>889</v>
      </c>
      <c r="D26" s="67" t="s">
        <v>725</v>
      </c>
      <c r="E26" s="67" t="s">
        <v>1237</v>
      </c>
      <c r="F26" s="67" t="s">
        <v>725</v>
      </c>
      <c r="G26" s="67" t="s">
        <v>1237</v>
      </c>
    </row>
    <row r="27" spans="1:7">
      <c r="A27" s="67" t="s">
        <v>614</v>
      </c>
      <c r="B27" s="67" t="s">
        <v>1024</v>
      </c>
      <c r="C27" s="67" t="s">
        <v>1025</v>
      </c>
      <c r="D27" s="67" t="s">
        <v>725</v>
      </c>
      <c r="E27" s="67" t="s">
        <v>1237</v>
      </c>
      <c r="F27" s="67" t="s">
        <v>725</v>
      </c>
      <c r="G27" s="67" t="s">
        <v>1237</v>
      </c>
    </row>
    <row r="28" spans="1:7">
      <c r="A28" s="67" t="s">
        <v>614</v>
      </c>
      <c r="B28" s="67" t="s">
        <v>1022</v>
      </c>
      <c r="C28" s="67" t="s">
        <v>1023</v>
      </c>
      <c r="D28" s="67" t="s">
        <v>725</v>
      </c>
      <c r="E28" s="67" t="s">
        <v>1237</v>
      </c>
      <c r="F28" s="67" t="s">
        <v>725</v>
      </c>
      <c r="G28" s="67" t="s">
        <v>1237</v>
      </c>
    </row>
    <row r="29" spans="1:7">
      <c r="A29" s="67" t="s">
        <v>614</v>
      </c>
      <c r="B29" s="67" t="s">
        <v>1026</v>
      </c>
      <c r="C29" s="67" t="s">
        <v>1027</v>
      </c>
      <c r="D29" s="67" t="s">
        <v>725</v>
      </c>
      <c r="E29" s="67" t="s">
        <v>1237</v>
      </c>
      <c r="F29" s="67" t="s">
        <v>725</v>
      </c>
      <c r="G29" s="67" t="s">
        <v>1237</v>
      </c>
    </row>
    <row r="30" spans="1:7">
      <c r="A30" s="67" t="s">
        <v>614</v>
      </c>
      <c r="B30" s="67" t="s">
        <v>1047</v>
      </c>
      <c r="C30" s="67" t="s">
        <v>891</v>
      </c>
      <c r="D30" s="67" t="s">
        <v>1188</v>
      </c>
      <c r="E30" s="67" t="s">
        <v>1237</v>
      </c>
      <c r="F30" s="67" t="s">
        <v>828</v>
      </c>
      <c r="G30" s="67" t="s">
        <v>1237</v>
      </c>
    </row>
    <row r="31" spans="1:7">
      <c r="A31" s="67" t="s">
        <v>614</v>
      </c>
      <c r="B31" s="67" t="s">
        <v>999</v>
      </c>
      <c r="C31" s="67" t="s">
        <v>893</v>
      </c>
      <c r="D31" s="67" t="s">
        <v>1187</v>
      </c>
      <c r="E31" s="67" t="s">
        <v>1237</v>
      </c>
      <c r="F31" s="67" t="s">
        <v>786</v>
      </c>
      <c r="G31" s="67" t="s">
        <v>1237</v>
      </c>
    </row>
    <row r="32" spans="1:7">
      <c r="A32" s="67" t="s">
        <v>614</v>
      </c>
      <c r="B32" s="67" t="s">
        <v>946</v>
      </c>
      <c r="C32" s="67" t="s">
        <v>806</v>
      </c>
      <c r="D32" s="67" t="s">
        <v>725</v>
      </c>
      <c r="E32" s="67" t="s">
        <v>1237</v>
      </c>
      <c r="F32" s="67" t="s">
        <v>725</v>
      </c>
      <c r="G32" s="67" t="s">
        <v>1237</v>
      </c>
    </row>
    <row r="33" spans="1:7">
      <c r="A33" s="67" t="s">
        <v>614</v>
      </c>
      <c r="B33" s="67" t="s">
        <v>1226</v>
      </c>
      <c r="C33" s="67" t="s">
        <v>1227</v>
      </c>
      <c r="D33" s="67" t="s">
        <v>725</v>
      </c>
      <c r="E33" s="67" t="s">
        <v>1237</v>
      </c>
      <c r="F33" s="67" t="s">
        <v>725</v>
      </c>
      <c r="G33" s="67" t="s">
        <v>1237</v>
      </c>
    </row>
    <row r="34" spans="1:7">
      <c r="A34" s="67" t="s">
        <v>614</v>
      </c>
      <c r="B34" s="67" t="s">
        <v>1049</v>
      </c>
      <c r="C34" s="67" t="s">
        <v>1050</v>
      </c>
      <c r="D34" s="67" t="s">
        <v>2115</v>
      </c>
      <c r="E34" s="67" t="s">
        <v>1237</v>
      </c>
      <c r="F34" s="67" t="s">
        <v>828</v>
      </c>
      <c r="G34" s="67" t="s">
        <v>1237</v>
      </c>
    </row>
    <row r="35" spans="1:7">
      <c r="A35" s="67" t="s">
        <v>614</v>
      </c>
      <c r="B35" s="67" t="s">
        <v>1215</v>
      </c>
      <c r="C35" s="67" t="s">
        <v>1010</v>
      </c>
      <c r="D35" s="67" t="s">
        <v>725</v>
      </c>
      <c r="E35" s="67" t="s">
        <v>1237</v>
      </c>
      <c r="F35" s="67" t="s">
        <v>725</v>
      </c>
      <c r="G35" s="67" t="s">
        <v>1237</v>
      </c>
    </row>
    <row r="36" spans="1:7">
      <c r="A36" s="67" t="s">
        <v>614</v>
      </c>
      <c r="B36" s="67" t="s">
        <v>1214</v>
      </c>
      <c r="C36" s="67" t="s">
        <v>1010</v>
      </c>
      <c r="D36" s="67" t="s">
        <v>725</v>
      </c>
      <c r="E36" s="67" t="s">
        <v>1237</v>
      </c>
      <c r="F36" s="67" t="s">
        <v>725</v>
      </c>
      <c r="G36" s="67" t="s">
        <v>1237</v>
      </c>
    </row>
    <row r="37" spans="1:7">
      <c r="A37" s="67" t="s">
        <v>614</v>
      </c>
      <c r="B37" s="67" t="s">
        <v>1233</v>
      </c>
      <c r="C37" s="67" t="s">
        <v>1234</v>
      </c>
      <c r="D37" s="67"/>
      <c r="E37" s="67" t="s">
        <v>1237</v>
      </c>
      <c r="F37" s="67" t="s">
        <v>828</v>
      </c>
      <c r="G37" s="67" t="s">
        <v>1237</v>
      </c>
    </row>
    <row r="38" spans="1:7">
      <c r="A38" s="67" t="s">
        <v>614</v>
      </c>
      <c r="B38" s="67" t="s">
        <v>1202</v>
      </c>
      <c r="C38" s="67" t="s">
        <v>1203</v>
      </c>
      <c r="D38" s="67" t="s">
        <v>725</v>
      </c>
      <c r="E38" s="67" t="s">
        <v>1237</v>
      </c>
      <c r="F38" s="67" t="s">
        <v>725</v>
      </c>
      <c r="G38" s="67" t="s">
        <v>1237</v>
      </c>
    </row>
    <row r="39" spans="1:7">
      <c r="A39" s="67" t="s">
        <v>614</v>
      </c>
      <c r="B39" s="67" t="s">
        <v>1206</v>
      </c>
      <c r="C39" s="67" t="s">
        <v>1207</v>
      </c>
      <c r="D39" s="67" t="s">
        <v>725</v>
      </c>
      <c r="E39" s="67" t="s">
        <v>1237</v>
      </c>
      <c r="F39" s="67" t="s">
        <v>725</v>
      </c>
      <c r="G39" s="67" t="s">
        <v>1237</v>
      </c>
    </row>
    <row r="40" spans="1:7" s="244" customFormat="1">
      <c r="A40" s="252" t="s">
        <v>2116</v>
      </c>
      <c r="B40" s="146" t="s">
        <v>1448</v>
      </c>
      <c r="C40" s="146" t="s">
        <v>1449</v>
      </c>
      <c r="D40" s="146"/>
      <c r="E40" s="146"/>
      <c r="F40" s="146"/>
      <c r="G40" s="146"/>
    </row>
    <row r="41" spans="1:7" s="244" customFormat="1">
      <c r="A41" s="252" t="s">
        <v>2116</v>
      </c>
      <c r="B41" s="146" t="s">
        <v>1450</v>
      </c>
      <c r="C41" s="146" t="s">
        <v>1451</v>
      </c>
      <c r="D41" s="146"/>
      <c r="E41" s="146"/>
      <c r="F41" s="146"/>
      <c r="G41" s="146"/>
    </row>
    <row r="42" spans="1:7" s="244" customFormat="1">
      <c r="A42" s="252" t="s">
        <v>2116</v>
      </c>
      <c r="B42" s="146" t="s">
        <v>1452</v>
      </c>
      <c r="C42" s="146" t="s">
        <v>1453</v>
      </c>
      <c r="D42" s="146"/>
      <c r="E42" s="146"/>
      <c r="F42" s="146"/>
      <c r="G42" s="146"/>
    </row>
    <row r="43" spans="1:7" s="244" customFormat="1">
      <c r="A43" s="252" t="s">
        <v>2116</v>
      </c>
      <c r="B43" s="146" t="s">
        <v>1454</v>
      </c>
      <c r="C43" s="146" t="s">
        <v>1455</v>
      </c>
      <c r="D43" s="146"/>
      <c r="E43" s="146"/>
      <c r="F43" s="146"/>
      <c r="G43" s="146"/>
    </row>
    <row r="44" spans="1:7" s="244" customFormat="1">
      <c r="A44" s="252" t="s">
        <v>2116</v>
      </c>
      <c r="B44" s="146" t="s">
        <v>1456</v>
      </c>
      <c r="C44" s="146" t="s">
        <v>1457</v>
      </c>
      <c r="D44" s="146"/>
      <c r="E44" s="146"/>
      <c r="F44" s="146"/>
      <c r="G44" s="146"/>
    </row>
    <row r="45" spans="1:7" s="244" customFormat="1">
      <c r="A45" s="252" t="s">
        <v>2116</v>
      </c>
      <c r="B45" s="146" t="s">
        <v>1458</v>
      </c>
      <c r="C45" s="146" t="s">
        <v>1459</v>
      </c>
      <c r="D45" s="146"/>
      <c r="E45" s="146"/>
      <c r="F45" s="146"/>
      <c r="G45" s="146"/>
    </row>
    <row r="46" spans="1:7" s="244" customFormat="1">
      <c r="A46" s="252" t="s">
        <v>2116</v>
      </c>
      <c r="B46" s="146" t="s">
        <v>1460</v>
      </c>
      <c r="C46" s="146" t="s">
        <v>1461</v>
      </c>
      <c r="D46" s="146"/>
      <c r="E46" s="146"/>
      <c r="F46" s="146"/>
      <c r="G46" s="146"/>
    </row>
    <row r="47" spans="1:7" s="244" customFormat="1">
      <c r="A47" s="252" t="s">
        <v>2116</v>
      </c>
      <c r="B47" s="146" t="s">
        <v>1462</v>
      </c>
      <c r="C47" s="146" t="s">
        <v>1463</v>
      </c>
      <c r="D47" s="146"/>
      <c r="E47" s="146"/>
      <c r="F47" s="146"/>
      <c r="G47" s="146"/>
    </row>
    <row r="48" spans="1:7" s="244" customFormat="1">
      <c r="A48" s="252" t="s">
        <v>2116</v>
      </c>
      <c r="B48" s="146" t="s">
        <v>2117</v>
      </c>
      <c r="C48" s="146" t="s">
        <v>2118</v>
      </c>
      <c r="D48" s="146"/>
      <c r="E48" s="146"/>
      <c r="F48" s="146"/>
      <c r="G48" s="146"/>
    </row>
    <row r="49" spans="1:7" s="244" customFormat="1">
      <c r="A49" s="252" t="s">
        <v>2116</v>
      </c>
      <c r="B49" s="146" t="s">
        <v>1228</v>
      </c>
      <c r="C49" s="146" t="s">
        <v>1229</v>
      </c>
      <c r="D49" s="146" t="s">
        <v>2119</v>
      </c>
      <c r="E49" s="146" t="s">
        <v>1865</v>
      </c>
      <c r="F49" s="146" t="s">
        <v>1990</v>
      </c>
      <c r="G49" s="146"/>
    </row>
    <row r="50" spans="1:7" s="244" customFormat="1">
      <c r="A50" s="252" t="s">
        <v>2116</v>
      </c>
      <c r="B50" s="146" t="s">
        <v>2120</v>
      </c>
      <c r="C50" s="146" t="s">
        <v>2121</v>
      </c>
      <c r="D50" s="146"/>
      <c r="E50" s="146"/>
      <c r="F50" s="146"/>
      <c r="G50" s="146"/>
    </row>
    <row r="51" spans="1:7" s="244" customFormat="1">
      <c r="A51" s="252" t="s">
        <v>2116</v>
      </c>
      <c r="B51" s="146" t="s">
        <v>946</v>
      </c>
      <c r="C51" s="146" t="s">
        <v>806</v>
      </c>
      <c r="D51" s="146"/>
      <c r="E51" s="146"/>
      <c r="F51" s="146"/>
      <c r="G51" s="146"/>
    </row>
    <row r="52" spans="1:7" s="244" customFormat="1" ht="45">
      <c r="A52" s="67" t="s">
        <v>2116</v>
      </c>
      <c r="B52" s="3" t="s">
        <v>2122</v>
      </c>
      <c r="C52" s="3"/>
      <c r="D52" s="146"/>
      <c r="E52" s="20" t="s">
        <v>2123</v>
      </c>
      <c r="F52" s="146"/>
    </row>
    <row r="53" spans="1:7">
      <c r="A53" s="302" t="s">
        <v>2124</v>
      </c>
      <c r="B53" s="3" t="s">
        <v>2125</v>
      </c>
      <c r="C53" s="3" t="s">
        <v>2126</v>
      </c>
      <c r="D53" s="3"/>
      <c r="E53" s="3" t="s">
        <v>2127</v>
      </c>
      <c r="F53" s="3"/>
      <c r="G53" s="3" t="s">
        <v>2128</v>
      </c>
    </row>
    <row r="54" spans="1:7">
      <c r="A54" s="302" t="s">
        <v>2124</v>
      </c>
      <c r="B54" s="3" t="s">
        <v>2129</v>
      </c>
      <c r="C54" s="3" t="s">
        <v>2130</v>
      </c>
      <c r="D54" s="3"/>
      <c r="E54" s="3"/>
      <c r="F54" s="3"/>
      <c r="G54" s="3"/>
    </row>
    <row r="55" spans="1:7">
      <c r="A55" s="302" t="s">
        <v>2124</v>
      </c>
      <c r="B55" s="3" t="s">
        <v>1228</v>
      </c>
      <c r="C55" s="3" t="s">
        <v>1229</v>
      </c>
      <c r="D55" s="3"/>
      <c r="E55" s="3"/>
      <c r="F55" s="3"/>
      <c r="G55" s="3"/>
    </row>
    <row r="56" spans="1:7">
      <c r="A56" s="303" t="s">
        <v>2124</v>
      </c>
      <c r="B56" s="80" t="s">
        <v>946</v>
      </c>
      <c r="C56" s="80" t="s">
        <v>806</v>
      </c>
      <c r="D56" s="80"/>
      <c r="E56" s="80"/>
      <c r="F56" s="80"/>
      <c r="G56" s="80"/>
    </row>
    <row r="57" spans="1:7">
      <c r="A57" s="311" t="s">
        <v>1171</v>
      </c>
      <c r="B57" s="312" t="s">
        <v>1735</v>
      </c>
      <c r="C57" s="312" t="s">
        <v>911</v>
      </c>
      <c r="D57" s="3"/>
      <c r="E57" s="3"/>
      <c r="F57" s="3"/>
      <c r="G57" s="80"/>
    </row>
    <row r="58" spans="1:7">
      <c r="A58" s="302" t="s">
        <v>1171</v>
      </c>
      <c r="B58" s="3" t="s">
        <v>1775</v>
      </c>
      <c r="C58" s="3" t="s">
        <v>1776</v>
      </c>
      <c r="D58" s="3"/>
      <c r="E58" s="3"/>
      <c r="F58" s="211"/>
      <c r="G58" s="3"/>
    </row>
    <row r="59" spans="1:7">
      <c r="A59" s="302" t="s">
        <v>1171</v>
      </c>
      <c r="B59" s="3" t="s">
        <v>1777</v>
      </c>
      <c r="C59" s="3" t="s">
        <v>1778</v>
      </c>
      <c r="D59" s="3"/>
      <c r="E59" s="3"/>
      <c r="F59" s="211"/>
      <c r="G59" s="3"/>
    </row>
    <row r="60" spans="1:7">
      <c r="A60" s="311" t="s">
        <v>1171</v>
      </c>
      <c r="B60" s="312" t="s">
        <v>1779</v>
      </c>
      <c r="C60" s="312" t="s">
        <v>1229</v>
      </c>
      <c r="D60" s="3" t="s">
        <v>2119</v>
      </c>
      <c r="E60" s="3" t="s">
        <v>1865</v>
      </c>
      <c r="F60" s="211" t="s">
        <v>1990</v>
      </c>
      <c r="G60" s="3"/>
    </row>
    <row r="61" spans="1:7">
      <c r="A61" s="307" t="s">
        <v>1171</v>
      </c>
      <c r="B61" s="146" t="s">
        <v>1780</v>
      </c>
      <c r="C61" s="146" t="s">
        <v>1781</v>
      </c>
      <c r="D61" s="146"/>
      <c r="E61" s="146"/>
      <c r="F61" s="308"/>
      <c r="G61" s="146"/>
    </row>
    <row r="62" spans="1:7">
      <c r="A62" s="307" t="s">
        <v>1171</v>
      </c>
      <c r="B62" s="146" t="s">
        <v>1204</v>
      </c>
      <c r="C62" s="146" t="s">
        <v>1205</v>
      </c>
      <c r="D62" s="146"/>
      <c r="E62" s="146"/>
      <c r="F62" s="308"/>
      <c r="G62" s="146"/>
    </row>
    <row r="63" spans="1:7">
      <c r="A63" s="307" t="s">
        <v>1171</v>
      </c>
      <c r="B63" s="146" t="s">
        <v>1752</v>
      </c>
      <c r="C63" s="146" t="s">
        <v>1753</v>
      </c>
      <c r="D63" s="146"/>
      <c r="E63" s="146"/>
      <c r="F63" s="308"/>
      <c r="G63" s="146"/>
    </row>
    <row r="64" spans="1:7">
      <c r="A64" s="307" t="s">
        <v>1171</v>
      </c>
      <c r="B64" s="146" t="s">
        <v>1782</v>
      </c>
      <c r="C64" s="146" t="s">
        <v>1783</v>
      </c>
      <c r="D64" s="146"/>
      <c r="E64" s="146"/>
      <c r="F64" s="308"/>
      <c r="G64" s="146"/>
    </row>
    <row r="65" spans="1:7">
      <c r="A65" s="307" t="s">
        <v>1171</v>
      </c>
      <c r="B65" s="146" t="s">
        <v>1664</v>
      </c>
      <c r="C65" s="146" t="s">
        <v>1665</v>
      </c>
      <c r="D65" s="146"/>
      <c r="E65" s="146"/>
      <c r="F65" s="146"/>
      <c r="G65" s="309"/>
    </row>
    <row r="66" spans="1:7">
      <c r="A66" s="307" t="s">
        <v>1171</v>
      </c>
      <c r="B66" s="146" t="s">
        <v>1784</v>
      </c>
      <c r="C66" s="146" t="s">
        <v>1785</v>
      </c>
      <c r="D66" s="146"/>
      <c r="E66" s="146"/>
      <c r="F66" s="146"/>
      <c r="G66" s="146"/>
    </row>
    <row r="67" spans="1:7">
      <c r="A67" s="307" t="s">
        <v>1171</v>
      </c>
      <c r="B67" s="146" t="s">
        <v>1786</v>
      </c>
      <c r="C67" s="146" t="s">
        <v>1787</v>
      </c>
      <c r="D67" s="146"/>
      <c r="E67" s="146"/>
      <c r="F67" s="146"/>
      <c r="G67" s="146"/>
    </row>
    <row r="68" spans="1:7">
      <c r="A68" s="307" t="s">
        <v>1171</v>
      </c>
      <c r="B68" s="146" t="s">
        <v>1788</v>
      </c>
      <c r="C68" s="146" t="s">
        <v>1789</v>
      </c>
      <c r="D68" s="146"/>
      <c r="E68" s="146"/>
      <c r="F68" s="146"/>
      <c r="G68" s="146"/>
    </row>
    <row r="69" spans="1:7">
      <c r="A69" s="307" t="s">
        <v>1171</v>
      </c>
      <c r="B69" s="146" t="s">
        <v>1790</v>
      </c>
      <c r="C69" s="146" t="s">
        <v>1791</v>
      </c>
      <c r="D69" s="146"/>
      <c r="E69" s="146"/>
      <c r="F69" s="146"/>
      <c r="G69" s="146"/>
    </row>
    <row r="70" spans="1:7">
      <c r="A70" s="307" t="s">
        <v>1171</v>
      </c>
      <c r="B70" s="146" t="s">
        <v>1792</v>
      </c>
      <c r="C70" s="146" t="s">
        <v>1793</v>
      </c>
      <c r="D70" s="146"/>
      <c r="E70" s="146"/>
      <c r="F70" s="146"/>
      <c r="G70" s="146"/>
    </row>
    <row r="71" spans="1:7">
      <c r="A71" s="307" t="s">
        <v>1171</v>
      </c>
      <c r="B71" s="146" t="s">
        <v>1794</v>
      </c>
      <c r="C71" s="146" t="s">
        <v>1795</v>
      </c>
      <c r="D71" s="146"/>
      <c r="E71" s="146"/>
      <c r="F71" s="146"/>
      <c r="G71" s="146"/>
    </row>
    <row r="72" spans="1:7">
      <c r="A72" s="307" t="s">
        <v>1171</v>
      </c>
      <c r="B72" s="146" t="s">
        <v>1796</v>
      </c>
      <c r="C72" s="146" t="s">
        <v>1797</v>
      </c>
      <c r="D72" s="146"/>
      <c r="E72" s="146"/>
      <c r="F72" s="146"/>
      <c r="G72" s="146"/>
    </row>
    <row r="73" spans="1:7">
      <c r="A73" s="307" t="s">
        <v>1171</v>
      </c>
      <c r="B73" s="146" t="s">
        <v>1798</v>
      </c>
      <c r="C73" s="146" t="s">
        <v>1799</v>
      </c>
      <c r="D73" s="146"/>
      <c r="E73" s="146"/>
      <c r="F73" s="146"/>
      <c r="G73" s="146"/>
    </row>
    <row r="74" spans="1:7">
      <c r="A74" s="307" t="s">
        <v>1171</v>
      </c>
      <c r="B74" s="146" t="s">
        <v>1800</v>
      </c>
      <c r="C74" s="146" t="s">
        <v>1801</v>
      </c>
      <c r="D74" s="146"/>
      <c r="E74" s="146"/>
      <c r="F74" s="146"/>
      <c r="G74" s="146"/>
    </row>
    <row r="75" spans="1:7">
      <c r="A75" s="307" t="s">
        <v>1171</v>
      </c>
      <c r="B75" s="146" t="s">
        <v>1802</v>
      </c>
      <c r="C75" s="146" t="s">
        <v>1803</v>
      </c>
      <c r="D75" s="146"/>
      <c r="E75" s="146"/>
      <c r="F75" s="146"/>
      <c r="G75" s="146"/>
    </row>
    <row r="76" spans="1:7">
      <c r="A76" s="307" t="s">
        <v>1171</v>
      </c>
      <c r="B76" s="146" t="s">
        <v>1804</v>
      </c>
      <c r="C76" s="146" t="s">
        <v>1805</v>
      </c>
      <c r="D76" s="146"/>
      <c r="E76" s="146"/>
      <c r="F76" s="146"/>
      <c r="G76" s="146"/>
    </row>
    <row r="77" spans="1:7">
      <c r="A77" s="307" t="s">
        <v>1171</v>
      </c>
      <c r="B77" s="146" t="s">
        <v>1806</v>
      </c>
      <c r="C77" s="146" t="s">
        <v>1807</v>
      </c>
      <c r="D77" s="146"/>
      <c r="E77" s="146"/>
      <c r="F77" s="146"/>
      <c r="G77" s="146"/>
    </row>
    <row r="78" spans="1:7">
      <c r="A78" s="307" t="s">
        <v>1171</v>
      </c>
      <c r="B78" s="146" t="s">
        <v>1808</v>
      </c>
      <c r="C78" s="146" t="s">
        <v>1809</v>
      </c>
      <c r="D78" s="146"/>
      <c r="E78" s="146"/>
      <c r="F78" s="146"/>
      <c r="G78" s="146"/>
    </row>
    <row r="79" spans="1:7">
      <c r="A79" s="307" t="s">
        <v>1171</v>
      </c>
      <c r="B79" s="146" t="s">
        <v>1810</v>
      </c>
      <c r="C79" s="146" t="s">
        <v>1811</v>
      </c>
      <c r="D79" s="146"/>
      <c r="E79" s="146"/>
      <c r="F79" s="146"/>
      <c r="G79" s="146"/>
    </row>
    <row r="80" spans="1:7">
      <c r="A80" s="307" t="s">
        <v>1171</v>
      </c>
      <c r="B80" s="146" t="s">
        <v>1812</v>
      </c>
      <c r="C80" s="146" t="s">
        <v>1813</v>
      </c>
      <c r="D80" s="146"/>
      <c r="E80" s="146"/>
      <c r="F80" s="146"/>
      <c r="G80" s="146"/>
    </row>
    <row r="81" spans="1:7">
      <c r="A81" s="307" t="s">
        <v>1171</v>
      </c>
      <c r="B81" s="146" t="s">
        <v>1635</v>
      </c>
      <c r="C81" s="146" t="s">
        <v>1636</v>
      </c>
      <c r="D81" s="146"/>
      <c r="E81" s="146"/>
      <c r="F81" s="146"/>
      <c r="G81" s="146"/>
    </row>
    <row r="82" spans="1:7">
      <c r="A82" s="307" t="s">
        <v>1171</v>
      </c>
      <c r="B82" s="146" t="s">
        <v>1637</v>
      </c>
      <c r="C82" s="146" t="s">
        <v>1638</v>
      </c>
      <c r="D82" s="146"/>
      <c r="E82" s="146"/>
      <c r="F82" s="146"/>
      <c r="G82" s="146"/>
    </row>
    <row r="83" spans="1:7">
      <c r="A83" s="302" t="s">
        <v>1171</v>
      </c>
      <c r="B83" s="3" t="s">
        <v>1814</v>
      </c>
      <c r="C83" s="3" t="s">
        <v>1815</v>
      </c>
      <c r="D83" s="304" t="s">
        <v>2131</v>
      </c>
      <c r="E83" s="3"/>
      <c r="F83" s="3"/>
      <c r="G83" s="3" t="s">
        <v>2132</v>
      </c>
    </row>
    <row r="84" spans="1:7">
      <c r="A84" s="307" t="s">
        <v>1171</v>
      </c>
      <c r="B84" s="146" t="s">
        <v>1817</v>
      </c>
      <c r="C84" s="146" t="s">
        <v>1818</v>
      </c>
      <c r="D84" s="3"/>
      <c r="E84" s="3"/>
      <c r="F84" s="3"/>
      <c r="G84" s="3"/>
    </row>
    <row r="85" spans="1:7">
      <c r="A85" s="307" t="s">
        <v>1171</v>
      </c>
      <c r="B85" s="146" t="s">
        <v>1819</v>
      </c>
      <c r="C85" s="146" t="s">
        <v>1820</v>
      </c>
      <c r="D85" s="3"/>
      <c r="E85" s="3"/>
      <c r="F85" s="3"/>
      <c r="G85" s="3"/>
    </row>
    <row r="86" spans="1:7">
      <c r="A86" s="307" t="s">
        <v>1171</v>
      </c>
      <c r="B86" s="146" t="s">
        <v>1821</v>
      </c>
      <c r="C86" s="146" t="s">
        <v>1822</v>
      </c>
      <c r="D86" s="304"/>
      <c r="E86" s="3"/>
      <c r="F86" s="3"/>
      <c r="G86" s="3"/>
    </row>
    <row r="87" spans="1:7">
      <c r="A87" s="307" t="s">
        <v>1171</v>
      </c>
      <c r="B87" s="146" t="s">
        <v>1682</v>
      </c>
      <c r="C87" s="146" t="s">
        <v>1683</v>
      </c>
      <c r="D87" s="3"/>
      <c r="E87" s="3"/>
      <c r="F87" s="3"/>
      <c r="G87" s="3"/>
    </row>
    <row r="88" spans="1:7">
      <c r="A88" s="307" t="s">
        <v>1171</v>
      </c>
      <c r="B88" s="146" t="s">
        <v>1823</v>
      </c>
      <c r="C88" s="146" t="s">
        <v>1824</v>
      </c>
      <c r="D88" s="3"/>
      <c r="E88" s="3"/>
      <c r="F88" s="3"/>
      <c r="G88" s="3"/>
    </row>
    <row r="89" spans="1:7">
      <c r="A89" s="307" t="s">
        <v>1171</v>
      </c>
      <c r="B89" s="146" t="s">
        <v>1825</v>
      </c>
      <c r="C89" s="146" t="s">
        <v>1826</v>
      </c>
      <c r="D89" s="3"/>
      <c r="E89" s="3"/>
      <c r="F89" s="3"/>
      <c r="G89" s="3"/>
    </row>
    <row r="90" spans="1:7">
      <c r="A90" s="307" t="s">
        <v>1171</v>
      </c>
      <c r="B90" s="146" t="s">
        <v>1827</v>
      </c>
      <c r="C90" s="146" t="s">
        <v>1828</v>
      </c>
      <c r="D90" s="304"/>
      <c r="E90" s="3"/>
      <c r="F90" s="3"/>
      <c r="G90" s="3"/>
    </row>
    <row r="91" spans="1:7">
      <c r="A91" s="307" t="s">
        <v>1171</v>
      </c>
      <c r="B91" s="146" t="s">
        <v>1829</v>
      </c>
      <c r="C91" s="146" t="s">
        <v>1830</v>
      </c>
      <c r="D91" s="3"/>
      <c r="E91" s="3"/>
      <c r="F91" s="3"/>
      <c r="G91" s="3"/>
    </row>
    <row r="92" spans="1:7">
      <c r="A92" s="307" t="s">
        <v>1171</v>
      </c>
      <c r="B92" s="146" t="s">
        <v>1831</v>
      </c>
      <c r="C92" s="146" t="s">
        <v>1832</v>
      </c>
      <c r="D92" s="304"/>
      <c r="E92" s="3"/>
      <c r="F92" s="3"/>
      <c r="G92" s="3"/>
    </row>
    <row r="93" spans="1:7">
      <c r="A93" s="307" t="s">
        <v>1171</v>
      </c>
      <c r="B93" s="146" t="s">
        <v>1833</v>
      </c>
      <c r="C93" s="146" t="s">
        <v>1834</v>
      </c>
      <c r="D93" s="3"/>
      <c r="E93" s="3"/>
      <c r="F93" s="3"/>
      <c r="G93" s="3"/>
    </row>
    <row r="94" spans="1:7">
      <c r="A94" s="310" t="s">
        <v>1171</v>
      </c>
      <c r="B94" s="297" t="s">
        <v>946</v>
      </c>
      <c r="C94" s="297" t="s">
        <v>806</v>
      </c>
      <c r="D94" s="80"/>
      <c r="E94" s="80"/>
      <c r="F94" s="80"/>
      <c r="G94" s="80"/>
    </row>
    <row r="95" spans="1:7">
      <c r="A95" s="313" t="s">
        <v>1731</v>
      </c>
      <c r="B95" s="314"/>
      <c r="C95" s="314"/>
      <c r="D95" s="80" t="s">
        <v>2133</v>
      </c>
      <c r="E95" s="80" t="s">
        <v>1774</v>
      </c>
      <c r="F95" s="80"/>
      <c r="G95" s="80"/>
    </row>
    <row r="96" spans="1:7">
      <c r="A96" s="313" t="s">
        <v>2134</v>
      </c>
      <c r="B96" s="314"/>
      <c r="C96" s="314"/>
      <c r="D96" s="80" t="s">
        <v>2135</v>
      </c>
      <c r="E96" s="80" t="s">
        <v>1774</v>
      </c>
      <c r="F96" s="80"/>
      <c r="G96" s="80"/>
    </row>
    <row r="97" spans="1:7">
      <c r="A97" s="313" t="s">
        <v>2136</v>
      </c>
      <c r="B97" s="314" t="s">
        <v>2137</v>
      </c>
      <c r="C97" s="314"/>
      <c r="D97" s="80"/>
      <c r="E97" s="80"/>
      <c r="F97" s="80"/>
      <c r="G97" s="80"/>
    </row>
    <row r="98" spans="1:7" s="244" customFormat="1">
      <c r="A98" s="146" t="s">
        <v>2138</v>
      </c>
      <c r="B98" s="146" t="s">
        <v>1735</v>
      </c>
      <c r="C98" s="146" t="s">
        <v>911</v>
      </c>
      <c r="D98" s="146"/>
      <c r="E98" s="146"/>
      <c r="F98" s="146"/>
      <c r="G98" s="146"/>
    </row>
    <row r="99" spans="1:7" s="244" customFormat="1">
      <c r="A99" s="146" t="s">
        <v>2138</v>
      </c>
      <c r="B99" s="146" t="s">
        <v>2139</v>
      </c>
      <c r="C99" s="146" t="s">
        <v>1008</v>
      </c>
      <c r="D99" s="146"/>
      <c r="E99" s="146"/>
      <c r="F99" s="146"/>
      <c r="G99" s="146"/>
    </row>
    <row r="100" spans="1:7" s="244" customFormat="1">
      <c r="A100" s="146" t="s">
        <v>2138</v>
      </c>
      <c r="B100" s="146" t="s">
        <v>2140</v>
      </c>
      <c r="C100" s="146" t="s">
        <v>1008</v>
      </c>
      <c r="D100" s="146"/>
      <c r="E100" s="146"/>
      <c r="F100" s="146"/>
      <c r="G100" s="146"/>
    </row>
    <row r="101" spans="1:7" s="244" customFormat="1">
      <c r="A101" s="146" t="s">
        <v>2138</v>
      </c>
      <c r="B101" s="146" t="s">
        <v>1212</v>
      </c>
      <c r="C101" s="146" t="s">
        <v>1213</v>
      </c>
      <c r="D101" s="146" t="s">
        <v>2119</v>
      </c>
      <c r="E101" s="252" t="s">
        <v>1212</v>
      </c>
      <c r="F101" s="146" t="s">
        <v>1990</v>
      </c>
      <c r="G101" s="146"/>
    </row>
    <row r="102" spans="1:7" s="244" customFormat="1">
      <c r="A102" s="146" t="s">
        <v>2138</v>
      </c>
      <c r="B102" s="146" t="s">
        <v>946</v>
      </c>
      <c r="C102" s="146" t="s">
        <v>806</v>
      </c>
      <c r="D102" s="146"/>
      <c r="E102" s="146"/>
      <c r="F102" s="146"/>
      <c r="G102" s="146"/>
    </row>
    <row r="106" spans="1:7">
      <c r="A106" t="s">
        <v>2141</v>
      </c>
    </row>
    <row r="107" spans="1:7">
      <c r="A107" t="s">
        <v>614</v>
      </c>
      <c r="B107" t="s">
        <v>2142</v>
      </c>
    </row>
    <row r="108" spans="1:7">
      <c r="A108" t="s">
        <v>2124</v>
      </c>
      <c r="B108" t="s">
        <v>2143</v>
      </c>
    </row>
    <row r="109" spans="1:7">
      <c r="B109" t="s">
        <v>2144</v>
      </c>
    </row>
    <row r="110" spans="1:7">
      <c r="B110" t="s">
        <v>2145</v>
      </c>
    </row>
    <row r="111" spans="1:7">
      <c r="B111" t="s">
        <v>2146</v>
      </c>
    </row>
    <row r="112" spans="1:7">
      <c r="A112" t="s">
        <v>2116</v>
      </c>
      <c r="B112" t="s">
        <v>2147</v>
      </c>
    </row>
    <row r="113" spans="1:2">
      <c r="A113" t="s">
        <v>1171</v>
      </c>
      <c r="B113" t="s">
        <v>2148</v>
      </c>
    </row>
    <row r="114" spans="1:2">
      <c r="A114" t="s">
        <v>1731</v>
      </c>
      <c r="B114" t="s">
        <v>2149</v>
      </c>
    </row>
    <row r="115" spans="1:2">
      <c r="A115" t="s">
        <v>2150</v>
      </c>
      <c r="B115" t="s">
        <v>2151</v>
      </c>
    </row>
    <row r="117" spans="1:2">
      <c r="A117" t="s">
        <v>1687</v>
      </c>
      <c r="B117" t="s">
        <v>2152</v>
      </c>
    </row>
    <row r="119" spans="1:2">
      <c r="A119" t="s">
        <v>2153</v>
      </c>
      <c r="B119" t="s">
        <v>2154</v>
      </c>
    </row>
    <row r="120" spans="1:2">
      <c r="A120" t="s">
        <v>2155</v>
      </c>
      <c r="B120" t="s">
        <v>2156</v>
      </c>
    </row>
    <row r="121" spans="1:2">
      <c r="B121" t="s">
        <v>2157</v>
      </c>
    </row>
    <row r="122" spans="1:2">
      <c r="A122" t="s">
        <v>2158</v>
      </c>
      <c r="B122" t="s">
        <v>2159</v>
      </c>
    </row>
    <row r="123" spans="1:2">
      <c r="B123" t="s">
        <v>2160</v>
      </c>
    </row>
    <row r="124" spans="1:2">
      <c r="A124" t="s">
        <v>2161</v>
      </c>
      <c r="B124" t="s">
        <v>2162</v>
      </c>
    </row>
    <row r="125" spans="1:2">
      <c r="B125" t="s">
        <v>2163</v>
      </c>
    </row>
    <row r="126" spans="1:2">
      <c r="A126" t="s">
        <v>2164</v>
      </c>
      <c r="B126" t="s">
        <v>2165</v>
      </c>
    </row>
    <row r="127" spans="1:2">
      <c r="B127" t="s">
        <v>2166</v>
      </c>
    </row>
  </sheetData>
  <hyperlinks>
    <hyperlink ref="A1" location="Summary!A1" display="Summary" xr:uid="{D3C7AC02-566D-4666-9457-BE1B1C75D6D9}"/>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4A2E7-4A27-4E7E-8025-D80A2F9C9624}">
  <dimension ref="A1:H133"/>
  <sheetViews>
    <sheetView workbookViewId="0">
      <pane xSplit="2" ySplit="5" topLeftCell="C21" activePane="bottomRight" state="frozen"/>
      <selection pane="bottomRight" activeCell="D29" sqref="D29"/>
      <selection pane="bottomLeft" activeCell="A6" sqref="A6"/>
      <selection pane="topRight" activeCell="C1" sqref="C1"/>
    </sheetView>
  </sheetViews>
  <sheetFormatPr defaultColWidth="9.140625" defaultRowHeight="12.75"/>
  <cols>
    <col min="1" max="1" width="33.42578125" style="29" customWidth="1"/>
    <col min="2" max="2" width="30" style="29" customWidth="1"/>
    <col min="3" max="3" width="22.42578125" style="29" customWidth="1"/>
    <col min="4" max="4" width="28.140625" style="29" customWidth="1"/>
    <col min="5" max="5" width="19.28515625" style="29" customWidth="1"/>
    <col min="6" max="6" width="28.7109375" style="29" customWidth="1"/>
    <col min="7" max="7" width="23.85546875" style="29" customWidth="1"/>
    <col min="8" max="8" width="24.5703125" style="29" customWidth="1"/>
    <col min="9" max="16384" width="9.140625" style="29"/>
  </cols>
  <sheetData>
    <row r="1" spans="1:8">
      <c r="A1" s="28" t="s">
        <v>773</v>
      </c>
    </row>
    <row r="2" spans="1:8">
      <c r="A2" s="76" t="s">
        <v>2167</v>
      </c>
      <c r="B2" s="316"/>
      <c r="C2" s="316"/>
      <c r="D2" s="316"/>
      <c r="E2" s="316"/>
      <c r="F2" s="316"/>
      <c r="G2" s="316"/>
      <c r="H2" s="316"/>
    </row>
    <row r="3" spans="1:8">
      <c r="A3" s="30" t="s">
        <v>571</v>
      </c>
      <c r="B3" s="318" t="str">
        <f>Summary!O199</f>
        <v>Asset is the equivalent for M-Side's Device Record. The only difference with Asset record is that it stores the history of the movement of the Asset from the Storage Location until its installed to actual SP / Location. This is helpful for the Clients as it allows them to fetch available Assets from the Storeroom that can be installed at an available location.</v>
      </c>
      <c r="C3" s="318"/>
      <c r="D3" s="318"/>
      <c r="E3" s="318"/>
      <c r="F3" s="318"/>
      <c r="G3" s="318"/>
      <c r="H3" s="318"/>
    </row>
    <row r="5" spans="1:8">
      <c r="A5" s="74" t="s">
        <v>550</v>
      </c>
      <c r="B5" s="74" t="s">
        <v>775</v>
      </c>
      <c r="C5" s="74" t="s">
        <v>776</v>
      </c>
      <c r="D5" s="74" t="s">
        <v>777</v>
      </c>
      <c r="E5" s="74" t="s">
        <v>778</v>
      </c>
      <c r="F5" s="75" t="s">
        <v>779</v>
      </c>
      <c r="G5" s="75" t="s">
        <v>568</v>
      </c>
      <c r="H5" s="75" t="s">
        <v>780</v>
      </c>
    </row>
    <row r="6" spans="1:8" ht="93.75" customHeight="1">
      <c r="A6" s="101" t="s">
        <v>674</v>
      </c>
      <c r="B6" s="102" t="s">
        <v>2168</v>
      </c>
      <c r="C6" s="102" t="s">
        <v>405</v>
      </c>
      <c r="D6" s="162" t="s">
        <v>2169</v>
      </c>
      <c r="E6" s="162"/>
      <c r="F6" s="103" t="s">
        <v>2170</v>
      </c>
      <c r="G6" s="103" t="s">
        <v>2171</v>
      </c>
      <c r="H6" s="101"/>
    </row>
    <row r="7" spans="1:8" ht="13.5">
      <c r="A7" s="101" t="s">
        <v>674</v>
      </c>
      <c r="B7" s="102" t="s">
        <v>2172</v>
      </c>
      <c r="C7" s="102" t="s">
        <v>2173</v>
      </c>
      <c r="D7" s="102" t="s">
        <v>2174</v>
      </c>
      <c r="E7" s="102"/>
      <c r="F7" s="103" t="s">
        <v>786</v>
      </c>
      <c r="G7" s="103"/>
      <c r="H7" s="101"/>
    </row>
    <row r="8" spans="1:8" ht="13.5">
      <c r="A8" s="101" t="s">
        <v>674</v>
      </c>
      <c r="B8" s="102" t="s">
        <v>783</v>
      </c>
      <c r="C8" s="102" t="s">
        <v>784</v>
      </c>
      <c r="D8" s="102" t="s">
        <v>929</v>
      </c>
      <c r="E8" s="102"/>
      <c r="F8" s="103" t="s">
        <v>786</v>
      </c>
      <c r="G8" s="103"/>
      <c r="H8" s="101"/>
    </row>
    <row r="9" spans="1:8" ht="13.5">
      <c r="A9" s="101" t="s">
        <v>674</v>
      </c>
      <c r="B9" s="102" t="s">
        <v>787</v>
      </c>
      <c r="C9" s="102" t="s">
        <v>564</v>
      </c>
      <c r="D9" s="103" t="s">
        <v>925</v>
      </c>
      <c r="E9" s="103"/>
      <c r="F9" s="103" t="s">
        <v>786</v>
      </c>
      <c r="G9" s="103"/>
      <c r="H9" s="101"/>
    </row>
    <row r="10" spans="1:8" ht="13.5">
      <c r="A10" s="101" t="s">
        <v>674</v>
      </c>
      <c r="B10" s="102" t="s">
        <v>799</v>
      </c>
      <c r="C10" s="102" t="s">
        <v>800</v>
      </c>
      <c r="D10" s="102" t="s">
        <v>725</v>
      </c>
      <c r="E10" s="102"/>
      <c r="F10" s="103" t="s">
        <v>725</v>
      </c>
      <c r="G10" s="103"/>
      <c r="H10" s="101"/>
    </row>
    <row r="11" spans="1:8" ht="13.5">
      <c r="A11" s="101" t="s">
        <v>674</v>
      </c>
      <c r="B11" s="102" t="s">
        <v>2071</v>
      </c>
      <c r="C11" s="102" t="s">
        <v>802</v>
      </c>
      <c r="D11" s="102" t="s">
        <v>927</v>
      </c>
      <c r="E11" s="102"/>
      <c r="F11" s="103" t="s">
        <v>804</v>
      </c>
      <c r="G11" s="103"/>
      <c r="H11" s="101"/>
    </row>
    <row r="12" spans="1:8" ht="13.5">
      <c r="A12" s="101" t="s">
        <v>674</v>
      </c>
      <c r="B12" s="102" t="s">
        <v>2175</v>
      </c>
      <c r="C12" s="102" t="s">
        <v>2176</v>
      </c>
      <c r="D12" s="103" t="s">
        <v>1018</v>
      </c>
      <c r="E12" s="103"/>
      <c r="F12" s="103" t="s">
        <v>804</v>
      </c>
      <c r="G12" s="103"/>
      <c r="H12" s="101"/>
    </row>
    <row r="13" spans="1:8" ht="13.5">
      <c r="A13" s="101" t="s">
        <v>674</v>
      </c>
      <c r="B13" s="102" t="s">
        <v>2177</v>
      </c>
      <c r="C13" s="102" t="s">
        <v>2178</v>
      </c>
      <c r="D13" s="103" t="s">
        <v>2179</v>
      </c>
      <c r="E13" s="103"/>
      <c r="F13" s="193" t="s">
        <v>804</v>
      </c>
      <c r="G13" s="103"/>
      <c r="H13" s="101"/>
    </row>
    <row r="14" spans="1:8" ht="13.5">
      <c r="A14" s="101" t="s">
        <v>674</v>
      </c>
      <c r="B14" s="102" t="s">
        <v>797</v>
      </c>
      <c r="C14" s="102" t="s">
        <v>798</v>
      </c>
      <c r="D14" s="102" t="s">
        <v>725</v>
      </c>
      <c r="E14" s="102"/>
      <c r="F14" s="103" t="s">
        <v>725</v>
      </c>
      <c r="G14" s="103"/>
      <c r="H14" s="101"/>
    </row>
    <row r="15" spans="1:8" ht="13.5">
      <c r="A15" s="101" t="s">
        <v>674</v>
      </c>
      <c r="B15" s="102" t="s">
        <v>805</v>
      </c>
      <c r="C15" s="102" t="s">
        <v>806</v>
      </c>
      <c r="D15" s="102" t="s">
        <v>725</v>
      </c>
      <c r="E15" s="102"/>
      <c r="F15" s="103" t="s">
        <v>725</v>
      </c>
      <c r="G15" s="103"/>
      <c r="H15" s="101"/>
    </row>
    <row r="16" spans="1:8" ht="27">
      <c r="A16" s="101" t="s">
        <v>674</v>
      </c>
      <c r="B16" s="102" t="s">
        <v>2180</v>
      </c>
      <c r="C16" s="102" t="s">
        <v>240</v>
      </c>
      <c r="D16" s="103" t="s">
        <v>2181</v>
      </c>
      <c r="E16" s="103"/>
      <c r="F16" s="103" t="s">
        <v>804</v>
      </c>
      <c r="G16" s="103" t="s">
        <v>2182</v>
      </c>
      <c r="H16" s="101"/>
    </row>
    <row r="17" spans="1:8" ht="13.5">
      <c r="A17" s="101" t="s">
        <v>674</v>
      </c>
      <c r="B17" s="102" t="s">
        <v>2183</v>
      </c>
      <c r="C17" s="102" t="s">
        <v>2184</v>
      </c>
      <c r="D17" s="102" t="s">
        <v>725</v>
      </c>
      <c r="E17" s="102"/>
      <c r="F17" s="103" t="s">
        <v>725</v>
      </c>
      <c r="G17" s="103"/>
      <c r="H17" s="101"/>
    </row>
    <row r="18" spans="1:8" ht="13.5">
      <c r="A18" s="101" t="s">
        <v>674</v>
      </c>
      <c r="B18" s="102" t="s">
        <v>2185</v>
      </c>
      <c r="C18" s="102" t="s">
        <v>2186</v>
      </c>
      <c r="D18" s="102" t="s">
        <v>986</v>
      </c>
      <c r="E18" s="102"/>
      <c r="F18" s="103" t="s">
        <v>804</v>
      </c>
      <c r="G18" s="103"/>
      <c r="H18" s="101"/>
    </row>
    <row r="19" spans="1:8" ht="13.5">
      <c r="A19" s="101" t="s">
        <v>674</v>
      </c>
      <c r="B19" s="102" t="s">
        <v>2187</v>
      </c>
      <c r="C19" s="102" t="s">
        <v>2188</v>
      </c>
      <c r="D19" s="102" t="s">
        <v>725</v>
      </c>
      <c r="E19" s="102"/>
      <c r="F19" s="103" t="s">
        <v>725</v>
      </c>
      <c r="G19" s="103"/>
      <c r="H19" s="101"/>
    </row>
    <row r="20" spans="1:8" ht="13.5">
      <c r="A20" s="101" t="s">
        <v>674</v>
      </c>
      <c r="B20" s="102" t="s">
        <v>2189</v>
      </c>
      <c r="C20" s="102" t="s">
        <v>2190</v>
      </c>
      <c r="D20" s="102" t="s">
        <v>725</v>
      </c>
      <c r="E20" s="102"/>
      <c r="F20" s="103" t="s">
        <v>725</v>
      </c>
      <c r="G20" s="103"/>
      <c r="H20" s="101"/>
    </row>
    <row r="21" spans="1:8" ht="54">
      <c r="A21" s="101" t="s">
        <v>674</v>
      </c>
      <c r="B21" s="102" t="s">
        <v>2191</v>
      </c>
      <c r="C21" s="102" t="s">
        <v>2192</v>
      </c>
      <c r="D21" s="103" t="s">
        <v>2193</v>
      </c>
      <c r="E21" s="103"/>
      <c r="F21" s="103" t="s">
        <v>804</v>
      </c>
      <c r="G21" s="103"/>
      <c r="H21" s="101"/>
    </row>
    <row r="22" spans="1:8" ht="13.5">
      <c r="A22" s="101" t="s">
        <v>674</v>
      </c>
      <c r="B22" s="102" t="s">
        <v>2194</v>
      </c>
      <c r="C22" s="102" t="s">
        <v>2195</v>
      </c>
      <c r="D22" s="102" t="s">
        <v>725</v>
      </c>
      <c r="E22" s="102"/>
      <c r="F22" s="103" t="s">
        <v>725</v>
      </c>
      <c r="G22" s="103"/>
      <c r="H22" s="101"/>
    </row>
    <row r="23" spans="1:8" ht="54">
      <c r="A23" s="101" t="s">
        <v>674</v>
      </c>
      <c r="B23" s="102" t="s">
        <v>2196</v>
      </c>
      <c r="C23" s="102" t="s">
        <v>538</v>
      </c>
      <c r="D23" s="103" t="s">
        <v>2197</v>
      </c>
      <c r="E23" s="103"/>
      <c r="F23" s="103" t="s">
        <v>804</v>
      </c>
      <c r="G23" s="103"/>
      <c r="H23" s="101"/>
    </row>
    <row r="24" spans="1:8" ht="13.5">
      <c r="A24" s="101" t="s">
        <v>674</v>
      </c>
      <c r="B24" s="102" t="s">
        <v>2054</v>
      </c>
      <c r="C24" s="102" t="s">
        <v>1465</v>
      </c>
      <c r="D24" s="102" t="s">
        <v>725</v>
      </c>
      <c r="E24" s="102"/>
      <c r="F24" s="103" t="s">
        <v>725</v>
      </c>
      <c r="G24" s="103"/>
      <c r="H24" s="101"/>
    </row>
    <row r="25" spans="1:8" ht="13.5">
      <c r="A25" s="101" t="s">
        <v>674</v>
      </c>
      <c r="B25" s="102" t="s">
        <v>2198</v>
      </c>
      <c r="C25" s="102" t="s">
        <v>2199</v>
      </c>
      <c r="D25" s="103" t="s">
        <v>2179</v>
      </c>
      <c r="E25" s="103"/>
      <c r="F25" s="103" t="s">
        <v>804</v>
      </c>
      <c r="G25" s="103"/>
      <c r="H25" s="101"/>
    </row>
    <row r="26" spans="1:8" ht="13.5">
      <c r="A26" s="101" t="s">
        <v>674</v>
      </c>
      <c r="B26" s="102" t="s">
        <v>2200</v>
      </c>
      <c r="C26" s="102" t="s">
        <v>2201</v>
      </c>
      <c r="D26" s="103" t="s">
        <v>2202</v>
      </c>
      <c r="E26" s="103"/>
      <c r="F26" s="103" t="s">
        <v>804</v>
      </c>
      <c r="G26" s="103"/>
      <c r="H26" s="101"/>
    </row>
    <row r="27" spans="1:8" ht="13.5">
      <c r="A27" s="101" t="s">
        <v>674</v>
      </c>
      <c r="B27" s="102" t="s">
        <v>2203</v>
      </c>
      <c r="C27" s="102" t="s">
        <v>2204</v>
      </c>
      <c r="D27" s="102" t="s">
        <v>725</v>
      </c>
      <c r="E27" s="102"/>
      <c r="F27" s="103" t="s">
        <v>725</v>
      </c>
      <c r="G27" s="103"/>
      <c r="H27" s="101"/>
    </row>
    <row r="28" spans="1:8" ht="13.5">
      <c r="A28" s="101" t="s">
        <v>674</v>
      </c>
      <c r="B28" s="102" t="s">
        <v>2205</v>
      </c>
      <c r="C28" s="102" t="s">
        <v>2206</v>
      </c>
      <c r="D28" s="102" t="s">
        <v>725</v>
      </c>
      <c r="E28" s="102"/>
      <c r="F28" s="103" t="s">
        <v>725</v>
      </c>
      <c r="G28" s="103"/>
      <c r="H28" s="101"/>
    </row>
    <row r="29" spans="1:8" ht="13.5">
      <c r="A29" s="101" t="s">
        <v>674</v>
      </c>
      <c r="B29" s="105" t="s">
        <v>2207</v>
      </c>
      <c r="C29" s="102" t="s">
        <v>2208</v>
      </c>
      <c r="D29" s="103" t="s">
        <v>1018</v>
      </c>
      <c r="E29" s="103"/>
      <c r="F29" s="103" t="s">
        <v>804</v>
      </c>
      <c r="G29" s="103"/>
      <c r="H29" s="101"/>
    </row>
    <row r="30" spans="1:8" ht="13.5">
      <c r="A30" s="101" t="s">
        <v>674</v>
      </c>
      <c r="B30" s="102" t="s">
        <v>2209</v>
      </c>
      <c r="C30" s="102" t="s">
        <v>2210</v>
      </c>
      <c r="D30" s="102" t="s">
        <v>725</v>
      </c>
      <c r="E30" s="102"/>
      <c r="F30" s="103" t="s">
        <v>725</v>
      </c>
      <c r="G30" s="103"/>
      <c r="H30" s="101"/>
    </row>
    <row r="31" spans="1:8" ht="13.5">
      <c r="A31" s="101" t="s">
        <v>674</v>
      </c>
      <c r="B31" s="102" t="s">
        <v>2211</v>
      </c>
      <c r="C31" s="102" t="s">
        <v>2212</v>
      </c>
      <c r="D31" s="102" t="s">
        <v>725</v>
      </c>
      <c r="E31" s="102"/>
      <c r="F31" s="103" t="s">
        <v>725</v>
      </c>
      <c r="G31" s="103"/>
      <c r="H31" s="101"/>
    </row>
    <row r="32" spans="1:8" ht="13.5">
      <c r="A32" s="101" t="s">
        <v>674</v>
      </c>
      <c r="B32" s="102" t="s">
        <v>2213</v>
      </c>
      <c r="C32" s="102" t="s">
        <v>2214</v>
      </c>
      <c r="D32" s="102" t="s">
        <v>725</v>
      </c>
      <c r="E32" s="102"/>
      <c r="F32" s="103" t="s">
        <v>725</v>
      </c>
      <c r="G32" s="103"/>
      <c r="H32" s="101"/>
    </row>
    <row r="33" spans="1:8" ht="13.5">
      <c r="A33" s="101" t="s">
        <v>674</v>
      </c>
      <c r="B33" s="102" t="s">
        <v>2215</v>
      </c>
      <c r="C33" s="102" t="s">
        <v>2216</v>
      </c>
      <c r="D33" s="103" t="s">
        <v>1018</v>
      </c>
      <c r="E33" s="103"/>
      <c r="F33" s="103" t="s">
        <v>804</v>
      </c>
      <c r="G33" s="103"/>
      <c r="H33" s="101"/>
    </row>
    <row r="34" spans="1:8" ht="13.5">
      <c r="A34" s="101" t="s">
        <v>674</v>
      </c>
      <c r="B34" s="102" t="s">
        <v>2217</v>
      </c>
      <c r="C34" s="102" t="s">
        <v>2218</v>
      </c>
      <c r="D34" s="102" t="s">
        <v>725</v>
      </c>
      <c r="E34" s="102"/>
      <c r="F34" s="103" t="s">
        <v>725</v>
      </c>
      <c r="G34" s="103"/>
      <c r="H34" s="101"/>
    </row>
    <row r="35" spans="1:8" ht="13.5">
      <c r="A35" s="101" t="s">
        <v>674</v>
      </c>
      <c r="B35" s="102" t="s">
        <v>2219</v>
      </c>
      <c r="C35" s="102" t="s">
        <v>2220</v>
      </c>
      <c r="D35" s="102" t="s">
        <v>725</v>
      </c>
      <c r="E35" s="102"/>
      <c r="F35" s="103" t="s">
        <v>725</v>
      </c>
      <c r="G35" s="103"/>
      <c r="H35" s="101"/>
    </row>
    <row r="36" spans="1:8" ht="13.5">
      <c r="A36" s="101" t="s">
        <v>674</v>
      </c>
      <c r="B36" s="102" t="s">
        <v>2221</v>
      </c>
      <c r="C36" s="102" t="s">
        <v>2222</v>
      </c>
      <c r="D36" s="102" t="s">
        <v>725</v>
      </c>
      <c r="E36" s="102"/>
      <c r="F36" s="103" t="s">
        <v>725</v>
      </c>
      <c r="G36" s="103"/>
      <c r="H36" s="101"/>
    </row>
    <row r="37" spans="1:8" ht="13.5">
      <c r="A37" s="101" t="s">
        <v>674</v>
      </c>
      <c r="B37" s="194" t="s">
        <v>2223</v>
      </c>
      <c r="C37" s="194" t="s">
        <v>2224</v>
      </c>
      <c r="D37" s="194" t="s">
        <v>1018</v>
      </c>
      <c r="E37" s="194"/>
      <c r="F37" s="194" t="s">
        <v>804</v>
      </c>
      <c r="G37" s="101"/>
      <c r="H37" s="101"/>
    </row>
    <row r="38" spans="1:8" ht="13.5">
      <c r="A38" s="101" t="s">
        <v>674</v>
      </c>
      <c r="B38" s="102" t="s">
        <v>2225</v>
      </c>
      <c r="C38" s="102" t="s">
        <v>2226</v>
      </c>
      <c r="D38" s="102" t="s">
        <v>725</v>
      </c>
      <c r="E38" s="102"/>
      <c r="F38" s="103" t="s">
        <v>725</v>
      </c>
      <c r="G38" s="103"/>
      <c r="H38" s="101"/>
    </row>
    <row r="39" spans="1:8" ht="13.5">
      <c r="A39" s="101" t="s">
        <v>674</v>
      </c>
      <c r="B39" s="102" t="s">
        <v>2227</v>
      </c>
      <c r="C39" s="102" t="s">
        <v>2228</v>
      </c>
      <c r="D39" s="102" t="s">
        <v>725</v>
      </c>
      <c r="E39" s="102"/>
      <c r="F39" s="103" t="s">
        <v>725</v>
      </c>
      <c r="G39" s="103"/>
      <c r="H39" s="101"/>
    </row>
    <row r="40" spans="1:8" ht="13.5">
      <c r="A40" s="101" t="s">
        <v>674</v>
      </c>
      <c r="B40" s="102" t="s">
        <v>2229</v>
      </c>
      <c r="C40" s="102" t="s">
        <v>2230</v>
      </c>
      <c r="D40" s="102" t="s">
        <v>725</v>
      </c>
      <c r="E40" s="102"/>
      <c r="F40" s="103" t="s">
        <v>725</v>
      </c>
      <c r="G40" s="103"/>
      <c r="H40" s="101"/>
    </row>
    <row r="41" spans="1:8" ht="13.5">
      <c r="A41" s="101" t="s">
        <v>674</v>
      </c>
      <c r="B41" s="102" t="s">
        <v>2231</v>
      </c>
      <c r="C41" s="102" t="s">
        <v>2232</v>
      </c>
      <c r="D41" s="102" t="s">
        <v>725</v>
      </c>
      <c r="E41" s="102"/>
      <c r="F41" s="103" t="s">
        <v>725</v>
      </c>
      <c r="G41" s="103"/>
      <c r="H41" s="101"/>
    </row>
    <row r="42" spans="1:8" ht="13.5">
      <c r="A42" s="101" t="s">
        <v>674</v>
      </c>
      <c r="B42" s="102" t="s">
        <v>2233</v>
      </c>
      <c r="C42" s="102" t="s">
        <v>2234</v>
      </c>
      <c r="D42" s="102" t="s">
        <v>725</v>
      </c>
      <c r="E42" s="102"/>
      <c r="F42" s="103" t="s">
        <v>725</v>
      </c>
      <c r="G42" s="103"/>
      <c r="H42" s="101"/>
    </row>
    <row r="43" spans="1:8" ht="13.5">
      <c r="A43" s="101" t="s">
        <v>674</v>
      </c>
      <c r="B43" s="102" t="s">
        <v>2235</v>
      </c>
      <c r="C43" s="102" t="s">
        <v>2236</v>
      </c>
      <c r="D43" s="102" t="s">
        <v>725</v>
      </c>
      <c r="E43" s="102"/>
      <c r="F43" s="103" t="s">
        <v>725</v>
      </c>
      <c r="G43" s="103"/>
      <c r="H43" s="101"/>
    </row>
    <row r="44" spans="1:8" ht="13.5">
      <c r="A44" s="101" t="s">
        <v>674</v>
      </c>
      <c r="B44" s="102" t="s">
        <v>2237</v>
      </c>
      <c r="C44" s="102" t="s">
        <v>2238</v>
      </c>
      <c r="D44" s="102" t="s">
        <v>725</v>
      </c>
      <c r="E44" s="102"/>
      <c r="F44" s="103" t="s">
        <v>725</v>
      </c>
      <c r="G44" s="103"/>
      <c r="H44" s="101"/>
    </row>
    <row r="45" spans="1:8" ht="13.5">
      <c r="A45" s="101" t="s">
        <v>674</v>
      </c>
      <c r="B45" s="102" t="s">
        <v>2239</v>
      </c>
      <c r="C45" s="102" t="s">
        <v>2240</v>
      </c>
      <c r="D45" s="102" t="s">
        <v>725</v>
      </c>
      <c r="E45" s="102"/>
      <c r="F45" s="103" t="s">
        <v>725</v>
      </c>
      <c r="G45" s="103"/>
      <c r="H45" s="101"/>
    </row>
    <row r="46" spans="1:8" ht="13.5">
      <c r="A46" s="101" t="s">
        <v>674</v>
      </c>
      <c r="B46" s="102" t="s">
        <v>2241</v>
      </c>
      <c r="C46" s="102" t="s">
        <v>2242</v>
      </c>
      <c r="D46" s="102" t="s">
        <v>725</v>
      </c>
      <c r="E46" s="102"/>
      <c r="F46" s="103" t="s">
        <v>725</v>
      </c>
      <c r="G46" s="103"/>
      <c r="H46" s="101"/>
    </row>
    <row r="47" spans="1:8" ht="13.5">
      <c r="A47" s="101" t="s">
        <v>674</v>
      </c>
      <c r="B47" s="102" t="s">
        <v>2243</v>
      </c>
      <c r="C47" s="102" t="s">
        <v>2244</v>
      </c>
      <c r="D47" s="102" t="s">
        <v>725</v>
      </c>
      <c r="E47" s="102"/>
      <c r="F47" s="103" t="s">
        <v>725</v>
      </c>
      <c r="G47" s="103"/>
      <c r="H47" s="101"/>
    </row>
    <row r="48" spans="1:8" ht="140.25" customHeight="1">
      <c r="A48" s="101" t="s">
        <v>674</v>
      </c>
      <c r="B48" s="197" t="s">
        <v>2245</v>
      </c>
      <c r="C48" s="197" t="s">
        <v>421</v>
      </c>
      <c r="D48" s="197"/>
      <c r="E48" s="101"/>
      <c r="F48" s="101" t="s">
        <v>725</v>
      </c>
      <c r="G48" s="320" t="s">
        <v>2246</v>
      </c>
      <c r="H48" s="101"/>
    </row>
    <row r="49" spans="1:8" ht="38.25">
      <c r="A49" s="101" t="s">
        <v>674</v>
      </c>
      <c r="B49" s="162" t="s">
        <v>2247</v>
      </c>
      <c r="C49" s="197" t="s">
        <v>2248</v>
      </c>
      <c r="D49" s="197"/>
      <c r="E49" s="101"/>
      <c r="F49" s="101" t="s">
        <v>725</v>
      </c>
      <c r="G49" s="321"/>
      <c r="H49" s="101"/>
    </row>
    <row r="50" spans="1:8" ht="63.75">
      <c r="A50" s="101" t="s">
        <v>674</v>
      </c>
      <c r="B50" s="162" t="s">
        <v>2249</v>
      </c>
      <c r="C50" s="101" t="s">
        <v>862</v>
      </c>
      <c r="D50" s="101"/>
      <c r="E50" s="101"/>
      <c r="F50" s="101" t="s">
        <v>725</v>
      </c>
      <c r="G50" s="162" t="s">
        <v>2250</v>
      </c>
      <c r="H50" s="101"/>
    </row>
    <row r="51" spans="1:8" ht="42" customHeight="1">
      <c r="A51" s="101" t="s">
        <v>674</v>
      </c>
      <c r="B51" s="162" t="s">
        <v>2251</v>
      </c>
      <c r="C51" s="101" t="s">
        <v>2252</v>
      </c>
      <c r="D51" s="101"/>
      <c r="E51" s="101"/>
      <c r="F51" s="101" t="s">
        <v>725</v>
      </c>
      <c r="G51" s="162" t="s">
        <v>2253</v>
      </c>
      <c r="H51" s="101"/>
    </row>
    <row r="52" spans="1:8" ht="13.5">
      <c r="A52" s="101" t="s">
        <v>2254</v>
      </c>
      <c r="B52" s="102"/>
      <c r="C52" s="102"/>
      <c r="D52" s="103" t="s">
        <v>725</v>
      </c>
      <c r="E52" s="102"/>
      <c r="F52" s="103" t="s">
        <v>725</v>
      </c>
      <c r="G52" s="103"/>
      <c r="H52" s="101"/>
    </row>
    <row r="53" spans="1:8" ht="27">
      <c r="A53" s="101" t="s">
        <v>2255</v>
      </c>
      <c r="B53" s="102" t="s">
        <v>2168</v>
      </c>
      <c r="C53" s="102" t="s">
        <v>405</v>
      </c>
      <c r="D53" s="102" t="s">
        <v>725</v>
      </c>
      <c r="E53" s="102"/>
      <c r="F53" s="103" t="s">
        <v>725</v>
      </c>
      <c r="G53" s="103" t="s">
        <v>2256</v>
      </c>
      <c r="H53" s="101"/>
    </row>
    <row r="54" spans="1:8" ht="38.25">
      <c r="A54" s="101" t="s">
        <v>2255</v>
      </c>
      <c r="B54" s="102" t="s">
        <v>2257</v>
      </c>
      <c r="C54" s="102" t="s">
        <v>2258</v>
      </c>
      <c r="D54" s="102" t="s">
        <v>725</v>
      </c>
      <c r="E54" s="34" t="s">
        <v>2259</v>
      </c>
      <c r="F54" s="34" t="s">
        <v>786</v>
      </c>
      <c r="G54" s="34" t="s">
        <v>2260</v>
      </c>
      <c r="H54" s="101"/>
    </row>
    <row r="55" spans="1:8" ht="25.5">
      <c r="A55" s="101" t="s">
        <v>2255</v>
      </c>
      <c r="B55" s="102" t="s">
        <v>2261</v>
      </c>
      <c r="C55" s="102" t="s">
        <v>2262</v>
      </c>
      <c r="D55" s="102" t="s">
        <v>725</v>
      </c>
      <c r="E55" s="34" t="s">
        <v>2263</v>
      </c>
      <c r="F55" s="103" t="s">
        <v>725</v>
      </c>
      <c r="G55" s="192"/>
      <c r="H55" s="101"/>
    </row>
    <row r="56" spans="1:8" ht="25.5">
      <c r="A56" s="101" t="s">
        <v>2255</v>
      </c>
      <c r="B56" s="102" t="s">
        <v>2264</v>
      </c>
      <c r="C56" s="102" t="s">
        <v>2265</v>
      </c>
      <c r="D56" s="102" t="s">
        <v>725</v>
      </c>
      <c r="E56" s="34" t="s">
        <v>2266</v>
      </c>
      <c r="F56" s="103" t="s">
        <v>725</v>
      </c>
      <c r="G56" s="101"/>
      <c r="H56" s="101"/>
    </row>
    <row r="57" spans="1:8" ht="25.5">
      <c r="A57" s="101" t="s">
        <v>2255</v>
      </c>
      <c r="B57" s="102" t="s">
        <v>2267</v>
      </c>
      <c r="C57" s="102" t="s">
        <v>869</v>
      </c>
      <c r="D57" s="102" t="s">
        <v>725</v>
      </c>
      <c r="E57" s="34" t="s">
        <v>2268</v>
      </c>
      <c r="F57" s="103" t="s">
        <v>725</v>
      </c>
      <c r="G57" s="101"/>
      <c r="H57" s="101"/>
    </row>
    <row r="58" spans="1:8" ht="25.5">
      <c r="A58" s="101" t="s">
        <v>2255</v>
      </c>
      <c r="B58" s="102" t="s">
        <v>2269</v>
      </c>
      <c r="C58" s="102" t="s">
        <v>2270</v>
      </c>
      <c r="D58" s="102" t="s">
        <v>725</v>
      </c>
      <c r="E58" s="34" t="s">
        <v>2271</v>
      </c>
      <c r="F58" s="103" t="s">
        <v>725</v>
      </c>
      <c r="G58" s="101"/>
      <c r="H58" s="101"/>
    </row>
    <row r="59" spans="1:8" ht="25.5">
      <c r="A59" s="101" t="s">
        <v>2255</v>
      </c>
      <c r="B59" s="102" t="s">
        <v>2272</v>
      </c>
      <c r="C59" s="102" t="s">
        <v>2273</v>
      </c>
      <c r="D59" s="102" t="s">
        <v>725</v>
      </c>
      <c r="E59" s="34" t="s">
        <v>2274</v>
      </c>
      <c r="F59" s="103" t="s">
        <v>725</v>
      </c>
      <c r="G59" s="101"/>
      <c r="H59" s="101"/>
    </row>
    <row r="60" spans="1:8" ht="25.5">
      <c r="A60" s="101" t="s">
        <v>2255</v>
      </c>
      <c r="B60" s="102" t="s">
        <v>2275</v>
      </c>
      <c r="C60" s="102" t="s">
        <v>2276</v>
      </c>
      <c r="D60" s="102" t="s">
        <v>725</v>
      </c>
      <c r="E60" s="34" t="s">
        <v>2277</v>
      </c>
      <c r="F60" s="103" t="s">
        <v>725</v>
      </c>
      <c r="G60" s="101"/>
      <c r="H60" s="101"/>
    </row>
    <row r="61" spans="1:8" ht="94.5">
      <c r="A61" s="101" t="s">
        <v>2278</v>
      </c>
      <c r="B61" s="102" t="s">
        <v>2168</v>
      </c>
      <c r="C61" s="102" t="s">
        <v>405</v>
      </c>
      <c r="D61" s="102" t="s">
        <v>725</v>
      </c>
      <c r="E61" s="102"/>
      <c r="F61" s="103" t="s">
        <v>725</v>
      </c>
      <c r="G61" s="103" t="s">
        <v>2279</v>
      </c>
      <c r="H61" s="101"/>
    </row>
    <row r="62" spans="1:8" ht="13.5">
      <c r="A62" s="101" t="s">
        <v>2278</v>
      </c>
      <c r="B62" s="102" t="s">
        <v>807</v>
      </c>
      <c r="C62" s="102" t="s">
        <v>798</v>
      </c>
      <c r="D62" s="102" t="s">
        <v>725</v>
      </c>
      <c r="E62" s="102"/>
      <c r="F62" s="103" t="s">
        <v>725</v>
      </c>
      <c r="G62" s="101"/>
      <c r="H62" s="101"/>
    </row>
    <row r="63" spans="1:8">
      <c r="A63" s="101" t="s">
        <v>2278</v>
      </c>
      <c r="B63" s="101" t="s">
        <v>2280</v>
      </c>
      <c r="C63" s="101" t="s">
        <v>2281</v>
      </c>
      <c r="D63" s="101" t="s">
        <v>931</v>
      </c>
      <c r="E63" s="101" t="s">
        <v>2282</v>
      </c>
      <c r="F63" s="101" t="s">
        <v>786</v>
      </c>
      <c r="G63" s="101"/>
      <c r="H63" s="101"/>
    </row>
    <row r="64" spans="1:8" ht="38.25">
      <c r="A64" s="101" t="s">
        <v>2278</v>
      </c>
      <c r="B64" s="101" t="s">
        <v>2283</v>
      </c>
      <c r="C64" s="101" t="s">
        <v>476</v>
      </c>
      <c r="D64" s="101" t="s">
        <v>678</v>
      </c>
      <c r="E64" s="101"/>
      <c r="F64" s="101" t="s">
        <v>786</v>
      </c>
      <c r="G64" s="162" t="s">
        <v>2284</v>
      </c>
      <c r="H64" s="101"/>
    </row>
    <row r="65" spans="1:8" ht="13.5">
      <c r="A65" s="101" t="s">
        <v>2278</v>
      </c>
      <c r="B65" s="101" t="s">
        <v>2285</v>
      </c>
      <c r="C65" s="101" t="s">
        <v>2286</v>
      </c>
      <c r="D65" s="102" t="s">
        <v>725</v>
      </c>
      <c r="E65" s="102"/>
      <c r="F65" s="103" t="s">
        <v>725</v>
      </c>
      <c r="G65" s="101"/>
      <c r="H65" s="101"/>
    </row>
    <row r="66" spans="1:8" ht="13.5">
      <c r="A66" s="101" t="s">
        <v>2278</v>
      </c>
      <c r="B66" s="102" t="s">
        <v>805</v>
      </c>
      <c r="C66" s="102" t="s">
        <v>806</v>
      </c>
      <c r="D66" s="102" t="s">
        <v>725</v>
      </c>
      <c r="E66" s="102"/>
      <c r="F66" s="103" t="s">
        <v>725</v>
      </c>
      <c r="G66" s="101"/>
      <c r="H66" s="101"/>
    </row>
    <row r="67" spans="1:8" ht="13.5">
      <c r="A67" s="101" t="s">
        <v>2278</v>
      </c>
      <c r="B67" s="101" t="s">
        <v>2287</v>
      </c>
      <c r="C67" s="101" t="s">
        <v>2288</v>
      </c>
      <c r="D67" s="102" t="s">
        <v>725</v>
      </c>
      <c r="E67" s="102"/>
      <c r="F67" s="103" t="s">
        <v>725</v>
      </c>
      <c r="G67" s="101"/>
      <c r="H67" s="101"/>
    </row>
    <row r="68" spans="1:8" ht="13.5">
      <c r="A68" s="101" t="s">
        <v>2278</v>
      </c>
      <c r="B68" s="101" t="s">
        <v>2289</v>
      </c>
      <c r="C68" s="101" t="s">
        <v>2290</v>
      </c>
      <c r="D68" s="102" t="s">
        <v>725</v>
      </c>
      <c r="E68" s="102"/>
      <c r="F68" s="103" t="s">
        <v>725</v>
      </c>
      <c r="G68" s="101"/>
      <c r="H68" s="101"/>
    </row>
    <row r="69" spans="1:8" ht="13.5">
      <c r="A69" s="101" t="s">
        <v>2278</v>
      </c>
      <c r="B69" s="101" t="s">
        <v>2291</v>
      </c>
      <c r="C69" s="101" t="s">
        <v>2292</v>
      </c>
      <c r="D69" s="102" t="s">
        <v>725</v>
      </c>
      <c r="E69" s="102"/>
      <c r="F69" s="103" t="s">
        <v>725</v>
      </c>
      <c r="G69" s="101"/>
      <c r="H69" s="101"/>
    </row>
    <row r="70" spans="1:8" ht="13.5">
      <c r="A70" s="101" t="s">
        <v>2278</v>
      </c>
      <c r="B70" s="101" t="s">
        <v>2180</v>
      </c>
      <c r="C70" s="101" t="s">
        <v>240</v>
      </c>
      <c r="D70" s="102" t="s">
        <v>725</v>
      </c>
      <c r="E70" s="102"/>
      <c r="F70" s="103" t="s">
        <v>725</v>
      </c>
      <c r="G70" s="101"/>
      <c r="H70" s="101"/>
    </row>
    <row r="71" spans="1:8" ht="13.5">
      <c r="A71" s="101" t="s">
        <v>2278</v>
      </c>
      <c r="B71" s="101" t="s">
        <v>2293</v>
      </c>
      <c r="C71" s="101" t="s">
        <v>2294</v>
      </c>
      <c r="D71" s="102" t="s">
        <v>1018</v>
      </c>
      <c r="E71" s="102"/>
      <c r="F71" s="103" t="s">
        <v>804</v>
      </c>
      <c r="G71" s="101"/>
      <c r="H71" s="101"/>
    </row>
    <row r="72" spans="1:8" ht="25.5">
      <c r="A72" s="101" t="s">
        <v>678</v>
      </c>
      <c r="B72" s="101" t="s">
        <v>2283</v>
      </c>
      <c r="C72" s="101" t="s">
        <v>476</v>
      </c>
      <c r="D72" s="102" t="s">
        <v>725</v>
      </c>
      <c r="E72" s="102"/>
      <c r="F72" s="103" t="s">
        <v>725</v>
      </c>
      <c r="G72" s="162" t="s">
        <v>2295</v>
      </c>
      <c r="H72" s="101"/>
    </row>
    <row r="73" spans="1:8" ht="13.5">
      <c r="A73" s="101" t="s">
        <v>678</v>
      </c>
      <c r="B73" s="101" t="s">
        <v>2296</v>
      </c>
      <c r="C73" s="101" t="s">
        <v>1008</v>
      </c>
      <c r="D73" s="102" t="s">
        <v>725</v>
      </c>
      <c r="E73" s="102"/>
      <c r="F73" s="103" t="s">
        <v>725</v>
      </c>
      <c r="G73" s="101"/>
      <c r="H73" s="101"/>
    </row>
    <row r="74" spans="1:8" ht="13.5">
      <c r="A74" s="101" t="s">
        <v>678</v>
      </c>
      <c r="B74" s="101" t="s">
        <v>2297</v>
      </c>
      <c r="C74" s="101" t="s">
        <v>2298</v>
      </c>
      <c r="D74" s="102" t="s">
        <v>725</v>
      </c>
      <c r="E74" s="102"/>
      <c r="F74" s="103" t="s">
        <v>725</v>
      </c>
      <c r="G74" s="101"/>
      <c r="H74" s="101"/>
    </row>
    <row r="75" spans="1:8">
      <c r="A75" s="101" t="s">
        <v>678</v>
      </c>
      <c r="B75" s="101" t="s">
        <v>2299</v>
      </c>
      <c r="C75" s="101" t="s">
        <v>2300</v>
      </c>
      <c r="D75" s="101" t="s">
        <v>2301</v>
      </c>
      <c r="E75" s="101"/>
      <c r="F75" s="101" t="s">
        <v>786</v>
      </c>
      <c r="G75" s="101"/>
      <c r="H75" s="101"/>
    </row>
    <row r="76" spans="1:8" ht="13.5">
      <c r="A76" s="101" t="s">
        <v>678</v>
      </c>
      <c r="B76" s="102" t="s">
        <v>783</v>
      </c>
      <c r="C76" s="102" t="s">
        <v>784</v>
      </c>
      <c r="D76" s="102" t="s">
        <v>929</v>
      </c>
      <c r="E76" s="102"/>
      <c r="F76" s="103" t="s">
        <v>786</v>
      </c>
      <c r="G76" s="101"/>
      <c r="H76" s="101"/>
    </row>
    <row r="77" spans="1:8" ht="13.5">
      <c r="A77" s="101" t="s">
        <v>678</v>
      </c>
      <c r="B77" s="101" t="s">
        <v>2302</v>
      </c>
      <c r="C77" s="101" t="s">
        <v>2303</v>
      </c>
      <c r="D77" s="102" t="s">
        <v>1018</v>
      </c>
      <c r="E77" s="102" t="s">
        <v>2302</v>
      </c>
      <c r="F77" s="103" t="s">
        <v>786</v>
      </c>
      <c r="G77" s="101"/>
      <c r="H77" s="101"/>
    </row>
    <row r="78" spans="1:8" ht="13.5">
      <c r="A78" s="101" t="s">
        <v>678</v>
      </c>
      <c r="B78" s="101" t="s">
        <v>2304</v>
      </c>
      <c r="C78" s="101" t="s">
        <v>2305</v>
      </c>
      <c r="D78" s="102" t="s">
        <v>1018</v>
      </c>
      <c r="E78" s="101" t="s">
        <v>2304</v>
      </c>
      <c r="F78" s="103" t="s">
        <v>804</v>
      </c>
      <c r="G78" s="101"/>
      <c r="H78" s="101"/>
    </row>
    <row r="79" spans="1:8" ht="25.5">
      <c r="A79" s="101" t="s">
        <v>678</v>
      </c>
      <c r="B79" s="101" t="s">
        <v>2306</v>
      </c>
      <c r="C79" s="101" t="s">
        <v>2307</v>
      </c>
      <c r="D79" s="102"/>
      <c r="E79" s="103" t="s">
        <v>804</v>
      </c>
      <c r="F79" s="162" t="s">
        <v>2308</v>
      </c>
      <c r="G79" s="101"/>
    </row>
    <row r="80" spans="1:8" ht="13.5">
      <c r="A80" s="101" t="s">
        <v>678</v>
      </c>
      <c r="B80" s="101" t="s">
        <v>2309</v>
      </c>
      <c r="C80" s="101" t="s">
        <v>2310</v>
      </c>
      <c r="D80" s="102" t="s">
        <v>1018</v>
      </c>
      <c r="E80" s="101" t="s">
        <v>2309</v>
      </c>
      <c r="F80" s="103" t="s">
        <v>804</v>
      </c>
      <c r="G80" s="101"/>
      <c r="H80" s="101"/>
    </row>
    <row r="81" spans="1:8" ht="13.5">
      <c r="A81" s="101" t="s">
        <v>678</v>
      </c>
      <c r="B81" s="101" t="s">
        <v>2311</v>
      </c>
      <c r="C81" s="101" t="s">
        <v>2312</v>
      </c>
      <c r="D81" s="102" t="s">
        <v>1018</v>
      </c>
      <c r="E81" s="101" t="s">
        <v>2311</v>
      </c>
      <c r="F81" s="103" t="s">
        <v>804</v>
      </c>
      <c r="G81" s="101"/>
      <c r="H81" s="101"/>
    </row>
    <row r="82" spans="1:8" ht="13.5">
      <c r="A82" s="101" t="s">
        <v>678</v>
      </c>
      <c r="B82" s="101" t="s">
        <v>2313</v>
      </c>
      <c r="C82" s="101" t="s">
        <v>882</v>
      </c>
      <c r="D82" s="102" t="s">
        <v>725</v>
      </c>
      <c r="E82" s="102"/>
      <c r="F82" s="103" t="s">
        <v>725</v>
      </c>
      <c r="G82" s="101"/>
      <c r="H82" s="101"/>
    </row>
    <row r="83" spans="1:8" ht="13.5">
      <c r="A83" s="101" t="s">
        <v>678</v>
      </c>
      <c r="B83" s="101" t="s">
        <v>2314</v>
      </c>
      <c r="C83" s="101" t="s">
        <v>1203</v>
      </c>
      <c r="D83" s="102" t="s">
        <v>725</v>
      </c>
      <c r="E83" s="102"/>
      <c r="F83" s="103" t="s">
        <v>725</v>
      </c>
      <c r="G83" s="101"/>
      <c r="H83" s="101"/>
    </row>
    <row r="84" spans="1:8" ht="13.5">
      <c r="A84" s="101" t="s">
        <v>678</v>
      </c>
      <c r="B84" s="101" t="s">
        <v>2315</v>
      </c>
      <c r="C84" s="101" t="s">
        <v>991</v>
      </c>
      <c r="D84" s="102" t="s">
        <v>725</v>
      </c>
      <c r="E84" s="102"/>
      <c r="F84" s="102" t="s">
        <v>725</v>
      </c>
      <c r="G84" s="101"/>
      <c r="H84" s="101"/>
    </row>
    <row r="85" spans="1:8" ht="13.5">
      <c r="A85" s="101" t="s">
        <v>678</v>
      </c>
      <c r="B85" s="101" t="s">
        <v>2316</v>
      </c>
      <c r="C85" s="101" t="s">
        <v>993</v>
      </c>
      <c r="D85" s="102" t="s">
        <v>725</v>
      </c>
      <c r="E85" s="102"/>
      <c r="F85" s="102" t="s">
        <v>725</v>
      </c>
      <c r="G85" s="101"/>
      <c r="H85" s="101"/>
    </row>
    <row r="86" spans="1:8" ht="13.5">
      <c r="A86" s="101" t="s">
        <v>678</v>
      </c>
      <c r="B86" s="101" t="s">
        <v>2317</v>
      </c>
      <c r="C86" s="101" t="s">
        <v>995</v>
      </c>
      <c r="D86" s="102" t="s">
        <v>725</v>
      </c>
      <c r="E86" s="102"/>
      <c r="F86" s="102" t="s">
        <v>725</v>
      </c>
      <c r="G86" s="101"/>
      <c r="H86" s="101"/>
    </row>
    <row r="87" spans="1:8" ht="13.5">
      <c r="A87" s="101" t="s">
        <v>678</v>
      </c>
      <c r="B87" s="101" t="s">
        <v>2318</v>
      </c>
      <c r="C87" s="101" t="s">
        <v>2319</v>
      </c>
      <c r="D87" s="102" t="s">
        <v>725</v>
      </c>
      <c r="E87" s="102"/>
      <c r="F87" s="102" t="s">
        <v>725</v>
      </c>
      <c r="G87" s="101"/>
      <c r="H87" s="101"/>
    </row>
    <row r="88" spans="1:8" ht="13.5">
      <c r="A88" s="101" t="s">
        <v>678</v>
      </c>
      <c r="B88" s="101" t="s">
        <v>2320</v>
      </c>
      <c r="C88" s="101" t="s">
        <v>885</v>
      </c>
      <c r="D88" s="102" t="s">
        <v>725</v>
      </c>
      <c r="E88" s="102"/>
      <c r="F88" s="102" t="s">
        <v>725</v>
      </c>
      <c r="G88" s="101"/>
      <c r="H88" s="101"/>
    </row>
    <row r="89" spans="1:8" ht="13.5">
      <c r="A89" s="101" t="s">
        <v>678</v>
      </c>
      <c r="B89" s="101" t="s">
        <v>2321</v>
      </c>
      <c r="C89" s="101" t="s">
        <v>1207</v>
      </c>
      <c r="D89" s="102" t="s">
        <v>725</v>
      </c>
      <c r="E89" s="102"/>
      <c r="F89" s="102" t="s">
        <v>725</v>
      </c>
      <c r="G89" s="101"/>
      <c r="H89" s="101"/>
    </row>
    <row r="90" spans="1:8" ht="13.5">
      <c r="A90" s="101" t="s">
        <v>678</v>
      </c>
      <c r="B90" s="101" t="s">
        <v>2322</v>
      </c>
      <c r="C90" s="101" t="s">
        <v>2323</v>
      </c>
      <c r="D90" s="102" t="s">
        <v>725</v>
      </c>
      <c r="E90" s="102"/>
      <c r="F90" s="102" t="s">
        <v>725</v>
      </c>
      <c r="G90" s="101"/>
      <c r="H90" s="101"/>
    </row>
    <row r="91" spans="1:8" ht="13.5">
      <c r="A91" s="101" t="s">
        <v>678</v>
      </c>
      <c r="B91" s="101" t="s">
        <v>886</v>
      </c>
      <c r="C91" s="101" t="s">
        <v>887</v>
      </c>
      <c r="D91" s="102" t="s">
        <v>725</v>
      </c>
      <c r="E91" s="102"/>
      <c r="F91" s="102" t="s">
        <v>725</v>
      </c>
      <c r="G91" s="101"/>
      <c r="H91" s="101"/>
    </row>
    <row r="92" spans="1:8">
      <c r="A92" s="101" t="s">
        <v>678</v>
      </c>
      <c r="B92" s="101" t="s">
        <v>890</v>
      </c>
      <c r="C92" s="101" t="s">
        <v>891</v>
      </c>
      <c r="D92" s="101" t="s">
        <v>1048</v>
      </c>
      <c r="E92" s="101"/>
      <c r="F92" s="101" t="s">
        <v>804</v>
      </c>
      <c r="G92" s="101"/>
      <c r="H92" s="101"/>
    </row>
    <row r="93" spans="1:8" ht="13.5">
      <c r="A93" s="101" t="s">
        <v>678</v>
      </c>
      <c r="B93" s="101" t="s">
        <v>888</v>
      </c>
      <c r="C93" s="101" t="s">
        <v>889</v>
      </c>
      <c r="D93" s="102" t="s">
        <v>725</v>
      </c>
      <c r="E93" s="102"/>
      <c r="F93" s="102" t="s">
        <v>725</v>
      </c>
      <c r="G93" s="101"/>
      <c r="H93" s="101"/>
    </row>
    <row r="94" spans="1:8" ht="13.5">
      <c r="A94" s="101" t="s">
        <v>678</v>
      </c>
      <c r="B94" s="101" t="s">
        <v>892</v>
      </c>
      <c r="C94" s="101" t="s">
        <v>893</v>
      </c>
      <c r="D94" s="102" t="s">
        <v>725</v>
      </c>
      <c r="E94" s="101"/>
      <c r="F94" s="102" t="s">
        <v>725</v>
      </c>
      <c r="G94" s="101"/>
      <c r="H94" s="101"/>
    </row>
    <row r="95" spans="1:8" ht="13.5">
      <c r="A95" s="101" t="s">
        <v>678</v>
      </c>
      <c r="B95" s="101" t="s">
        <v>2324</v>
      </c>
      <c r="C95" s="101" t="s">
        <v>2325</v>
      </c>
      <c r="D95" s="102" t="s">
        <v>725</v>
      </c>
      <c r="E95" s="102"/>
      <c r="F95" s="102" t="s">
        <v>725</v>
      </c>
      <c r="G95" s="101"/>
      <c r="H95" s="101"/>
    </row>
    <row r="96" spans="1:8" ht="13.5">
      <c r="A96" s="101" t="s">
        <v>678</v>
      </c>
      <c r="B96" s="101" t="s">
        <v>2326</v>
      </c>
      <c r="C96" s="101" t="s">
        <v>2327</v>
      </c>
      <c r="D96" s="102" t="s">
        <v>725</v>
      </c>
      <c r="E96" s="102"/>
      <c r="F96" s="102" t="s">
        <v>725</v>
      </c>
      <c r="G96" s="101"/>
      <c r="H96" s="101"/>
    </row>
    <row r="97" spans="1:8" ht="13.5">
      <c r="A97" s="101" t="s">
        <v>678</v>
      </c>
      <c r="B97" s="102" t="s">
        <v>805</v>
      </c>
      <c r="C97" s="102" t="s">
        <v>806</v>
      </c>
      <c r="D97" s="102" t="s">
        <v>725</v>
      </c>
      <c r="E97" s="102"/>
      <c r="F97" s="103" t="s">
        <v>725</v>
      </c>
      <c r="G97" s="101"/>
      <c r="H97" s="101"/>
    </row>
    <row r="98" spans="1:8">
      <c r="A98" s="101" t="s">
        <v>678</v>
      </c>
      <c r="B98" s="101" t="s">
        <v>1049</v>
      </c>
      <c r="C98" s="101" t="s">
        <v>1050</v>
      </c>
      <c r="D98" s="101" t="s">
        <v>1051</v>
      </c>
      <c r="E98" s="101"/>
      <c r="F98" s="101" t="s">
        <v>786</v>
      </c>
      <c r="G98" s="101"/>
      <c r="H98" s="101"/>
    </row>
    <row r="99" spans="1:8" ht="13.5">
      <c r="A99" s="101" t="s">
        <v>678</v>
      </c>
      <c r="B99" s="101" t="s">
        <v>2328</v>
      </c>
      <c r="C99" s="101" t="s">
        <v>1025</v>
      </c>
      <c r="D99" s="102" t="s">
        <v>725</v>
      </c>
      <c r="E99" s="102"/>
      <c r="F99" s="103" t="s">
        <v>725</v>
      </c>
      <c r="G99" s="101"/>
      <c r="H99" s="101"/>
    </row>
    <row r="100" spans="1:8" ht="13.5">
      <c r="A100" s="101" t="s">
        <v>678</v>
      </c>
      <c r="B100" s="101" t="s">
        <v>2329</v>
      </c>
      <c r="C100" s="101" t="s">
        <v>1040</v>
      </c>
      <c r="D100" s="102" t="s">
        <v>725</v>
      </c>
      <c r="E100" s="102"/>
      <c r="F100" s="103" t="s">
        <v>725</v>
      </c>
      <c r="G100" s="101"/>
      <c r="H100" s="101"/>
    </row>
    <row r="101" spans="1:8" ht="13.5">
      <c r="A101" s="101" t="s">
        <v>678</v>
      </c>
      <c r="B101" s="101" t="s">
        <v>2330</v>
      </c>
      <c r="C101" s="101" t="s">
        <v>1042</v>
      </c>
      <c r="D101" s="102" t="s">
        <v>725</v>
      </c>
      <c r="E101" s="102"/>
      <c r="F101" s="103" t="s">
        <v>725</v>
      </c>
      <c r="G101" s="101"/>
      <c r="H101" s="101"/>
    </row>
    <row r="102" spans="1:8" ht="13.5">
      <c r="A102" s="101" t="s">
        <v>678</v>
      </c>
      <c r="B102" s="101" t="s">
        <v>1026</v>
      </c>
      <c r="C102" s="101" t="s">
        <v>1027</v>
      </c>
      <c r="D102" s="102" t="s">
        <v>725</v>
      </c>
      <c r="E102" s="102"/>
      <c r="F102" s="103" t="s">
        <v>725</v>
      </c>
      <c r="G102" s="101"/>
      <c r="H102" s="101"/>
    </row>
    <row r="103" spans="1:8" ht="13.5">
      <c r="A103" s="101" t="s">
        <v>678</v>
      </c>
      <c r="B103" s="101" t="s">
        <v>2331</v>
      </c>
      <c r="C103" s="101" t="s">
        <v>1023</v>
      </c>
      <c r="D103" s="102" t="s">
        <v>725</v>
      </c>
      <c r="E103" s="102"/>
      <c r="F103" s="103" t="s">
        <v>725</v>
      </c>
      <c r="G103" s="101"/>
      <c r="H103" s="101"/>
    </row>
    <row r="104" spans="1:8" ht="13.5">
      <c r="A104" s="101" t="s">
        <v>678</v>
      </c>
      <c r="B104" s="102" t="s">
        <v>2185</v>
      </c>
      <c r="C104" s="102" t="s">
        <v>2186</v>
      </c>
      <c r="D104" s="102" t="s">
        <v>986</v>
      </c>
      <c r="E104" s="102"/>
      <c r="F104" s="103" t="s">
        <v>804</v>
      </c>
      <c r="G104" s="101"/>
      <c r="H104" s="101"/>
    </row>
    <row r="105" spans="1:8">
      <c r="A105" s="101" t="s">
        <v>678</v>
      </c>
      <c r="B105" s="101" t="s">
        <v>2332</v>
      </c>
      <c r="C105" s="101" t="s">
        <v>1070</v>
      </c>
      <c r="D105" s="101" t="s">
        <v>2333</v>
      </c>
      <c r="E105" s="101"/>
      <c r="F105" s="101" t="s">
        <v>804</v>
      </c>
      <c r="G105" s="101"/>
      <c r="H105" s="101"/>
    </row>
    <row r="106" spans="1:8">
      <c r="A106" s="101" t="s">
        <v>678</v>
      </c>
      <c r="B106" s="101" t="s">
        <v>2334</v>
      </c>
      <c r="C106" s="101" t="s">
        <v>2335</v>
      </c>
      <c r="D106" s="162" t="s">
        <v>2336</v>
      </c>
      <c r="E106" s="162"/>
      <c r="F106" s="101" t="s">
        <v>804</v>
      </c>
      <c r="G106" s="101"/>
      <c r="H106" s="101"/>
    </row>
    <row r="107" spans="1:8" ht="13.5">
      <c r="A107" s="101" t="s">
        <v>678</v>
      </c>
      <c r="B107" s="101" t="s">
        <v>2337</v>
      </c>
      <c r="C107" s="101" t="s">
        <v>2338</v>
      </c>
      <c r="D107" s="102" t="s">
        <v>725</v>
      </c>
      <c r="E107" s="102"/>
      <c r="F107" s="103" t="s">
        <v>725</v>
      </c>
      <c r="G107" s="101"/>
      <c r="H107" s="101"/>
    </row>
    <row r="108" spans="1:8" ht="13.5">
      <c r="A108" s="101" t="s">
        <v>678</v>
      </c>
      <c r="B108" s="101" t="s">
        <v>2339</v>
      </c>
      <c r="C108" s="101" t="s">
        <v>2340</v>
      </c>
      <c r="D108" s="102" t="s">
        <v>725</v>
      </c>
      <c r="E108" s="102"/>
      <c r="F108" s="103" t="s">
        <v>725</v>
      </c>
      <c r="G108" s="101"/>
      <c r="H108" s="101"/>
    </row>
    <row r="109" spans="1:8" ht="13.5">
      <c r="A109" s="101" t="s">
        <v>678</v>
      </c>
      <c r="B109" s="101" t="s">
        <v>2341</v>
      </c>
      <c r="C109" s="101" t="s">
        <v>2342</v>
      </c>
      <c r="D109" s="102" t="s">
        <v>725</v>
      </c>
      <c r="E109" s="102"/>
      <c r="F109" s="103" t="s">
        <v>725</v>
      </c>
      <c r="G109" s="101"/>
      <c r="H109" s="101"/>
    </row>
    <row r="110" spans="1:8" ht="13.5">
      <c r="A110" s="101" t="s">
        <v>678</v>
      </c>
      <c r="B110" s="101" t="s">
        <v>2343</v>
      </c>
      <c r="C110" s="101" t="s">
        <v>2344</v>
      </c>
      <c r="D110" s="102" t="s">
        <v>1018</v>
      </c>
      <c r="E110" s="101" t="s">
        <v>2343</v>
      </c>
      <c r="F110" s="103" t="s">
        <v>804</v>
      </c>
      <c r="G110" s="101"/>
      <c r="H110" s="101"/>
    </row>
    <row r="111" spans="1:8" ht="13.5">
      <c r="A111" s="101" t="s">
        <v>678</v>
      </c>
      <c r="B111" s="101" t="s">
        <v>2345</v>
      </c>
      <c r="C111" s="101" t="s">
        <v>2346</v>
      </c>
      <c r="D111" s="102" t="s">
        <v>1018</v>
      </c>
      <c r="E111" s="101" t="s">
        <v>2345</v>
      </c>
      <c r="F111" s="103" t="s">
        <v>804</v>
      </c>
      <c r="G111" s="101"/>
      <c r="H111" s="101"/>
    </row>
    <row r="112" spans="1:8" ht="13.5">
      <c r="A112" s="101" t="s">
        <v>678</v>
      </c>
      <c r="B112" s="101" t="s">
        <v>2347</v>
      </c>
      <c r="C112" s="101" t="s">
        <v>2348</v>
      </c>
      <c r="D112" s="101" t="s">
        <v>2349</v>
      </c>
      <c r="E112" s="101"/>
      <c r="F112" s="103" t="s">
        <v>804</v>
      </c>
      <c r="G112" s="101"/>
      <c r="H112" s="101"/>
    </row>
    <row r="113" spans="1:8" ht="13.5">
      <c r="A113" s="101" t="s">
        <v>678</v>
      </c>
      <c r="B113" s="101" t="s">
        <v>2350</v>
      </c>
      <c r="C113" s="101" t="s">
        <v>2351</v>
      </c>
      <c r="D113" s="101" t="s">
        <v>2349</v>
      </c>
      <c r="E113" s="101"/>
      <c r="F113" s="103" t="s">
        <v>804</v>
      </c>
      <c r="G113" s="101"/>
      <c r="H113" s="101"/>
    </row>
    <row r="114" spans="1:8" ht="13.5">
      <c r="A114" s="101" t="s">
        <v>678</v>
      </c>
      <c r="B114" s="101" t="s">
        <v>2352</v>
      </c>
      <c r="C114" s="101" t="s">
        <v>2353</v>
      </c>
      <c r="D114" s="101" t="s">
        <v>2349</v>
      </c>
      <c r="E114" s="101"/>
      <c r="F114" s="103" t="s">
        <v>804</v>
      </c>
      <c r="G114" s="101"/>
      <c r="H114" s="101"/>
    </row>
    <row r="115" spans="1:8" ht="13.5">
      <c r="A115" s="101" t="s">
        <v>678</v>
      </c>
      <c r="B115" s="101" t="s">
        <v>2354</v>
      </c>
      <c r="C115" s="101" t="s">
        <v>2355</v>
      </c>
      <c r="D115" s="101" t="s">
        <v>2349</v>
      </c>
      <c r="E115" s="101"/>
      <c r="F115" s="103" t="s">
        <v>804</v>
      </c>
      <c r="G115" s="101"/>
      <c r="H115" s="101"/>
    </row>
    <row r="116" spans="1:8">
      <c r="A116" s="101" t="s">
        <v>678</v>
      </c>
      <c r="B116" s="101" t="s">
        <v>2356</v>
      </c>
      <c r="C116" s="101" t="s">
        <v>2357</v>
      </c>
      <c r="D116" s="101" t="s">
        <v>2358</v>
      </c>
      <c r="E116" s="101"/>
      <c r="F116" s="101" t="s">
        <v>804</v>
      </c>
      <c r="G116" s="101"/>
      <c r="H116" s="101"/>
    </row>
    <row r="117" spans="1:8">
      <c r="A117" s="101" t="s">
        <v>678</v>
      </c>
      <c r="B117" s="101" t="s">
        <v>2359</v>
      </c>
      <c r="C117" s="101" t="s">
        <v>2360</v>
      </c>
      <c r="D117" s="101" t="s">
        <v>2361</v>
      </c>
      <c r="E117" s="101"/>
      <c r="F117" s="101" t="s">
        <v>804</v>
      </c>
      <c r="G117" s="101"/>
      <c r="H117" s="101"/>
    </row>
    <row r="118" spans="1:8">
      <c r="A118" s="101" t="s">
        <v>678</v>
      </c>
      <c r="B118" s="101" t="s">
        <v>2362</v>
      </c>
      <c r="C118" s="101" t="s">
        <v>2363</v>
      </c>
      <c r="D118" s="101" t="s">
        <v>2358</v>
      </c>
      <c r="E118" s="101"/>
      <c r="F118" s="101" t="s">
        <v>804</v>
      </c>
      <c r="G118" s="101"/>
      <c r="H118" s="101"/>
    </row>
    <row r="119" spans="1:8" ht="13.5">
      <c r="A119" s="101" t="s">
        <v>678</v>
      </c>
      <c r="B119" s="101" t="s">
        <v>2364</v>
      </c>
      <c r="C119" s="101" t="s">
        <v>2365</v>
      </c>
      <c r="D119" s="102" t="s">
        <v>1018</v>
      </c>
      <c r="E119" s="101" t="s">
        <v>2364</v>
      </c>
      <c r="F119" s="103" t="s">
        <v>804</v>
      </c>
      <c r="G119" s="101"/>
      <c r="H119" s="101"/>
    </row>
    <row r="120" spans="1:8" ht="13.5">
      <c r="A120" s="101" t="s">
        <v>678</v>
      </c>
      <c r="B120" s="101" t="s">
        <v>2366</v>
      </c>
      <c r="C120" s="101" t="s">
        <v>2367</v>
      </c>
      <c r="D120" s="102" t="s">
        <v>1018</v>
      </c>
      <c r="E120" s="101" t="s">
        <v>2366</v>
      </c>
      <c r="F120" s="103" t="s">
        <v>804</v>
      </c>
      <c r="G120" s="101"/>
      <c r="H120" s="101"/>
    </row>
    <row r="121" spans="1:8">
      <c r="A121" s="101" t="s">
        <v>678</v>
      </c>
      <c r="B121" s="101" t="s">
        <v>2368</v>
      </c>
      <c r="C121" s="101" t="s">
        <v>2369</v>
      </c>
      <c r="D121" s="101" t="s">
        <v>2370</v>
      </c>
      <c r="E121" s="101"/>
      <c r="F121" s="101" t="s">
        <v>804</v>
      </c>
      <c r="G121" s="101"/>
      <c r="H121" s="101"/>
    </row>
    <row r="122" spans="1:8" ht="13.5">
      <c r="A122" s="101" t="s">
        <v>678</v>
      </c>
      <c r="B122" s="104" t="s">
        <v>2371</v>
      </c>
      <c r="C122" s="101" t="s">
        <v>2372</v>
      </c>
      <c r="D122" s="102" t="s">
        <v>1018</v>
      </c>
      <c r="E122" s="102"/>
      <c r="F122" s="103" t="s">
        <v>804</v>
      </c>
      <c r="G122" s="101"/>
      <c r="H122" s="101"/>
    </row>
    <row r="123" spans="1:8">
      <c r="A123" s="101" t="s">
        <v>678</v>
      </c>
      <c r="B123" s="101" t="s">
        <v>2373</v>
      </c>
      <c r="C123" s="101" t="s">
        <v>2374</v>
      </c>
      <c r="D123" s="101" t="s">
        <v>2375</v>
      </c>
      <c r="E123" s="101"/>
      <c r="F123" s="101" t="s">
        <v>804</v>
      </c>
      <c r="G123" s="101"/>
      <c r="H123" s="101"/>
    </row>
    <row r="124" spans="1:8" ht="13.5">
      <c r="A124" s="101" t="s">
        <v>678</v>
      </c>
      <c r="B124" s="101" t="s">
        <v>2376</v>
      </c>
      <c r="C124" s="101" t="s">
        <v>2377</v>
      </c>
      <c r="D124" s="101" t="s">
        <v>2349</v>
      </c>
      <c r="E124" s="101"/>
      <c r="F124" s="103" t="s">
        <v>804</v>
      </c>
      <c r="G124" s="101"/>
      <c r="H124" s="101"/>
    </row>
    <row r="125" spans="1:8" ht="13.5">
      <c r="A125" s="101" t="s">
        <v>678</v>
      </c>
      <c r="B125" s="101" t="s">
        <v>2378</v>
      </c>
      <c r="C125" s="101" t="s">
        <v>2379</v>
      </c>
      <c r="D125" s="101" t="s">
        <v>2349</v>
      </c>
      <c r="E125" s="101"/>
      <c r="F125" s="103" t="s">
        <v>804</v>
      </c>
      <c r="G125" s="101"/>
      <c r="H125" s="101"/>
    </row>
    <row r="126" spans="1:8">
      <c r="A126" s="101" t="s">
        <v>678</v>
      </c>
      <c r="B126" s="101" t="s">
        <v>2380</v>
      </c>
      <c r="C126" s="101" t="s">
        <v>2381</v>
      </c>
      <c r="D126" s="101" t="s">
        <v>2358</v>
      </c>
      <c r="E126" s="101"/>
      <c r="F126" s="101" t="s">
        <v>804</v>
      </c>
      <c r="G126" s="101"/>
      <c r="H126" s="101"/>
    </row>
    <row r="127" spans="1:8">
      <c r="A127" s="101" t="s">
        <v>678</v>
      </c>
      <c r="B127" s="101" t="s">
        <v>2382</v>
      </c>
      <c r="C127" s="101" t="s">
        <v>2383</v>
      </c>
      <c r="D127" s="101" t="s">
        <v>2358</v>
      </c>
      <c r="E127" s="101"/>
      <c r="F127" s="101" t="s">
        <v>804</v>
      </c>
      <c r="G127" s="101"/>
      <c r="H127" s="101"/>
    </row>
    <row r="128" spans="1:8" ht="13.5">
      <c r="A128" s="101" t="s">
        <v>678</v>
      </c>
      <c r="B128" s="101" t="s">
        <v>2384</v>
      </c>
      <c r="C128" s="101" t="s">
        <v>2385</v>
      </c>
      <c r="D128" s="102" t="s">
        <v>931</v>
      </c>
      <c r="E128" s="195" t="s">
        <v>2386</v>
      </c>
      <c r="F128" s="103" t="s">
        <v>804</v>
      </c>
      <c r="G128" s="101"/>
      <c r="H128" s="101"/>
    </row>
    <row r="129" spans="1:8">
      <c r="A129" s="101"/>
      <c r="B129" s="101"/>
      <c r="C129" s="101"/>
      <c r="D129" s="101"/>
      <c r="E129" s="101"/>
      <c r="F129" s="101"/>
      <c r="G129" s="162"/>
      <c r="H129" s="101"/>
    </row>
    <row r="130" spans="1:8">
      <c r="A130" s="101"/>
      <c r="B130" s="162"/>
      <c r="C130" s="101"/>
      <c r="D130" s="101"/>
      <c r="E130" s="101"/>
      <c r="F130" s="101"/>
      <c r="G130" s="162"/>
      <c r="H130" s="101"/>
    </row>
    <row r="131" spans="1:8">
      <c r="A131" s="101"/>
      <c r="B131" s="101"/>
      <c r="C131" s="101"/>
      <c r="D131" s="101"/>
      <c r="E131" s="101"/>
      <c r="F131" s="101"/>
      <c r="G131" s="162"/>
      <c r="H131" s="101"/>
    </row>
    <row r="132" spans="1:8">
      <c r="A132" s="101"/>
      <c r="B132" s="101"/>
      <c r="C132" s="101"/>
      <c r="D132" s="101"/>
      <c r="E132" s="101"/>
      <c r="F132" s="101"/>
      <c r="G132" s="162"/>
      <c r="H132" s="101"/>
    </row>
    <row r="133" spans="1:8">
      <c r="A133" s="101"/>
      <c r="B133" s="101"/>
      <c r="C133" s="101"/>
      <c r="D133" s="101"/>
      <c r="E133" s="101"/>
      <c r="F133" s="101"/>
      <c r="G133" s="101"/>
      <c r="H133" s="101"/>
    </row>
  </sheetData>
  <autoFilter ref="A5:H128" xr:uid="{F8E4A2E7-4A27-4E7E-8025-D80A2F9C9624}"/>
  <mergeCells count="3">
    <mergeCell ref="B2:H2"/>
    <mergeCell ref="B3:H3"/>
    <mergeCell ref="G48:G49"/>
  </mergeCells>
  <hyperlinks>
    <hyperlink ref="A1" location="Summary!A1" display="Summary" xr:uid="{1A19B668-31DE-4853-8008-868567C32C4D}"/>
  </hyperlinks>
  <pageMargins left="0.7" right="0.7" top="0.75" bottom="0.75" header="0.3" footer="0.3"/>
  <pageSetup orientation="portrait"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EC516-0B43-48B1-A924-9567336493E3}">
  <dimension ref="A1:H76"/>
  <sheetViews>
    <sheetView workbookViewId="0">
      <pane xSplit="2" ySplit="5" topLeftCell="C59" activePane="bottomRight" state="frozen"/>
      <selection pane="bottomRight" activeCell="C63" sqref="C63"/>
      <selection pane="bottomLeft" activeCell="A6" sqref="A6"/>
      <selection pane="topRight" activeCell="C1" sqref="C1"/>
    </sheetView>
  </sheetViews>
  <sheetFormatPr defaultRowHeight="15"/>
  <cols>
    <col min="1" max="1" width="21.7109375" customWidth="1"/>
    <col min="2" max="2" width="36.5703125" bestFit="1" customWidth="1"/>
    <col min="3" max="3" width="32.85546875" bestFit="1" customWidth="1"/>
    <col min="4" max="4" width="24.5703125" customWidth="1"/>
    <col min="5" max="5" width="19.85546875" customWidth="1"/>
    <col min="6" max="6" width="26.7109375" customWidth="1"/>
    <col min="7" max="7" width="14.140625" customWidth="1"/>
  </cols>
  <sheetData>
    <row r="1" spans="1:8">
      <c r="A1" s="28" t="s">
        <v>773</v>
      </c>
      <c r="B1" s="29"/>
      <c r="C1" s="29"/>
      <c r="D1" s="29"/>
      <c r="E1" s="29"/>
      <c r="F1" s="29"/>
      <c r="G1" s="29"/>
      <c r="H1" s="29"/>
    </row>
    <row r="2" spans="1:8" ht="17.25" customHeight="1">
      <c r="A2" s="76" t="s">
        <v>2387</v>
      </c>
      <c r="B2" s="316"/>
      <c r="C2" s="316"/>
      <c r="D2" s="316"/>
      <c r="E2" s="316"/>
      <c r="F2" s="316"/>
      <c r="G2" s="316"/>
      <c r="H2" s="316"/>
    </row>
    <row r="3" spans="1:8">
      <c r="A3" s="30" t="s">
        <v>571</v>
      </c>
      <c r="B3" s="318" t="str">
        <f>Summary!O237</f>
        <v>Node (Location) is the equiavalent for M-Side's SP Record. The only difference with Node record is that it stores the Out of Service Locations (e.g. Storeroom). This is helpful for the Clients as it allows them to fetch Ouf of Service Locations where new Assets can be stored into.</v>
      </c>
      <c r="C3" s="318"/>
      <c r="D3" s="318"/>
      <c r="E3" s="318"/>
      <c r="F3" s="318"/>
      <c r="G3" s="318"/>
      <c r="H3" s="318"/>
    </row>
    <row r="5" spans="1:8" ht="25.5">
      <c r="A5" s="74" t="s">
        <v>550</v>
      </c>
      <c r="B5" s="74" t="s">
        <v>775</v>
      </c>
      <c r="C5" s="74" t="s">
        <v>776</v>
      </c>
      <c r="D5" s="74" t="s">
        <v>777</v>
      </c>
      <c r="E5" s="74" t="s">
        <v>778</v>
      </c>
      <c r="F5" s="75" t="s">
        <v>779</v>
      </c>
      <c r="G5" s="75" t="s">
        <v>568</v>
      </c>
      <c r="H5" s="75" t="s">
        <v>780</v>
      </c>
    </row>
    <row r="6" spans="1:8" ht="30">
      <c r="A6" s="3" t="s">
        <v>678</v>
      </c>
      <c r="B6" s="3" t="s">
        <v>2283</v>
      </c>
      <c r="C6" s="3" t="s">
        <v>476</v>
      </c>
      <c r="D6" s="77" t="s">
        <v>2388</v>
      </c>
      <c r="E6" s="20"/>
      <c r="F6" s="22" t="s">
        <v>2389</v>
      </c>
      <c r="G6" s="20"/>
      <c r="H6" s="3"/>
    </row>
    <row r="7" spans="1:8">
      <c r="A7" s="3" t="s">
        <v>678</v>
      </c>
      <c r="B7" s="3" t="s">
        <v>2296</v>
      </c>
      <c r="C7" s="3" t="s">
        <v>1008</v>
      </c>
      <c r="D7" s="21" t="s">
        <v>725</v>
      </c>
      <c r="E7" s="21"/>
      <c r="F7" s="22" t="s">
        <v>725</v>
      </c>
      <c r="G7" s="3"/>
      <c r="H7" s="3"/>
    </row>
    <row r="8" spans="1:8">
      <c r="A8" s="3" t="s">
        <v>678</v>
      </c>
      <c r="B8" s="3" t="s">
        <v>2297</v>
      </c>
      <c r="C8" s="3" t="s">
        <v>2298</v>
      </c>
      <c r="D8" s="21" t="s">
        <v>725</v>
      </c>
      <c r="E8" s="21"/>
      <c r="F8" s="22" t="s">
        <v>725</v>
      </c>
      <c r="G8" s="3"/>
      <c r="H8" s="3"/>
    </row>
    <row r="9" spans="1:8">
      <c r="A9" s="3" t="s">
        <v>678</v>
      </c>
      <c r="B9" s="3" t="s">
        <v>2299</v>
      </c>
      <c r="C9" s="3" t="s">
        <v>2300</v>
      </c>
      <c r="D9" s="3" t="s">
        <v>2301</v>
      </c>
      <c r="E9" s="3"/>
      <c r="F9" s="3" t="s">
        <v>786</v>
      </c>
      <c r="G9" s="3"/>
      <c r="H9" s="3"/>
    </row>
    <row r="10" spans="1:8">
      <c r="A10" s="3" t="s">
        <v>678</v>
      </c>
      <c r="B10" s="21" t="s">
        <v>783</v>
      </c>
      <c r="C10" s="21" t="s">
        <v>784</v>
      </c>
      <c r="D10" s="21" t="s">
        <v>929</v>
      </c>
      <c r="E10" s="21"/>
      <c r="F10" s="22" t="s">
        <v>786</v>
      </c>
      <c r="G10" s="3"/>
      <c r="H10" s="3"/>
    </row>
    <row r="11" spans="1:8">
      <c r="A11" s="3" t="s">
        <v>678</v>
      </c>
      <c r="B11" s="3" t="s">
        <v>2302</v>
      </c>
      <c r="C11" s="3" t="s">
        <v>2303</v>
      </c>
      <c r="D11" s="21" t="s">
        <v>1018</v>
      </c>
      <c r="E11" s="21"/>
      <c r="F11" s="22" t="s">
        <v>786</v>
      </c>
      <c r="G11" s="3"/>
      <c r="H11" s="3"/>
    </row>
    <row r="12" spans="1:8">
      <c r="A12" s="3" t="s">
        <v>678</v>
      </c>
      <c r="B12" s="3" t="s">
        <v>2304</v>
      </c>
      <c r="C12" s="3" t="s">
        <v>2305</v>
      </c>
      <c r="D12" s="21" t="s">
        <v>1018</v>
      </c>
      <c r="E12" s="21"/>
      <c r="F12" s="22" t="s">
        <v>804</v>
      </c>
      <c r="G12" s="3"/>
      <c r="H12" s="3"/>
    </row>
    <row r="13" spans="1:8" ht="45">
      <c r="A13" s="3" t="s">
        <v>678</v>
      </c>
      <c r="B13" s="3" t="s">
        <v>2306</v>
      </c>
      <c r="C13" s="3" t="s">
        <v>2307</v>
      </c>
      <c r="D13" s="21" t="s">
        <v>678</v>
      </c>
      <c r="E13" s="21"/>
      <c r="F13" s="22" t="s">
        <v>804</v>
      </c>
      <c r="G13" s="20" t="s">
        <v>2308</v>
      </c>
      <c r="H13" s="3"/>
    </row>
    <row r="14" spans="1:8">
      <c r="A14" s="3" t="s">
        <v>678</v>
      </c>
      <c r="B14" s="3" t="s">
        <v>2309</v>
      </c>
      <c r="C14" s="3" t="s">
        <v>2310</v>
      </c>
      <c r="D14" s="21" t="s">
        <v>1018</v>
      </c>
      <c r="E14" s="21"/>
      <c r="F14" s="22" t="s">
        <v>804</v>
      </c>
      <c r="G14" s="3"/>
      <c r="H14" s="3"/>
    </row>
    <row r="15" spans="1:8">
      <c r="A15" s="3" t="s">
        <v>678</v>
      </c>
      <c r="B15" s="3" t="s">
        <v>2311</v>
      </c>
      <c r="C15" s="3" t="s">
        <v>2312</v>
      </c>
      <c r="D15" s="21" t="s">
        <v>1018</v>
      </c>
      <c r="E15" s="21"/>
      <c r="F15" s="22" t="s">
        <v>804</v>
      </c>
      <c r="G15" s="3"/>
      <c r="H15" s="3"/>
    </row>
    <row r="16" spans="1:8">
      <c r="A16" s="3" t="s">
        <v>678</v>
      </c>
      <c r="B16" s="3" t="s">
        <v>2313</v>
      </c>
      <c r="C16" s="3" t="s">
        <v>882</v>
      </c>
      <c r="D16" s="21" t="s">
        <v>725</v>
      </c>
      <c r="E16" s="21"/>
      <c r="F16" s="22" t="s">
        <v>725</v>
      </c>
      <c r="G16" s="3"/>
      <c r="H16" s="3"/>
    </row>
    <row r="17" spans="1:8">
      <c r="A17" s="3" t="s">
        <v>678</v>
      </c>
      <c r="B17" s="3" t="s">
        <v>2314</v>
      </c>
      <c r="C17" s="3" t="s">
        <v>1203</v>
      </c>
      <c r="D17" s="21" t="s">
        <v>725</v>
      </c>
      <c r="E17" s="21"/>
      <c r="F17" s="22" t="s">
        <v>725</v>
      </c>
      <c r="G17" s="3"/>
      <c r="H17" s="3"/>
    </row>
    <row r="18" spans="1:8">
      <c r="A18" s="3" t="s">
        <v>678</v>
      </c>
      <c r="B18" s="3" t="s">
        <v>2315</v>
      </c>
      <c r="C18" s="3" t="s">
        <v>991</v>
      </c>
      <c r="D18" s="21" t="s">
        <v>725</v>
      </c>
      <c r="E18" s="21"/>
      <c r="F18" s="21" t="s">
        <v>725</v>
      </c>
      <c r="G18" s="3"/>
      <c r="H18" s="3"/>
    </row>
    <row r="19" spans="1:8">
      <c r="A19" s="3" t="s">
        <v>678</v>
      </c>
      <c r="B19" s="3" t="s">
        <v>2316</v>
      </c>
      <c r="C19" s="3" t="s">
        <v>993</v>
      </c>
      <c r="D19" s="21" t="s">
        <v>725</v>
      </c>
      <c r="E19" s="21"/>
      <c r="F19" s="21" t="s">
        <v>725</v>
      </c>
      <c r="G19" s="3"/>
      <c r="H19" s="3"/>
    </row>
    <row r="20" spans="1:8">
      <c r="A20" s="3" t="s">
        <v>678</v>
      </c>
      <c r="B20" s="3" t="s">
        <v>2317</v>
      </c>
      <c r="C20" s="3" t="s">
        <v>995</v>
      </c>
      <c r="D20" s="21" t="s">
        <v>725</v>
      </c>
      <c r="E20" s="21"/>
      <c r="F20" s="21" t="s">
        <v>725</v>
      </c>
      <c r="G20" s="3"/>
      <c r="H20" s="3"/>
    </row>
    <row r="21" spans="1:8">
      <c r="A21" s="3" t="s">
        <v>678</v>
      </c>
      <c r="B21" s="3" t="s">
        <v>2318</v>
      </c>
      <c r="C21" s="3" t="s">
        <v>2319</v>
      </c>
      <c r="D21" s="21" t="s">
        <v>725</v>
      </c>
      <c r="E21" s="21"/>
      <c r="F21" s="21" t="s">
        <v>725</v>
      </c>
      <c r="G21" s="3"/>
      <c r="H21" s="3"/>
    </row>
    <row r="22" spans="1:8">
      <c r="A22" s="3" t="s">
        <v>678</v>
      </c>
      <c r="B22" s="3" t="s">
        <v>2320</v>
      </c>
      <c r="C22" s="3" t="s">
        <v>885</v>
      </c>
      <c r="D22" s="21" t="s">
        <v>725</v>
      </c>
      <c r="E22" s="21"/>
      <c r="F22" s="21" t="s">
        <v>725</v>
      </c>
      <c r="G22" s="3"/>
      <c r="H22" s="3"/>
    </row>
    <row r="23" spans="1:8">
      <c r="A23" s="3" t="s">
        <v>678</v>
      </c>
      <c r="B23" s="3" t="s">
        <v>2321</v>
      </c>
      <c r="C23" s="3" t="s">
        <v>1207</v>
      </c>
      <c r="D23" s="21" t="s">
        <v>725</v>
      </c>
      <c r="E23" s="21"/>
      <c r="F23" s="21" t="s">
        <v>725</v>
      </c>
      <c r="G23" s="3"/>
      <c r="H23" s="3"/>
    </row>
    <row r="24" spans="1:8">
      <c r="A24" s="3" t="s">
        <v>678</v>
      </c>
      <c r="B24" s="3" t="s">
        <v>2322</v>
      </c>
      <c r="C24" s="3" t="s">
        <v>2323</v>
      </c>
      <c r="D24" s="21" t="s">
        <v>725</v>
      </c>
      <c r="E24" s="21"/>
      <c r="F24" s="21" t="s">
        <v>725</v>
      </c>
      <c r="G24" s="3"/>
      <c r="H24" s="3"/>
    </row>
    <row r="25" spans="1:8">
      <c r="A25" s="3" t="s">
        <v>678</v>
      </c>
      <c r="B25" s="3" t="s">
        <v>886</v>
      </c>
      <c r="C25" s="3" t="s">
        <v>887</v>
      </c>
      <c r="D25" s="21" t="s">
        <v>725</v>
      </c>
      <c r="E25" s="21"/>
      <c r="F25" s="21" t="s">
        <v>725</v>
      </c>
      <c r="G25" s="3"/>
      <c r="H25" s="3"/>
    </row>
    <row r="26" spans="1:8">
      <c r="A26" s="3" t="s">
        <v>678</v>
      </c>
      <c r="B26" s="3" t="s">
        <v>890</v>
      </c>
      <c r="C26" s="3" t="s">
        <v>891</v>
      </c>
      <c r="D26" s="3" t="s">
        <v>1048</v>
      </c>
      <c r="E26" s="3"/>
      <c r="F26" s="3" t="s">
        <v>786</v>
      </c>
      <c r="G26" s="3"/>
      <c r="H26" s="3"/>
    </row>
    <row r="27" spans="1:8">
      <c r="A27" s="3" t="s">
        <v>678</v>
      </c>
      <c r="B27" s="3" t="s">
        <v>888</v>
      </c>
      <c r="C27" s="3" t="s">
        <v>889</v>
      </c>
      <c r="D27" s="21" t="s">
        <v>725</v>
      </c>
      <c r="E27" s="21"/>
      <c r="F27" s="21" t="s">
        <v>725</v>
      </c>
      <c r="G27" s="3"/>
      <c r="H27" s="3"/>
    </row>
    <row r="28" spans="1:8">
      <c r="A28" s="3" t="s">
        <v>678</v>
      </c>
      <c r="B28" s="3" t="s">
        <v>892</v>
      </c>
      <c r="C28" s="3" t="s">
        <v>893</v>
      </c>
      <c r="D28" s="3" t="s">
        <v>2390</v>
      </c>
      <c r="E28" s="3"/>
      <c r="F28" s="3" t="s">
        <v>786</v>
      </c>
      <c r="G28" s="3"/>
      <c r="H28" s="3"/>
    </row>
    <row r="29" spans="1:8">
      <c r="A29" s="3" t="s">
        <v>678</v>
      </c>
      <c r="B29" s="3" t="s">
        <v>2324</v>
      </c>
      <c r="C29" s="3" t="s">
        <v>2325</v>
      </c>
      <c r="D29" s="21" t="s">
        <v>725</v>
      </c>
      <c r="E29" s="21"/>
      <c r="F29" s="21" t="s">
        <v>725</v>
      </c>
      <c r="G29" s="3"/>
      <c r="H29" s="3"/>
    </row>
    <row r="30" spans="1:8">
      <c r="A30" s="3" t="s">
        <v>678</v>
      </c>
      <c r="B30" s="3" t="s">
        <v>2326</v>
      </c>
      <c r="C30" s="3" t="s">
        <v>2327</v>
      </c>
      <c r="D30" s="21" t="s">
        <v>725</v>
      </c>
      <c r="E30" s="21"/>
      <c r="F30" s="21" t="s">
        <v>725</v>
      </c>
      <c r="G30" s="3"/>
      <c r="H30" s="3"/>
    </row>
    <row r="31" spans="1:8">
      <c r="A31" s="3" t="s">
        <v>678</v>
      </c>
      <c r="B31" s="21" t="s">
        <v>805</v>
      </c>
      <c r="C31" s="21" t="s">
        <v>806</v>
      </c>
      <c r="D31" s="21" t="s">
        <v>725</v>
      </c>
      <c r="E31" s="21"/>
      <c r="F31" s="22" t="s">
        <v>725</v>
      </c>
      <c r="G31" s="3"/>
      <c r="H31" s="3"/>
    </row>
    <row r="32" spans="1:8">
      <c r="A32" s="3" t="s">
        <v>678</v>
      </c>
      <c r="B32" s="3" t="s">
        <v>1049</v>
      </c>
      <c r="C32" s="3" t="s">
        <v>1050</v>
      </c>
      <c r="D32" s="3" t="s">
        <v>1051</v>
      </c>
      <c r="E32" s="3"/>
      <c r="F32" s="3" t="s">
        <v>786</v>
      </c>
      <c r="G32" s="3"/>
      <c r="H32" s="3"/>
    </row>
    <row r="33" spans="1:8">
      <c r="A33" s="3" t="s">
        <v>678</v>
      </c>
      <c r="B33" s="3" t="s">
        <v>2328</v>
      </c>
      <c r="C33" s="3" t="s">
        <v>1025</v>
      </c>
      <c r="D33" s="21" t="s">
        <v>725</v>
      </c>
      <c r="E33" s="21"/>
      <c r="F33" s="22" t="s">
        <v>725</v>
      </c>
      <c r="G33" s="3"/>
      <c r="H33" s="3"/>
    </row>
    <row r="34" spans="1:8">
      <c r="A34" s="3" t="s">
        <v>678</v>
      </c>
      <c r="B34" s="3" t="s">
        <v>2329</v>
      </c>
      <c r="C34" s="3" t="s">
        <v>1040</v>
      </c>
      <c r="D34" s="21" t="s">
        <v>725</v>
      </c>
      <c r="E34" s="21"/>
      <c r="F34" s="22" t="s">
        <v>725</v>
      </c>
      <c r="G34" s="3"/>
      <c r="H34" s="3"/>
    </row>
    <row r="35" spans="1:8">
      <c r="A35" s="3" t="s">
        <v>678</v>
      </c>
      <c r="B35" s="3" t="s">
        <v>2330</v>
      </c>
      <c r="C35" s="3" t="s">
        <v>1042</v>
      </c>
      <c r="D35" s="21" t="s">
        <v>725</v>
      </c>
      <c r="E35" s="21"/>
      <c r="F35" s="22" t="s">
        <v>725</v>
      </c>
      <c r="G35" s="3"/>
      <c r="H35" s="3"/>
    </row>
    <row r="36" spans="1:8">
      <c r="A36" s="3" t="s">
        <v>678</v>
      </c>
      <c r="B36" s="3" t="s">
        <v>1026</v>
      </c>
      <c r="C36" s="3" t="s">
        <v>1027</v>
      </c>
      <c r="D36" s="21" t="s">
        <v>725</v>
      </c>
      <c r="E36" s="21"/>
      <c r="F36" s="22" t="s">
        <v>725</v>
      </c>
      <c r="G36" s="3"/>
      <c r="H36" s="3"/>
    </row>
    <row r="37" spans="1:8">
      <c r="A37" s="3" t="s">
        <v>678</v>
      </c>
      <c r="B37" s="3" t="s">
        <v>2331</v>
      </c>
      <c r="C37" s="3" t="s">
        <v>1023</v>
      </c>
      <c r="D37" s="21" t="s">
        <v>725</v>
      </c>
      <c r="E37" s="21"/>
      <c r="F37" s="22" t="s">
        <v>725</v>
      </c>
      <c r="G37" s="3"/>
      <c r="H37" s="3"/>
    </row>
    <row r="38" spans="1:8">
      <c r="A38" s="3" t="s">
        <v>678</v>
      </c>
      <c r="B38" s="21" t="s">
        <v>2185</v>
      </c>
      <c r="C38" s="21" t="s">
        <v>2186</v>
      </c>
      <c r="D38" s="21" t="s">
        <v>986</v>
      </c>
      <c r="E38" s="21"/>
      <c r="F38" s="22" t="s">
        <v>786</v>
      </c>
      <c r="G38" s="3"/>
      <c r="H38" s="3"/>
    </row>
    <row r="39" spans="1:8">
      <c r="A39" s="3" t="s">
        <v>678</v>
      </c>
      <c r="B39" s="3" t="s">
        <v>2332</v>
      </c>
      <c r="C39" s="3" t="s">
        <v>1070</v>
      </c>
      <c r="D39" s="3" t="s">
        <v>2333</v>
      </c>
      <c r="E39" s="3"/>
      <c r="F39" s="3" t="s">
        <v>804</v>
      </c>
      <c r="G39" s="3"/>
      <c r="H39" s="3"/>
    </row>
    <row r="40" spans="1:8">
      <c r="A40" s="3" t="s">
        <v>678</v>
      </c>
      <c r="B40" s="3" t="s">
        <v>2334</v>
      </c>
      <c r="C40" s="3" t="s">
        <v>2335</v>
      </c>
      <c r="D40" s="20" t="s">
        <v>2336</v>
      </c>
      <c r="E40" s="20"/>
      <c r="F40" s="3" t="s">
        <v>804</v>
      </c>
      <c r="G40" s="3"/>
      <c r="H40" s="3"/>
    </row>
    <row r="41" spans="1:8">
      <c r="A41" s="3" t="s">
        <v>678</v>
      </c>
      <c r="B41" s="3" t="s">
        <v>2337</v>
      </c>
      <c r="C41" s="3" t="s">
        <v>2338</v>
      </c>
      <c r="D41" s="21" t="s">
        <v>725</v>
      </c>
      <c r="E41" s="21"/>
      <c r="F41" s="22" t="s">
        <v>725</v>
      </c>
      <c r="G41" s="3"/>
      <c r="H41" s="3"/>
    </row>
    <row r="42" spans="1:8">
      <c r="A42" s="3" t="s">
        <v>678</v>
      </c>
      <c r="B42" s="3" t="s">
        <v>2339</v>
      </c>
      <c r="C42" s="3" t="s">
        <v>2340</v>
      </c>
      <c r="D42" s="21" t="s">
        <v>725</v>
      </c>
      <c r="E42" s="21"/>
      <c r="F42" s="22" t="s">
        <v>725</v>
      </c>
      <c r="G42" s="3"/>
      <c r="H42" s="3"/>
    </row>
    <row r="43" spans="1:8">
      <c r="A43" s="3" t="s">
        <v>678</v>
      </c>
      <c r="B43" s="3" t="s">
        <v>2341</v>
      </c>
      <c r="C43" s="3" t="s">
        <v>2342</v>
      </c>
      <c r="D43" s="21" t="s">
        <v>725</v>
      </c>
      <c r="E43" s="21"/>
      <c r="F43" s="22" t="s">
        <v>725</v>
      </c>
      <c r="G43" s="3"/>
      <c r="H43" s="3"/>
    </row>
    <row r="44" spans="1:8">
      <c r="A44" s="3" t="s">
        <v>678</v>
      </c>
      <c r="B44" s="3" t="s">
        <v>2343</v>
      </c>
      <c r="C44" s="3" t="s">
        <v>2344</v>
      </c>
      <c r="D44" s="21" t="s">
        <v>1018</v>
      </c>
      <c r="E44" s="21"/>
      <c r="F44" s="22" t="s">
        <v>804</v>
      </c>
      <c r="G44" s="3"/>
      <c r="H44" s="3"/>
    </row>
    <row r="45" spans="1:8">
      <c r="A45" s="3" t="s">
        <v>678</v>
      </c>
      <c r="B45" s="3" t="s">
        <v>2345</v>
      </c>
      <c r="C45" s="3" t="s">
        <v>2346</v>
      </c>
      <c r="D45" s="21" t="s">
        <v>1018</v>
      </c>
      <c r="E45" s="21"/>
      <c r="F45" s="22" t="s">
        <v>804</v>
      </c>
      <c r="G45" s="3"/>
      <c r="H45" s="3"/>
    </row>
    <row r="46" spans="1:8">
      <c r="A46" s="3" t="s">
        <v>678</v>
      </c>
      <c r="B46" s="3" t="s">
        <v>2347</v>
      </c>
      <c r="C46" s="3" t="s">
        <v>2348</v>
      </c>
      <c r="D46" s="3" t="s">
        <v>2349</v>
      </c>
      <c r="E46" s="3"/>
      <c r="F46" s="22" t="s">
        <v>804</v>
      </c>
      <c r="G46" s="3"/>
      <c r="H46" s="3"/>
    </row>
    <row r="47" spans="1:8">
      <c r="A47" s="3" t="s">
        <v>678</v>
      </c>
      <c r="B47" s="3" t="s">
        <v>2350</v>
      </c>
      <c r="C47" s="3" t="s">
        <v>2351</v>
      </c>
      <c r="D47" s="3" t="s">
        <v>2349</v>
      </c>
      <c r="E47" s="3"/>
      <c r="F47" s="22" t="s">
        <v>804</v>
      </c>
      <c r="G47" s="3"/>
      <c r="H47" s="3"/>
    </row>
    <row r="48" spans="1:8">
      <c r="A48" s="3" t="s">
        <v>678</v>
      </c>
      <c r="B48" s="3" t="s">
        <v>2352</v>
      </c>
      <c r="C48" s="3" t="s">
        <v>2353</v>
      </c>
      <c r="D48" s="3" t="s">
        <v>2349</v>
      </c>
      <c r="E48" s="3"/>
      <c r="F48" s="22" t="s">
        <v>804</v>
      </c>
      <c r="G48" s="3"/>
      <c r="H48" s="3"/>
    </row>
    <row r="49" spans="1:8">
      <c r="A49" s="3" t="s">
        <v>678</v>
      </c>
      <c r="B49" s="3" t="s">
        <v>2354</v>
      </c>
      <c r="C49" s="3" t="s">
        <v>2355</v>
      </c>
      <c r="D49" s="3" t="s">
        <v>2349</v>
      </c>
      <c r="E49" s="3"/>
      <c r="F49" s="22" t="s">
        <v>804</v>
      </c>
      <c r="G49" s="3"/>
      <c r="H49" s="3"/>
    </row>
    <row r="50" spans="1:8">
      <c r="A50" s="3" t="s">
        <v>678</v>
      </c>
      <c r="B50" s="3" t="s">
        <v>2356</v>
      </c>
      <c r="C50" s="3" t="s">
        <v>2357</v>
      </c>
      <c r="D50" s="3" t="s">
        <v>2358</v>
      </c>
      <c r="E50" s="3"/>
      <c r="F50" s="3" t="s">
        <v>804</v>
      </c>
      <c r="G50" s="3"/>
      <c r="H50" s="3"/>
    </row>
    <row r="51" spans="1:8">
      <c r="A51" s="3" t="s">
        <v>678</v>
      </c>
      <c r="B51" s="3" t="s">
        <v>2359</v>
      </c>
      <c r="C51" s="3" t="s">
        <v>2360</v>
      </c>
      <c r="D51" s="3" t="s">
        <v>2361</v>
      </c>
      <c r="E51" s="3"/>
      <c r="F51" s="3" t="s">
        <v>804</v>
      </c>
      <c r="G51" s="3"/>
      <c r="H51" s="3"/>
    </row>
    <row r="52" spans="1:8">
      <c r="A52" s="3" t="s">
        <v>678</v>
      </c>
      <c r="B52" s="3" t="s">
        <v>2362</v>
      </c>
      <c r="C52" s="3" t="s">
        <v>2363</v>
      </c>
      <c r="D52" s="3" t="s">
        <v>2358</v>
      </c>
      <c r="E52" s="3"/>
      <c r="F52" s="3" t="s">
        <v>804</v>
      </c>
      <c r="G52" s="3"/>
      <c r="H52" s="3"/>
    </row>
    <row r="53" spans="1:8">
      <c r="A53" s="3" t="s">
        <v>678</v>
      </c>
      <c r="B53" s="3" t="s">
        <v>2364</v>
      </c>
      <c r="C53" s="3" t="s">
        <v>2365</v>
      </c>
      <c r="D53" s="21" t="s">
        <v>1018</v>
      </c>
      <c r="E53" s="21"/>
      <c r="F53" s="22" t="s">
        <v>804</v>
      </c>
      <c r="G53" s="3"/>
      <c r="H53" s="3"/>
    </row>
    <row r="54" spans="1:8">
      <c r="A54" s="3" t="s">
        <v>678</v>
      </c>
      <c r="B54" s="3" t="s">
        <v>2366</v>
      </c>
      <c r="C54" s="3" t="s">
        <v>2367</v>
      </c>
      <c r="D54" s="21" t="s">
        <v>1018</v>
      </c>
      <c r="E54" s="21"/>
      <c r="F54" s="22" t="s">
        <v>804</v>
      </c>
      <c r="G54" s="3"/>
      <c r="H54" s="3"/>
    </row>
    <row r="55" spans="1:8">
      <c r="A55" s="3" t="s">
        <v>678</v>
      </c>
      <c r="B55" s="3" t="s">
        <v>2368</v>
      </c>
      <c r="C55" s="3" t="s">
        <v>2369</v>
      </c>
      <c r="D55" s="3" t="s">
        <v>2370</v>
      </c>
      <c r="E55" s="3"/>
      <c r="F55" s="3" t="s">
        <v>804</v>
      </c>
      <c r="G55" s="3"/>
      <c r="H55" s="3"/>
    </row>
    <row r="56" spans="1:8">
      <c r="A56" s="3" t="s">
        <v>678</v>
      </c>
      <c r="B56" s="3" t="s">
        <v>2371</v>
      </c>
      <c r="C56" s="3" t="s">
        <v>2372</v>
      </c>
      <c r="D56" s="21" t="s">
        <v>1018</v>
      </c>
      <c r="E56" s="21"/>
      <c r="F56" s="22" t="s">
        <v>804</v>
      </c>
      <c r="G56" s="3"/>
      <c r="H56" s="3"/>
    </row>
    <row r="57" spans="1:8">
      <c r="A57" s="3" t="s">
        <v>678</v>
      </c>
      <c r="B57" s="3" t="s">
        <v>2373</v>
      </c>
      <c r="C57" s="3" t="s">
        <v>2374</v>
      </c>
      <c r="D57" s="3" t="s">
        <v>2375</v>
      </c>
      <c r="E57" s="3"/>
      <c r="F57" s="3" t="s">
        <v>804</v>
      </c>
      <c r="G57" s="3"/>
      <c r="H57" s="3"/>
    </row>
    <row r="58" spans="1:8">
      <c r="A58" s="3" t="s">
        <v>678</v>
      </c>
      <c r="B58" s="3" t="s">
        <v>2376</v>
      </c>
      <c r="C58" s="3" t="s">
        <v>2377</v>
      </c>
      <c r="D58" s="3" t="s">
        <v>2349</v>
      </c>
      <c r="E58" s="3"/>
      <c r="F58" s="22" t="s">
        <v>804</v>
      </c>
      <c r="G58" s="3"/>
      <c r="H58" s="3"/>
    </row>
    <row r="59" spans="1:8">
      <c r="A59" s="3" t="s">
        <v>678</v>
      </c>
      <c r="B59" s="3" t="s">
        <v>2378</v>
      </c>
      <c r="C59" s="3" t="s">
        <v>2379</v>
      </c>
      <c r="D59" s="3" t="s">
        <v>2349</v>
      </c>
      <c r="E59" s="3"/>
      <c r="F59" s="22" t="s">
        <v>804</v>
      </c>
      <c r="G59" s="3"/>
      <c r="H59" s="3"/>
    </row>
    <row r="60" spans="1:8">
      <c r="A60" s="3" t="s">
        <v>678</v>
      </c>
      <c r="B60" s="3" t="s">
        <v>2380</v>
      </c>
      <c r="C60" s="3" t="s">
        <v>2381</v>
      </c>
      <c r="D60" s="3" t="s">
        <v>2358</v>
      </c>
      <c r="E60" s="3"/>
      <c r="F60" s="3" t="s">
        <v>804</v>
      </c>
      <c r="G60" s="3"/>
      <c r="H60" s="3"/>
    </row>
    <row r="61" spans="1:8">
      <c r="A61" s="3" t="s">
        <v>678</v>
      </c>
      <c r="B61" s="3" t="s">
        <v>2382</v>
      </c>
      <c r="C61" s="3" t="s">
        <v>2383</v>
      </c>
      <c r="D61" s="3" t="s">
        <v>2358</v>
      </c>
      <c r="E61" s="3"/>
      <c r="F61" s="3" t="s">
        <v>804</v>
      </c>
      <c r="G61" s="3"/>
      <c r="H61" s="3"/>
    </row>
    <row r="62" spans="1:8">
      <c r="A62" s="3" t="s">
        <v>678</v>
      </c>
      <c r="B62" s="3" t="s">
        <v>2384</v>
      </c>
      <c r="C62" s="3" t="s">
        <v>2385</v>
      </c>
      <c r="D62" s="21" t="s">
        <v>1018</v>
      </c>
      <c r="E62" s="21"/>
      <c r="F62" s="22" t="s">
        <v>804</v>
      </c>
      <c r="G62" s="3"/>
      <c r="H62" s="3"/>
    </row>
    <row r="63" spans="1:8" ht="30">
      <c r="A63" s="3" t="s">
        <v>678</v>
      </c>
      <c r="B63" s="20" t="s">
        <v>2391</v>
      </c>
      <c r="C63" s="3" t="s">
        <v>2392</v>
      </c>
      <c r="D63" s="3" t="s">
        <v>646</v>
      </c>
      <c r="E63" s="3"/>
      <c r="F63" s="3" t="s">
        <v>2393</v>
      </c>
      <c r="G63" s="20"/>
      <c r="H63" s="3"/>
    </row>
    <row r="64" spans="1:8" ht="30">
      <c r="A64" s="3" t="s">
        <v>678</v>
      </c>
      <c r="B64" s="20" t="s">
        <v>2394</v>
      </c>
      <c r="C64" s="3" t="s">
        <v>2395</v>
      </c>
      <c r="D64" s="3" t="s">
        <v>646</v>
      </c>
      <c r="E64" s="3"/>
      <c r="F64" s="3" t="s">
        <v>2393</v>
      </c>
      <c r="G64" s="20"/>
      <c r="H64" s="3"/>
    </row>
    <row r="65" spans="1:8">
      <c r="A65" s="3" t="s">
        <v>678</v>
      </c>
      <c r="B65" s="3" t="s">
        <v>2396</v>
      </c>
      <c r="C65" s="3" t="s">
        <v>2397</v>
      </c>
      <c r="D65" s="3" t="s">
        <v>646</v>
      </c>
      <c r="E65" s="3"/>
      <c r="F65" s="3" t="s">
        <v>2393</v>
      </c>
      <c r="G65" s="20"/>
      <c r="H65" s="3"/>
    </row>
    <row r="66" spans="1:8">
      <c r="A66" s="3" t="s">
        <v>678</v>
      </c>
      <c r="B66" s="3" t="s">
        <v>2398</v>
      </c>
      <c r="C66" s="3" t="s">
        <v>2399</v>
      </c>
      <c r="D66" s="3" t="s">
        <v>646</v>
      </c>
      <c r="E66" s="3"/>
      <c r="F66" s="3" t="s">
        <v>2393</v>
      </c>
      <c r="G66" s="20"/>
      <c r="H66" s="3"/>
    </row>
    <row r="67" spans="1:8">
      <c r="A67" s="3" t="s">
        <v>678</v>
      </c>
      <c r="B67" s="20" t="s">
        <v>2400</v>
      </c>
      <c r="C67" s="3" t="s">
        <v>1017</v>
      </c>
      <c r="D67" s="3" t="s">
        <v>646</v>
      </c>
      <c r="E67" s="3"/>
      <c r="F67" s="3" t="s">
        <v>2393</v>
      </c>
      <c r="G67" s="20"/>
      <c r="H67" s="3"/>
    </row>
    <row r="68" spans="1:8">
      <c r="A68" s="3" t="s">
        <v>678</v>
      </c>
      <c r="B68" s="20" t="s">
        <v>2401</v>
      </c>
      <c r="C68" s="3" t="s">
        <v>1900</v>
      </c>
      <c r="D68" s="3" t="s">
        <v>646</v>
      </c>
      <c r="E68" s="3"/>
      <c r="F68" s="3" t="s">
        <v>2393</v>
      </c>
      <c r="G68" s="20"/>
      <c r="H68" s="3"/>
    </row>
    <row r="69" spans="1:8">
      <c r="A69" s="3" t="s">
        <v>678</v>
      </c>
      <c r="B69" s="3" t="s">
        <v>2402</v>
      </c>
      <c r="C69" s="3" t="s">
        <v>1902</v>
      </c>
      <c r="D69" s="3" t="s">
        <v>646</v>
      </c>
      <c r="E69" s="3"/>
      <c r="F69" s="3" t="s">
        <v>2393</v>
      </c>
      <c r="G69" s="20"/>
      <c r="H69" s="3"/>
    </row>
    <row r="70" spans="1:8">
      <c r="A70" s="3" t="s">
        <v>678</v>
      </c>
      <c r="B70" s="3" t="s">
        <v>2403</v>
      </c>
      <c r="C70" s="3" t="s">
        <v>2404</v>
      </c>
      <c r="D70" s="3" t="s">
        <v>646</v>
      </c>
      <c r="E70" s="3"/>
      <c r="F70" s="3" t="s">
        <v>2393</v>
      </c>
      <c r="G70" s="20"/>
      <c r="H70" s="3"/>
    </row>
    <row r="71" spans="1:8">
      <c r="A71" s="3" t="s">
        <v>678</v>
      </c>
      <c r="B71" s="20" t="s">
        <v>2405</v>
      </c>
      <c r="C71" s="3" t="s">
        <v>1211</v>
      </c>
      <c r="D71" s="3" t="s">
        <v>646</v>
      </c>
      <c r="E71" s="3"/>
      <c r="F71" s="3" t="s">
        <v>2393</v>
      </c>
      <c r="G71" s="20"/>
      <c r="H71" s="3"/>
    </row>
    <row r="72" spans="1:8">
      <c r="A72" s="3" t="s">
        <v>678</v>
      </c>
      <c r="B72" s="3" t="s">
        <v>2406</v>
      </c>
      <c r="C72" s="3" t="s">
        <v>1209</v>
      </c>
      <c r="D72" s="3" t="s">
        <v>646</v>
      </c>
      <c r="E72" s="3"/>
      <c r="F72" s="3" t="s">
        <v>2393</v>
      </c>
      <c r="G72" s="20"/>
      <c r="H72" s="3"/>
    </row>
    <row r="73" spans="1:8">
      <c r="A73" s="3" t="s">
        <v>678</v>
      </c>
      <c r="B73" s="3" t="s">
        <v>2407</v>
      </c>
      <c r="C73" s="3" t="s">
        <v>2408</v>
      </c>
      <c r="D73" s="3" t="s">
        <v>646</v>
      </c>
      <c r="E73" s="3"/>
      <c r="F73" s="3" t="s">
        <v>2393</v>
      </c>
      <c r="G73" s="20"/>
      <c r="H73" s="3"/>
    </row>
    <row r="74" spans="1:8" ht="60">
      <c r="A74" s="3" t="s">
        <v>2409</v>
      </c>
      <c r="B74" s="21" t="s">
        <v>2283</v>
      </c>
      <c r="C74" s="3" t="s">
        <v>476</v>
      </c>
      <c r="D74" s="21" t="s">
        <v>725</v>
      </c>
      <c r="E74" s="21"/>
      <c r="F74" s="22" t="s">
        <v>725</v>
      </c>
      <c r="G74" s="22" t="s">
        <v>2410</v>
      </c>
    </row>
    <row r="75" spans="1:8" ht="25.5">
      <c r="A75" s="3" t="s">
        <v>2409</v>
      </c>
      <c r="B75" s="21" t="s">
        <v>2411</v>
      </c>
      <c r="C75" s="21" t="s">
        <v>2412</v>
      </c>
      <c r="D75" s="25"/>
      <c r="E75" s="25" t="s">
        <v>2413</v>
      </c>
      <c r="F75" s="25" t="s">
        <v>804</v>
      </c>
      <c r="G75" s="25"/>
    </row>
    <row r="76" spans="1:8">
      <c r="A76" s="3" t="s">
        <v>2409</v>
      </c>
      <c r="B76" s="21" t="s">
        <v>2414</v>
      </c>
      <c r="C76" s="21" t="s">
        <v>1133</v>
      </c>
      <c r="D76" s="21" t="s">
        <v>725</v>
      </c>
      <c r="E76" s="21"/>
      <c r="F76" s="22" t="s">
        <v>725</v>
      </c>
      <c r="G76" s="3"/>
    </row>
  </sheetData>
  <autoFilter ref="A5:H5" xr:uid="{BC3EC516-0B43-48B1-A924-9567336493E3}"/>
  <mergeCells count="2">
    <mergeCell ref="B2:H2"/>
    <mergeCell ref="B3:H3"/>
  </mergeCells>
  <hyperlinks>
    <hyperlink ref="A1" location="Summary!A1" display="Summary" xr:uid="{AE11DE80-C194-4844-B716-D9AB27143F73}"/>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09963-ED0F-47ED-99B6-DA21B597C5B9}">
  <dimension ref="A1:G31"/>
  <sheetViews>
    <sheetView workbookViewId="0">
      <pane xSplit="1" ySplit="5" topLeftCell="B6" activePane="bottomRight" state="frozen"/>
      <selection pane="bottomRight"/>
      <selection pane="bottomLeft" activeCell="B4" sqref="B4"/>
      <selection pane="topRight" activeCell="B4" sqref="B4"/>
    </sheetView>
  </sheetViews>
  <sheetFormatPr defaultRowHeight="15"/>
  <cols>
    <col min="1" max="1" width="30" bestFit="1" customWidth="1"/>
    <col min="2" max="2" width="31.5703125" bestFit="1" customWidth="1"/>
    <col min="3" max="4" width="26.5703125" customWidth="1"/>
    <col min="5" max="5" width="25.7109375" customWidth="1"/>
    <col min="6" max="7" width="23.85546875" customWidth="1"/>
  </cols>
  <sheetData>
    <row r="1" spans="1:7">
      <c r="A1" s="1" t="s">
        <v>773</v>
      </c>
      <c r="B1" s="44"/>
      <c r="C1" s="44"/>
      <c r="D1" s="44"/>
      <c r="E1" s="44"/>
      <c r="F1" s="44"/>
      <c r="G1" s="44"/>
    </row>
    <row r="2" spans="1:7">
      <c r="A2" s="40" t="s">
        <v>2415</v>
      </c>
      <c r="B2" s="44"/>
      <c r="C2" s="44"/>
      <c r="D2" s="44"/>
      <c r="E2" s="44"/>
      <c r="F2" s="44"/>
      <c r="G2" s="44"/>
    </row>
    <row r="3" spans="1:7">
      <c r="A3" s="40" t="s">
        <v>571</v>
      </c>
      <c r="B3" s="44"/>
      <c r="C3" s="44"/>
      <c r="D3" s="44"/>
      <c r="E3" s="44"/>
      <c r="F3" s="44"/>
      <c r="G3" s="44"/>
    </row>
    <row r="4" spans="1:7">
      <c r="A4" s="44"/>
      <c r="B4" s="44"/>
      <c r="C4" s="44"/>
      <c r="D4" s="44"/>
      <c r="E4" s="44"/>
      <c r="F4" s="44"/>
      <c r="G4" s="44"/>
    </row>
    <row r="5" spans="1:7">
      <c r="A5" s="65" t="s">
        <v>775</v>
      </c>
      <c r="B5" s="65" t="s">
        <v>776</v>
      </c>
      <c r="C5" s="65" t="s">
        <v>777</v>
      </c>
      <c r="D5" s="66" t="s">
        <v>778</v>
      </c>
      <c r="E5" s="66" t="s">
        <v>779</v>
      </c>
      <c r="F5" s="66" t="s">
        <v>568</v>
      </c>
      <c r="G5" s="66" t="s">
        <v>780</v>
      </c>
    </row>
    <row r="6" spans="1:7">
      <c r="A6" s="67" t="s">
        <v>1639</v>
      </c>
      <c r="B6" s="67" t="s">
        <v>1012</v>
      </c>
      <c r="C6" s="67" t="s">
        <v>725</v>
      </c>
      <c r="D6" s="67"/>
      <c r="E6" s="67" t="s">
        <v>725</v>
      </c>
      <c r="F6" s="67" t="s">
        <v>1237</v>
      </c>
      <c r="G6" s="67"/>
    </row>
    <row r="7" spans="1:7" ht="30">
      <c r="A7" s="67" t="s">
        <v>2416</v>
      </c>
      <c r="B7" s="67" t="s">
        <v>2417</v>
      </c>
      <c r="C7" s="69" t="s">
        <v>2418</v>
      </c>
      <c r="D7" s="67"/>
      <c r="E7" s="67" t="s">
        <v>786</v>
      </c>
      <c r="F7" s="67" t="s">
        <v>1237</v>
      </c>
      <c r="G7" s="67"/>
    </row>
    <row r="8" spans="1:7">
      <c r="A8" s="67" t="s">
        <v>1228</v>
      </c>
      <c r="B8" s="67" t="s">
        <v>1229</v>
      </c>
      <c r="C8" s="67" t="s">
        <v>2419</v>
      </c>
      <c r="D8" s="67"/>
      <c r="E8" s="67" t="s">
        <v>786</v>
      </c>
      <c r="F8" s="67" t="s">
        <v>1237</v>
      </c>
      <c r="G8" s="67"/>
    </row>
    <row r="9" spans="1:7" ht="30">
      <c r="A9" s="67" t="s">
        <v>2420</v>
      </c>
      <c r="B9" s="67" t="s">
        <v>2421</v>
      </c>
      <c r="C9" s="68" t="s">
        <v>2422</v>
      </c>
      <c r="D9" s="234" t="s">
        <v>2423</v>
      </c>
      <c r="E9" s="67" t="s">
        <v>828</v>
      </c>
      <c r="F9" s="67" t="s">
        <v>1237</v>
      </c>
      <c r="G9" s="67"/>
    </row>
    <row r="10" spans="1:7">
      <c r="A10" s="67" t="s">
        <v>2424</v>
      </c>
      <c r="B10" s="67" t="s">
        <v>1006</v>
      </c>
      <c r="C10" s="67" t="s">
        <v>725</v>
      </c>
      <c r="D10" s="67"/>
      <c r="E10" s="67" t="s">
        <v>725</v>
      </c>
      <c r="F10" s="67" t="s">
        <v>1237</v>
      </c>
      <c r="G10" s="67"/>
    </row>
    <row r="11" spans="1:7">
      <c r="A11" s="67" t="s">
        <v>2425</v>
      </c>
      <c r="B11" s="67" t="s">
        <v>2426</v>
      </c>
      <c r="C11" s="67" t="s">
        <v>725</v>
      </c>
      <c r="D11" s="67"/>
      <c r="E11" s="67" t="s">
        <v>725</v>
      </c>
      <c r="F11" s="67" t="s">
        <v>1237</v>
      </c>
      <c r="G11" s="67"/>
    </row>
    <row r="12" spans="1:7" ht="37.5" customHeight="1">
      <c r="A12" s="67" t="s">
        <v>2427</v>
      </c>
      <c r="B12" s="67" t="s">
        <v>2428</v>
      </c>
      <c r="C12" s="68" t="s">
        <v>2422</v>
      </c>
      <c r="D12" s="68" t="s">
        <v>2429</v>
      </c>
      <c r="E12" s="67" t="s">
        <v>828</v>
      </c>
      <c r="F12" s="67" t="s">
        <v>1237</v>
      </c>
      <c r="G12" s="67"/>
    </row>
    <row r="13" spans="1:7" ht="30">
      <c r="A13" s="67" t="s">
        <v>2430</v>
      </c>
      <c r="B13" s="67" t="s">
        <v>1017</v>
      </c>
      <c r="C13" s="68" t="s">
        <v>2431</v>
      </c>
      <c r="D13" s="68"/>
      <c r="E13" s="67" t="s">
        <v>828</v>
      </c>
      <c r="F13" s="67" t="s">
        <v>1237</v>
      </c>
      <c r="G13" s="67"/>
    </row>
    <row r="14" spans="1:7" ht="30">
      <c r="A14" s="67" t="s">
        <v>2432</v>
      </c>
      <c r="B14" s="67" t="s">
        <v>2433</v>
      </c>
      <c r="C14" s="69" t="s">
        <v>2434</v>
      </c>
      <c r="D14" s="67"/>
      <c r="E14" s="67" t="s">
        <v>828</v>
      </c>
      <c r="F14" s="67" t="s">
        <v>1237</v>
      </c>
      <c r="G14" s="67"/>
    </row>
    <row r="15" spans="1:7">
      <c r="A15" s="67" t="s">
        <v>2435</v>
      </c>
      <c r="B15" s="67" t="s">
        <v>2436</v>
      </c>
      <c r="C15" s="67" t="s">
        <v>2437</v>
      </c>
      <c r="D15" s="67"/>
      <c r="E15" s="67" t="s">
        <v>828</v>
      </c>
      <c r="F15" s="67" t="s">
        <v>1237</v>
      </c>
      <c r="G15" s="67"/>
    </row>
    <row r="16" spans="1:7">
      <c r="A16" s="67" t="s">
        <v>2438</v>
      </c>
      <c r="B16" s="67" t="s">
        <v>2439</v>
      </c>
      <c r="C16" s="67" t="s">
        <v>725</v>
      </c>
      <c r="D16" s="67"/>
      <c r="E16" s="67" t="s">
        <v>725</v>
      </c>
      <c r="F16" s="67" t="s">
        <v>1237</v>
      </c>
      <c r="G16" s="67"/>
    </row>
    <row r="17" spans="1:7" ht="30">
      <c r="A17" s="67" t="s">
        <v>2440</v>
      </c>
      <c r="B17" s="67" t="s">
        <v>2441</v>
      </c>
      <c r="C17" s="69" t="s">
        <v>2442</v>
      </c>
      <c r="D17" s="67"/>
      <c r="E17" s="67" t="s">
        <v>828</v>
      </c>
      <c r="F17" s="67" t="s">
        <v>1237</v>
      </c>
      <c r="G17" s="67"/>
    </row>
    <row r="18" spans="1:7">
      <c r="A18" s="67" t="s">
        <v>2443</v>
      </c>
      <c r="B18" s="67" t="s">
        <v>2444</v>
      </c>
      <c r="C18" s="67" t="s">
        <v>725</v>
      </c>
      <c r="D18" s="67"/>
      <c r="E18" s="67" t="s">
        <v>725</v>
      </c>
      <c r="F18" s="67" t="s">
        <v>1237</v>
      </c>
      <c r="G18" s="67"/>
    </row>
    <row r="19" spans="1:7" ht="30">
      <c r="A19" s="67" t="s">
        <v>2445</v>
      </c>
      <c r="B19" s="67" t="s">
        <v>2446</v>
      </c>
      <c r="C19" s="69" t="s">
        <v>2447</v>
      </c>
      <c r="D19" s="67"/>
      <c r="E19" s="67" t="s">
        <v>828</v>
      </c>
      <c r="F19" s="67" t="s">
        <v>1237</v>
      </c>
      <c r="G19" s="67"/>
    </row>
    <row r="20" spans="1:7">
      <c r="A20" s="67" t="s">
        <v>946</v>
      </c>
      <c r="B20" s="67" t="s">
        <v>806</v>
      </c>
      <c r="C20" s="67" t="s">
        <v>725</v>
      </c>
      <c r="D20" s="67"/>
      <c r="E20" s="67" t="s">
        <v>725</v>
      </c>
      <c r="F20" s="67" t="s">
        <v>1237</v>
      </c>
      <c r="G20" s="67"/>
    </row>
    <row r="21" spans="1:7" ht="30">
      <c r="A21" s="67" t="s">
        <v>2448</v>
      </c>
      <c r="B21" s="67" t="s">
        <v>2449</v>
      </c>
      <c r="C21" s="69" t="s">
        <v>2450</v>
      </c>
      <c r="D21" s="67"/>
      <c r="E21" s="67" t="s">
        <v>828</v>
      </c>
      <c r="F21" s="67" t="s">
        <v>1237</v>
      </c>
      <c r="G21" s="67"/>
    </row>
    <row r="22" spans="1:7" ht="30">
      <c r="A22" s="67" t="s">
        <v>2451</v>
      </c>
      <c r="B22" s="67" t="s">
        <v>2452</v>
      </c>
      <c r="C22" s="69" t="s">
        <v>2453</v>
      </c>
      <c r="D22" s="67"/>
      <c r="E22" s="67" t="s">
        <v>828</v>
      </c>
      <c r="F22" s="67" t="s">
        <v>1237</v>
      </c>
      <c r="G22" s="67"/>
    </row>
    <row r="23" spans="1:7">
      <c r="A23" s="67" t="s">
        <v>1464</v>
      </c>
      <c r="B23" s="67" t="s">
        <v>1465</v>
      </c>
      <c r="C23" s="67" t="s">
        <v>725</v>
      </c>
      <c r="D23" s="67"/>
      <c r="E23" s="67" t="s">
        <v>725</v>
      </c>
      <c r="F23" s="67" t="s">
        <v>1237</v>
      </c>
      <c r="G23" s="67"/>
    </row>
    <row r="24" spans="1:7" ht="30">
      <c r="A24" s="67" t="s">
        <v>2454</v>
      </c>
      <c r="B24" s="67" t="s">
        <v>2455</v>
      </c>
      <c r="C24" s="68" t="s">
        <v>2422</v>
      </c>
      <c r="D24" s="68" t="s">
        <v>2456</v>
      </c>
      <c r="E24" s="67" t="s">
        <v>828</v>
      </c>
      <c r="F24" s="67" t="s">
        <v>1237</v>
      </c>
      <c r="G24" s="67"/>
    </row>
    <row r="25" spans="1:7">
      <c r="A25" s="67" t="s">
        <v>1218</v>
      </c>
      <c r="B25" s="67" t="s">
        <v>1219</v>
      </c>
      <c r="C25" s="67" t="s">
        <v>725</v>
      </c>
      <c r="D25" s="67"/>
      <c r="E25" s="67" t="s">
        <v>725</v>
      </c>
      <c r="F25" s="67" t="s">
        <v>1237</v>
      </c>
      <c r="G25" s="67"/>
    </row>
    <row r="26" spans="1:7" ht="30">
      <c r="A26" s="67" t="s">
        <v>1222</v>
      </c>
      <c r="B26" s="67" t="s">
        <v>1223</v>
      </c>
      <c r="C26" s="69" t="s">
        <v>2457</v>
      </c>
      <c r="D26" s="67"/>
      <c r="E26" s="67" t="s">
        <v>828</v>
      </c>
      <c r="F26" s="67" t="s">
        <v>1237</v>
      </c>
      <c r="G26" s="67"/>
    </row>
    <row r="27" spans="1:7">
      <c r="A27" s="67" t="s">
        <v>1210</v>
      </c>
      <c r="B27" s="67" t="s">
        <v>1211</v>
      </c>
      <c r="C27" s="67" t="s">
        <v>725</v>
      </c>
      <c r="D27" s="67"/>
      <c r="E27" s="67" t="s">
        <v>725</v>
      </c>
      <c r="F27" s="67" t="s">
        <v>1237</v>
      </c>
      <c r="G27" s="67"/>
    </row>
    <row r="28" spans="1:7">
      <c r="A28" s="67" t="s">
        <v>1208</v>
      </c>
      <c r="B28" s="67" t="s">
        <v>1209</v>
      </c>
      <c r="C28" s="67" t="s">
        <v>725</v>
      </c>
      <c r="D28" s="67"/>
      <c r="E28" s="67" t="s">
        <v>725</v>
      </c>
      <c r="F28" s="67" t="s">
        <v>1237</v>
      </c>
      <c r="G28" s="67"/>
    </row>
    <row r="29" spans="1:7">
      <c r="A29" s="67" t="s">
        <v>1224</v>
      </c>
      <c r="B29" s="67" t="s">
        <v>1225</v>
      </c>
      <c r="C29" s="67" t="s">
        <v>725</v>
      </c>
      <c r="D29" s="67"/>
      <c r="E29" s="67" t="s">
        <v>725</v>
      </c>
      <c r="F29" s="67" t="s">
        <v>1237</v>
      </c>
      <c r="G29" s="67"/>
    </row>
    <row r="30" spans="1:7">
      <c r="A30" s="67" t="s">
        <v>1220</v>
      </c>
      <c r="B30" s="67" t="s">
        <v>1221</v>
      </c>
      <c r="C30" s="67" t="s">
        <v>725</v>
      </c>
      <c r="D30" s="67"/>
      <c r="E30" s="67" t="s">
        <v>725</v>
      </c>
      <c r="F30" s="67" t="s">
        <v>1237</v>
      </c>
      <c r="G30" s="67"/>
    </row>
    <row r="31" spans="1:7">
      <c r="A31" s="67" t="s">
        <v>2458</v>
      </c>
      <c r="B31" s="67" t="s">
        <v>2459</v>
      </c>
      <c r="C31" s="67" t="s">
        <v>725</v>
      </c>
      <c r="D31" s="67"/>
      <c r="E31" s="67" t="s">
        <v>725</v>
      </c>
      <c r="F31" s="67" t="s">
        <v>1237</v>
      </c>
      <c r="G31" s="67"/>
    </row>
  </sheetData>
  <hyperlinks>
    <hyperlink ref="A1" location="Summary!A1" display="Summary" xr:uid="{D61B0835-A4AA-4906-A782-260A6A5842E9}"/>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3229-30ED-4DF1-A838-197783BB9E23}">
  <dimension ref="A1:G28"/>
  <sheetViews>
    <sheetView workbookViewId="0">
      <pane xSplit="1" ySplit="5" topLeftCell="B6" activePane="bottomRight" state="frozen"/>
      <selection pane="bottomRight" activeCell="B8" sqref="B8"/>
      <selection pane="bottomLeft" activeCell="B4" sqref="B4"/>
      <selection pane="topRight" activeCell="B4" sqref="B4"/>
    </sheetView>
  </sheetViews>
  <sheetFormatPr defaultRowHeight="15"/>
  <cols>
    <col min="1" max="1" width="26" bestFit="1" customWidth="1"/>
    <col min="2" max="2" width="30" customWidth="1"/>
    <col min="3" max="3" width="23.5703125" customWidth="1"/>
    <col min="4" max="4" width="26.140625" customWidth="1"/>
    <col min="5" max="5" width="9.7109375" bestFit="1" customWidth="1"/>
    <col min="6" max="6" width="35.42578125" customWidth="1"/>
    <col min="7" max="7" width="35.7109375" customWidth="1"/>
  </cols>
  <sheetData>
    <row r="1" spans="1:7">
      <c r="A1" s="1" t="s">
        <v>773</v>
      </c>
      <c r="B1" s="39"/>
      <c r="C1" s="39"/>
      <c r="D1" s="39"/>
      <c r="E1" s="39"/>
      <c r="F1" s="39"/>
      <c r="G1" s="39"/>
    </row>
    <row r="2" spans="1:7">
      <c r="A2" s="40" t="s">
        <v>2460</v>
      </c>
      <c r="B2" s="39"/>
      <c r="C2" s="39"/>
      <c r="D2" s="39"/>
      <c r="E2" s="39"/>
      <c r="F2" s="39"/>
      <c r="G2" s="39"/>
    </row>
    <row r="3" spans="1:7">
      <c r="A3" s="30" t="s">
        <v>571</v>
      </c>
      <c r="B3" s="39"/>
      <c r="C3" s="39"/>
      <c r="D3" s="39"/>
      <c r="E3" s="39"/>
      <c r="F3" s="39"/>
      <c r="G3" s="39"/>
    </row>
    <row r="4" spans="1:7">
      <c r="A4" s="40" t="s">
        <v>566</v>
      </c>
      <c r="B4" s="39"/>
      <c r="C4" s="39"/>
      <c r="D4" s="39"/>
      <c r="E4" s="39"/>
      <c r="F4" s="39"/>
      <c r="G4" s="39"/>
    </row>
    <row r="5" spans="1:7">
      <c r="A5" s="31" t="s">
        <v>775</v>
      </c>
      <c r="B5" s="31" t="s">
        <v>776</v>
      </c>
      <c r="C5" s="31" t="s">
        <v>777</v>
      </c>
      <c r="D5" s="31" t="s">
        <v>778</v>
      </c>
      <c r="E5" s="31" t="s">
        <v>779</v>
      </c>
      <c r="F5" s="31" t="s">
        <v>568</v>
      </c>
      <c r="G5" s="31" t="s">
        <v>780</v>
      </c>
    </row>
    <row r="6" spans="1:7">
      <c r="A6" s="42" t="s">
        <v>1640</v>
      </c>
      <c r="B6" s="43" t="s">
        <v>1641</v>
      </c>
      <c r="C6" s="43" t="s">
        <v>725</v>
      </c>
      <c r="D6" s="43"/>
      <c r="E6" s="43" t="s">
        <v>725</v>
      </c>
      <c r="F6" s="43"/>
      <c r="G6" s="43" t="s">
        <v>1237</v>
      </c>
    </row>
    <row r="7" spans="1:7">
      <c r="A7" s="42" t="s">
        <v>1635</v>
      </c>
      <c r="B7" s="43" t="s">
        <v>1636</v>
      </c>
      <c r="C7" s="43" t="s">
        <v>1864</v>
      </c>
      <c r="D7" s="43"/>
      <c r="E7" s="43" t="s">
        <v>786</v>
      </c>
      <c r="F7" s="43"/>
      <c r="G7" s="43" t="s">
        <v>1237</v>
      </c>
    </row>
    <row r="8" spans="1:7">
      <c r="A8" s="42" t="s">
        <v>1639</v>
      </c>
      <c r="B8" s="43" t="s">
        <v>1012</v>
      </c>
      <c r="C8" s="43" t="s">
        <v>2461</v>
      </c>
      <c r="D8" s="43"/>
      <c r="E8" s="43" t="s">
        <v>828</v>
      </c>
      <c r="F8" s="43"/>
      <c r="G8" s="43" t="s">
        <v>1237</v>
      </c>
    </row>
    <row r="9" spans="1:7" ht="30">
      <c r="A9" s="42" t="s">
        <v>1627</v>
      </c>
      <c r="B9" s="43" t="s">
        <v>1611</v>
      </c>
      <c r="C9" s="46" t="s">
        <v>2462</v>
      </c>
      <c r="D9" s="46"/>
      <c r="E9" s="43" t="s">
        <v>828</v>
      </c>
      <c r="F9" s="43"/>
      <c r="G9" s="43" t="s">
        <v>1237</v>
      </c>
    </row>
    <row r="10" spans="1:7">
      <c r="A10" s="42" t="s">
        <v>1646</v>
      </c>
      <c r="B10" s="43" t="s">
        <v>1647</v>
      </c>
      <c r="C10" s="43" t="s">
        <v>2463</v>
      </c>
      <c r="D10" s="43"/>
      <c r="E10" s="43" t="s">
        <v>828</v>
      </c>
      <c r="F10" s="43"/>
      <c r="G10" s="43" t="s">
        <v>1237</v>
      </c>
    </row>
    <row r="11" spans="1:7">
      <c r="A11" s="42" t="s">
        <v>1632</v>
      </c>
      <c r="B11" s="43" t="s">
        <v>879</v>
      </c>
      <c r="C11" s="43" t="s">
        <v>725</v>
      </c>
      <c r="D11" s="43"/>
      <c r="E11" s="43" t="s">
        <v>725</v>
      </c>
      <c r="F11" s="43"/>
      <c r="G11" s="43" t="s">
        <v>1237</v>
      </c>
    </row>
    <row r="12" spans="1:7">
      <c r="A12" s="42" t="s">
        <v>928</v>
      </c>
      <c r="B12" s="43" t="s">
        <v>784</v>
      </c>
      <c r="C12" s="43" t="s">
        <v>912</v>
      </c>
      <c r="D12" s="43"/>
      <c r="E12" s="43" t="s">
        <v>786</v>
      </c>
      <c r="F12" s="43"/>
      <c r="G12" s="43" t="s">
        <v>1237</v>
      </c>
    </row>
    <row r="13" spans="1:7">
      <c r="A13" s="42" t="s">
        <v>924</v>
      </c>
      <c r="B13" s="43" t="s">
        <v>564</v>
      </c>
      <c r="C13" s="19" t="s">
        <v>913</v>
      </c>
      <c r="D13" s="52"/>
      <c r="E13" s="43" t="s">
        <v>786</v>
      </c>
      <c r="F13" s="43"/>
      <c r="G13" s="43" t="s">
        <v>1237</v>
      </c>
    </row>
    <row r="14" spans="1:7">
      <c r="A14" s="42" t="s">
        <v>945</v>
      </c>
      <c r="B14" s="43" t="s">
        <v>800</v>
      </c>
      <c r="C14" s="43" t="s">
        <v>725</v>
      </c>
      <c r="D14" s="43"/>
      <c r="E14" s="43" t="s">
        <v>725</v>
      </c>
      <c r="F14" s="43"/>
      <c r="G14" s="43" t="s">
        <v>1237</v>
      </c>
    </row>
    <row r="15" spans="1:7">
      <c r="A15" s="42" t="s">
        <v>1644</v>
      </c>
      <c r="B15" s="43" t="s">
        <v>1645</v>
      </c>
      <c r="C15" s="43" t="s">
        <v>725</v>
      </c>
      <c r="D15" s="43"/>
      <c r="E15" s="43" t="s">
        <v>725</v>
      </c>
      <c r="F15" s="43"/>
      <c r="G15" s="43" t="s">
        <v>1237</v>
      </c>
    </row>
    <row r="16" spans="1:7">
      <c r="A16" s="42" t="s">
        <v>946</v>
      </c>
      <c r="B16" s="43" t="s">
        <v>806</v>
      </c>
      <c r="C16" s="43" t="s">
        <v>725</v>
      </c>
      <c r="D16" s="43"/>
      <c r="E16" s="43" t="s">
        <v>725</v>
      </c>
      <c r="F16" s="43"/>
      <c r="G16" s="43" t="s">
        <v>1237</v>
      </c>
    </row>
    <row r="17" spans="1:7">
      <c r="A17" s="42" t="s">
        <v>1630</v>
      </c>
      <c r="B17" s="43" t="s">
        <v>1631</v>
      </c>
      <c r="C17" s="43" t="s">
        <v>2464</v>
      </c>
      <c r="D17" s="43"/>
      <c r="E17" s="43" t="s">
        <v>828</v>
      </c>
      <c r="F17" s="43"/>
      <c r="G17" s="43" t="s">
        <v>1237</v>
      </c>
    </row>
    <row r="18" spans="1:7">
      <c r="A18" s="42" t="s">
        <v>1293</v>
      </c>
      <c r="B18" s="43" t="s">
        <v>1294</v>
      </c>
      <c r="C18" s="43" t="s">
        <v>1295</v>
      </c>
      <c r="D18" s="43"/>
      <c r="E18" s="43" t="s">
        <v>786</v>
      </c>
      <c r="F18" s="43"/>
      <c r="G18" s="43" t="s">
        <v>1237</v>
      </c>
    </row>
    <row r="19" spans="1:7">
      <c r="A19" s="42" t="s">
        <v>933</v>
      </c>
      <c r="B19" s="43" t="s">
        <v>798</v>
      </c>
      <c r="C19" s="43" t="s">
        <v>725</v>
      </c>
      <c r="D19" s="43"/>
      <c r="E19" s="43" t="s">
        <v>725</v>
      </c>
      <c r="F19" s="43"/>
      <c r="G19" s="43" t="s">
        <v>1237</v>
      </c>
    </row>
    <row r="20" spans="1:7">
      <c r="A20" s="42" t="s">
        <v>944</v>
      </c>
      <c r="B20" s="43" t="s">
        <v>794</v>
      </c>
      <c r="C20" s="43" t="s">
        <v>725</v>
      </c>
      <c r="D20" s="43"/>
      <c r="E20" s="43" t="s">
        <v>725</v>
      </c>
      <c r="F20" s="43"/>
      <c r="G20" s="43" t="s">
        <v>1237</v>
      </c>
    </row>
    <row r="21" spans="1:7">
      <c r="A21" s="42" t="s">
        <v>936</v>
      </c>
      <c r="B21" s="43" t="s">
        <v>796</v>
      </c>
      <c r="C21" s="43" t="s">
        <v>725</v>
      </c>
      <c r="D21" s="43"/>
      <c r="E21" s="43" t="s">
        <v>725</v>
      </c>
      <c r="F21" s="43"/>
      <c r="G21" s="43" t="s">
        <v>1237</v>
      </c>
    </row>
    <row r="22" spans="1:7">
      <c r="A22" s="42" t="s">
        <v>939</v>
      </c>
      <c r="B22" s="43" t="s">
        <v>821</v>
      </c>
      <c r="C22" s="43" t="s">
        <v>725</v>
      </c>
      <c r="D22" s="43"/>
      <c r="E22" s="43" t="s">
        <v>725</v>
      </c>
      <c r="F22" s="43"/>
      <c r="G22" s="43" t="s">
        <v>1237</v>
      </c>
    </row>
    <row r="23" spans="1:7">
      <c r="A23" s="42" t="s">
        <v>940</v>
      </c>
      <c r="B23" s="43" t="s">
        <v>818</v>
      </c>
      <c r="C23" s="43" t="s">
        <v>725</v>
      </c>
      <c r="D23" s="43"/>
      <c r="E23" s="43" t="s">
        <v>725</v>
      </c>
      <c r="F23" s="43"/>
      <c r="G23" s="43" t="s">
        <v>1237</v>
      </c>
    </row>
    <row r="24" spans="1:7">
      <c r="A24" s="72" t="s">
        <v>1637</v>
      </c>
      <c r="B24" s="71" t="s">
        <v>1638</v>
      </c>
      <c r="C24" s="71" t="s">
        <v>2465</v>
      </c>
      <c r="D24" s="71"/>
      <c r="E24" s="71" t="s">
        <v>828</v>
      </c>
      <c r="F24" s="71"/>
      <c r="G24" s="43" t="s">
        <v>1237</v>
      </c>
    </row>
    <row r="25" spans="1:7" ht="60">
      <c r="A25" s="69" t="s">
        <v>1633</v>
      </c>
      <c r="B25" s="69" t="s">
        <v>1634</v>
      </c>
      <c r="C25" s="69" t="s">
        <v>1654</v>
      </c>
      <c r="D25" s="69"/>
      <c r="E25" s="69" t="s">
        <v>828</v>
      </c>
      <c r="F25" s="69" t="s">
        <v>2466</v>
      </c>
      <c r="G25" s="43" t="s">
        <v>1237</v>
      </c>
    </row>
    <row r="26" spans="1:7" ht="45">
      <c r="A26" s="69" t="s">
        <v>2467</v>
      </c>
      <c r="B26" s="69" t="s">
        <v>1535</v>
      </c>
      <c r="C26" s="69"/>
      <c r="D26" s="69"/>
      <c r="E26" s="69"/>
      <c r="F26" s="69" t="s">
        <v>2468</v>
      </c>
      <c r="G26" s="43"/>
    </row>
    <row r="27" spans="1:7">
      <c r="A27" s="69" t="s">
        <v>2469</v>
      </c>
      <c r="B27" s="69" t="s">
        <v>2470</v>
      </c>
      <c r="C27" s="69"/>
      <c r="D27" s="69"/>
      <c r="E27" s="69"/>
      <c r="F27" s="69"/>
      <c r="G27" s="43"/>
    </row>
    <row r="28" spans="1:7" ht="45">
      <c r="A28" s="69" t="s">
        <v>2471</v>
      </c>
      <c r="B28" s="69" t="s">
        <v>2472</v>
      </c>
      <c r="C28" s="69"/>
      <c r="D28" s="69"/>
      <c r="E28" s="69"/>
      <c r="F28" s="69" t="s">
        <v>2468</v>
      </c>
      <c r="G28" s="43"/>
    </row>
  </sheetData>
  <hyperlinks>
    <hyperlink ref="A1" location="'Summary'!A1" display="Summary" xr:uid="{06F5FF34-3223-425F-92E8-964EF5BF2A16}"/>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03E8-C4CF-4E64-8EB9-FD2862B07A99}">
  <dimension ref="A1:I61"/>
  <sheetViews>
    <sheetView workbookViewId="0">
      <pane xSplit="2" ySplit="6" topLeftCell="C9" activePane="bottomRight" state="frozen"/>
      <selection pane="bottomRight" activeCell="D15" sqref="D15:E15"/>
      <selection pane="bottomLeft" activeCell="A7" sqref="A7"/>
      <selection pane="topRight" activeCell="C1" sqref="C1"/>
    </sheetView>
  </sheetViews>
  <sheetFormatPr defaultColWidth="9.140625" defaultRowHeight="12.75"/>
  <cols>
    <col min="1" max="1" width="16.85546875" style="82" customWidth="1"/>
    <col min="2" max="2" width="34.85546875" style="82" customWidth="1"/>
    <col min="3" max="3" width="27.7109375" style="82" customWidth="1"/>
    <col min="4" max="4" width="42.140625" style="82" bestFit="1" customWidth="1"/>
    <col min="5" max="5" width="41" style="82" customWidth="1"/>
    <col min="6" max="6" width="18.5703125" style="82" customWidth="1"/>
    <col min="7" max="7" width="25.28515625" style="82" customWidth="1"/>
    <col min="8" max="8" width="80.42578125" style="82" customWidth="1"/>
    <col min="9" max="16384" width="9.140625" style="82"/>
  </cols>
  <sheetData>
    <row r="1" spans="1:9">
      <c r="B1" s="106" t="s">
        <v>773</v>
      </c>
    </row>
    <row r="2" spans="1:9">
      <c r="B2" s="107" t="s">
        <v>2473</v>
      </c>
      <c r="C2" s="317"/>
      <c r="D2" s="317"/>
      <c r="E2" s="317"/>
      <c r="F2" s="317"/>
      <c r="G2" s="317"/>
      <c r="H2" s="317"/>
      <c r="I2" s="317"/>
    </row>
    <row r="3" spans="1:9">
      <c r="B3" s="107" t="s">
        <v>2474</v>
      </c>
      <c r="C3" s="138"/>
      <c r="D3" s="138"/>
      <c r="E3" s="138"/>
      <c r="F3" s="138"/>
      <c r="G3" s="138"/>
      <c r="H3" s="138"/>
      <c r="I3" s="138"/>
    </row>
    <row r="4" spans="1:9">
      <c r="B4" s="107" t="s">
        <v>571</v>
      </c>
      <c r="C4" s="318" t="str">
        <f>Summary!O23</f>
        <v>This table contains information on the arrangement downpayment, arrangement amounts, number of installments, and installment amount.</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c r="A7" s="142" t="s">
        <v>580</v>
      </c>
      <c r="B7" s="124" t="s">
        <v>2475</v>
      </c>
      <c r="C7" s="123" t="s">
        <v>2476</v>
      </c>
      <c r="D7" s="123" t="s">
        <v>725</v>
      </c>
      <c r="E7" s="124"/>
      <c r="F7" s="124" t="s">
        <v>725</v>
      </c>
      <c r="G7" s="87"/>
      <c r="H7" s="87"/>
    </row>
    <row r="8" spans="1:9" ht="51">
      <c r="A8" s="142" t="s">
        <v>580</v>
      </c>
      <c r="B8" s="124" t="s">
        <v>926</v>
      </c>
      <c r="C8" s="123" t="s">
        <v>802</v>
      </c>
      <c r="D8" s="124" t="s">
        <v>2477</v>
      </c>
      <c r="E8" s="124" t="s">
        <v>2478</v>
      </c>
      <c r="F8" s="225" t="s">
        <v>804</v>
      </c>
      <c r="G8" s="87"/>
      <c r="H8" s="87"/>
    </row>
    <row r="9" spans="1:9" ht="51">
      <c r="A9" s="142" t="s">
        <v>580</v>
      </c>
      <c r="B9" s="124" t="s">
        <v>924</v>
      </c>
      <c r="C9" s="123" t="s">
        <v>564</v>
      </c>
      <c r="D9" s="124" t="s">
        <v>2479</v>
      </c>
      <c r="E9" s="124" t="s">
        <v>2480</v>
      </c>
      <c r="F9" s="225" t="s">
        <v>786</v>
      </c>
      <c r="G9" s="87"/>
      <c r="H9" s="87"/>
    </row>
    <row r="10" spans="1:9">
      <c r="A10" s="142" t="s">
        <v>580</v>
      </c>
      <c r="B10" s="124" t="s">
        <v>2481</v>
      </c>
      <c r="C10" s="123" t="s">
        <v>2482</v>
      </c>
      <c r="D10" s="123" t="s">
        <v>725</v>
      </c>
      <c r="E10" s="124"/>
      <c r="F10" s="124" t="s">
        <v>725</v>
      </c>
      <c r="G10" s="87"/>
      <c r="H10" s="87"/>
    </row>
    <row r="11" spans="1:9">
      <c r="A11" s="142" t="s">
        <v>580</v>
      </c>
      <c r="B11" s="124" t="s">
        <v>945</v>
      </c>
      <c r="C11" s="123" t="s">
        <v>800</v>
      </c>
      <c r="D11" s="124" t="s">
        <v>725</v>
      </c>
      <c r="E11" s="124"/>
      <c r="F11" s="124" t="s">
        <v>725</v>
      </c>
      <c r="G11" s="87"/>
      <c r="H11" s="87"/>
    </row>
    <row r="12" spans="1:9">
      <c r="A12" s="142" t="s">
        <v>580</v>
      </c>
      <c r="B12" s="124" t="s">
        <v>940</v>
      </c>
      <c r="C12" s="123" t="s">
        <v>818</v>
      </c>
      <c r="D12" s="124" t="s">
        <v>725</v>
      </c>
      <c r="E12" s="124"/>
      <c r="F12" s="124" t="s">
        <v>725</v>
      </c>
      <c r="G12" s="87"/>
      <c r="H12" s="87"/>
    </row>
    <row r="13" spans="1:9">
      <c r="A13" s="142" t="s">
        <v>580</v>
      </c>
      <c r="B13" s="142" t="s">
        <v>2483</v>
      </c>
      <c r="C13" s="87" t="s">
        <v>2484</v>
      </c>
      <c r="D13" s="153" t="s">
        <v>1018</v>
      </c>
      <c r="E13" s="142" t="s">
        <v>2485</v>
      </c>
      <c r="F13" s="226" t="s">
        <v>786</v>
      </c>
      <c r="G13" s="87"/>
      <c r="H13" s="87"/>
    </row>
    <row r="14" spans="1:9">
      <c r="A14" s="142" t="s">
        <v>580</v>
      </c>
      <c r="B14" s="124" t="s">
        <v>939</v>
      </c>
      <c r="C14" s="123" t="s">
        <v>821</v>
      </c>
      <c r="D14" s="124" t="s">
        <v>725</v>
      </c>
      <c r="E14" s="124"/>
      <c r="F14" s="124" t="s">
        <v>725</v>
      </c>
      <c r="G14" s="87"/>
      <c r="H14" s="87"/>
    </row>
    <row r="15" spans="1:9">
      <c r="A15" s="142" t="s">
        <v>580</v>
      </c>
      <c r="B15" s="124" t="s">
        <v>2486</v>
      </c>
      <c r="C15" s="123" t="s">
        <v>2487</v>
      </c>
      <c r="D15" s="123" t="s">
        <v>931</v>
      </c>
      <c r="E15" s="124" t="s">
        <v>2488</v>
      </c>
      <c r="F15" s="225" t="s">
        <v>804</v>
      </c>
      <c r="G15" s="87"/>
      <c r="H15" s="87"/>
    </row>
    <row r="16" spans="1:9">
      <c r="A16" s="142" t="s">
        <v>580</v>
      </c>
      <c r="B16" s="124" t="s">
        <v>946</v>
      </c>
      <c r="C16" s="123" t="s">
        <v>806</v>
      </c>
      <c r="D16" s="123" t="s">
        <v>725</v>
      </c>
      <c r="E16" s="124"/>
      <c r="F16" s="124" t="s">
        <v>725</v>
      </c>
      <c r="G16" s="87"/>
      <c r="H16" s="87"/>
    </row>
    <row r="17" spans="1:8">
      <c r="A17" s="142" t="s">
        <v>580</v>
      </c>
      <c r="B17" s="124" t="s">
        <v>2489</v>
      </c>
      <c r="C17" s="123" t="s">
        <v>2490</v>
      </c>
      <c r="D17" s="123" t="s">
        <v>725</v>
      </c>
      <c r="E17" s="124"/>
      <c r="F17" s="124" t="s">
        <v>725</v>
      </c>
      <c r="G17" s="87"/>
      <c r="H17" s="87"/>
    </row>
    <row r="18" spans="1:8">
      <c r="A18" s="142" t="s">
        <v>580</v>
      </c>
      <c r="B18" s="124" t="s">
        <v>2491</v>
      </c>
      <c r="C18" s="123" t="s">
        <v>2492</v>
      </c>
      <c r="D18" s="123" t="s">
        <v>725</v>
      </c>
      <c r="E18" s="124"/>
      <c r="F18" s="124" t="s">
        <v>725</v>
      </c>
      <c r="G18" s="87"/>
      <c r="H18" s="87"/>
    </row>
    <row r="19" spans="1:8">
      <c r="A19" s="142" t="s">
        <v>580</v>
      </c>
      <c r="B19" s="124" t="s">
        <v>928</v>
      </c>
      <c r="C19" s="123" t="s">
        <v>784</v>
      </c>
      <c r="D19" s="123" t="s">
        <v>929</v>
      </c>
      <c r="E19" s="124"/>
      <c r="F19" s="225" t="s">
        <v>786</v>
      </c>
      <c r="G19" s="87"/>
      <c r="H19" s="87"/>
    </row>
    <row r="20" spans="1:8">
      <c r="A20" s="142" t="s">
        <v>580</v>
      </c>
      <c r="B20" s="124" t="s">
        <v>933</v>
      </c>
      <c r="C20" s="123" t="s">
        <v>798</v>
      </c>
      <c r="D20" s="123" t="s">
        <v>725</v>
      </c>
      <c r="E20" s="124"/>
      <c r="F20" s="124" t="s">
        <v>725</v>
      </c>
      <c r="G20" s="87"/>
      <c r="H20" s="87"/>
    </row>
    <row r="21" spans="1:8">
      <c r="A21" s="142" t="s">
        <v>580</v>
      </c>
      <c r="B21" s="124" t="s">
        <v>2493</v>
      </c>
      <c r="C21" s="123" t="s">
        <v>2494</v>
      </c>
      <c r="D21" s="123" t="s">
        <v>725</v>
      </c>
      <c r="E21" s="124"/>
      <c r="F21" s="124" t="s">
        <v>725</v>
      </c>
      <c r="G21" s="87"/>
      <c r="H21" s="87"/>
    </row>
    <row r="22" spans="1:8" ht="51">
      <c r="A22" s="142" t="s">
        <v>580</v>
      </c>
      <c r="B22" s="124" t="s">
        <v>1774</v>
      </c>
      <c r="C22" s="123" t="s">
        <v>911</v>
      </c>
      <c r="D22" s="124" t="s">
        <v>2495</v>
      </c>
      <c r="E22" s="124" t="s">
        <v>2496</v>
      </c>
      <c r="F22" s="225" t="s">
        <v>786</v>
      </c>
      <c r="G22" s="87"/>
      <c r="H22" s="87"/>
    </row>
    <row r="23" spans="1:8">
      <c r="A23" s="142" t="s">
        <v>580</v>
      </c>
      <c r="B23" s="124" t="s">
        <v>2497</v>
      </c>
      <c r="C23" s="123" t="s">
        <v>2498</v>
      </c>
      <c r="D23" s="123" t="s">
        <v>725</v>
      </c>
      <c r="E23" s="124"/>
      <c r="F23" s="124" t="s">
        <v>725</v>
      </c>
      <c r="G23" s="87"/>
      <c r="H23" s="87"/>
    </row>
    <row r="24" spans="1:8">
      <c r="A24" s="142" t="s">
        <v>580</v>
      </c>
      <c r="B24" s="124" t="s">
        <v>2499</v>
      </c>
      <c r="C24" s="123" t="s">
        <v>2500</v>
      </c>
      <c r="D24" s="123" t="s">
        <v>725</v>
      </c>
      <c r="E24" s="124"/>
      <c r="F24" s="124" t="s">
        <v>725</v>
      </c>
      <c r="G24" s="87"/>
      <c r="H24" s="87"/>
    </row>
    <row r="25" spans="1:8">
      <c r="A25" s="142" t="s">
        <v>580</v>
      </c>
      <c r="B25" s="124" t="s">
        <v>2499</v>
      </c>
      <c r="C25" s="123" t="s">
        <v>2500</v>
      </c>
      <c r="D25" s="123" t="s">
        <v>725</v>
      </c>
      <c r="E25" s="124"/>
      <c r="F25" s="124" t="s">
        <v>725</v>
      </c>
      <c r="G25" s="87"/>
      <c r="H25" s="87"/>
    </row>
    <row r="26" spans="1:8">
      <c r="A26" s="142" t="s">
        <v>580</v>
      </c>
      <c r="B26" s="124" t="s">
        <v>2501</v>
      </c>
      <c r="C26" s="123" t="s">
        <v>2502</v>
      </c>
      <c r="D26" s="123" t="s">
        <v>2503</v>
      </c>
      <c r="E26" s="124"/>
      <c r="F26" s="225" t="s">
        <v>786</v>
      </c>
      <c r="G26" s="87"/>
      <c r="H26" s="87"/>
    </row>
    <row r="27" spans="1:8" customFormat="1" ht="60.75" customHeight="1">
      <c r="A27" s="49" t="s">
        <v>764</v>
      </c>
      <c r="B27" s="160" t="s">
        <v>2504</v>
      </c>
      <c r="C27" s="49" t="s">
        <v>2505</v>
      </c>
      <c r="D27" s="49" t="s">
        <v>2506</v>
      </c>
      <c r="E27" s="49"/>
      <c r="F27" s="49" t="s">
        <v>725</v>
      </c>
      <c r="G27" s="161" t="s">
        <v>2507</v>
      </c>
      <c r="H27" s="49"/>
    </row>
    <row r="28" spans="1:8" customFormat="1" ht="63" customHeight="1">
      <c r="A28" s="49" t="s">
        <v>764</v>
      </c>
      <c r="B28" s="160" t="s">
        <v>2508</v>
      </c>
      <c r="C28" s="160" t="s">
        <v>2509</v>
      </c>
      <c r="D28" s="162" t="s">
        <v>2510</v>
      </c>
      <c r="E28" s="49"/>
      <c r="F28" s="49" t="s">
        <v>725</v>
      </c>
      <c r="G28" s="163" t="s">
        <v>2511</v>
      </c>
      <c r="H28" s="49"/>
    </row>
    <row r="29" spans="1:8" customFormat="1" ht="63" customHeight="1">
      <c r="A29" s="49" t="s">
        <v>764</v>
      </c>
      <c r="B29" s="160" t="s">
        <v>2512</v>
      </c>
      <c r="C29" s="160" t="s">
        <v>2513</v>
      </c>
      <c r="D29" s="162" t="s">
        <v>2514</v>
      </c>
      <c r="E29" s="49"/>
      <c r="F29" s="49" t="s">
        <v>725</v>
      </c>
      <c r="G29" s="163" t="s">
        <v>2511</v>
      </c>
      <c r="H29" s="49"/>
    </row>
    <row r="30" spans="1:8" customFormat="1" ht="77.45" customHeight="1">
      <c r="A30" s="49" t="s">
        <v>764</v>
      </c>
      <c r="B30" s="160" t="s">
        <v>2515</v>
      </c>
      <c r="C30" s="49" t="s">
        <v>2516</v>
      </c>
      <c r="D30" s="162" t="s">
        <v>2517</v>
      </c>
      <c r="E30" s="49"/>
      <c r="F30" s="49" t="s">
        <v>725</v>
      </c>
      <c r="G30" s="163" t="s">
        <v>2511</v>
      </c>
      <c r="H30" s="49"/>
    </row>
    <row r="31" spans="1:8" customFormat="1" ht="77.45" customHeight="1">
      <c r="A31" s="49" t="s">
        <v>764</v>
      </c>
      <c r="B31" s="160" t="s">
        <v>2518</v>
      </c>
      <c r="C31" s="49" t="s">
        <v>2516</v>
      </c>
      <c r="D31" s="162" t="s">
        <v>2519</v>
      </c>
      <c r="E31" s="49"/>
      <c r="F31" s="49" t="s">
        <v>725</v>
      </c>
      <c r="G31" s="163" t="s">
        <v>2511</v>
      </c>
      <c r="H31" s="49"/>
    </row>
    <row r="32" spans="1:8" customFormat="1" ht="77.45" customHeight="1">
      <c r="A32" s="49" t="s">
        <v>764</v>
      </c>
      <c r="B32" s="160" t="s">
        <v>2520</v>
      </c>
      <c r="C32" s="49" t="s">
        <v>2521</v>
      </c>
      <c r="D32" s="162" t="s">
        <v>2522</v>
      </c>
      <c r="E32" s="49"/>
      <c r="F32" s="49" t="s">
        <v>725</v>
      </c>
      <c r="G32" s="163" t="s">
        <v>2511</v>
      </c>
      <c r="H32" s="49"/>
    </row>
    <row r="33" spans="1:8" customFormat="1" ht="77.45" customHeight="1">
      <c r="A33" s="39" t="s">
        <v>764</v>
      </c>
      <c r="B33" s="160" t="s">
        <v>2523</v>
      </c>
      <c r="C33" s="160" t="s">
        <v>2524</v>
      </c>
      <c r="D33" s="49" t="s">
        <v>2525</v>
      </c>
      <c r="E33" s="49"/>
      <c r="F33" s="49" t="s">
        <v>725</v>
      </c>
      <c r="G33" s="161" t="s">
        <v>2507</v>
      </c>
      <c r="H33" s="49"/>
    </row>
    <row r="34" spans="1:8" customFormat="1" ht="77.45" customHeight="1">
      <c r="A34" s="49" t="s">
        <v>764</v>
      </c>
      <c r="B34" s="160" t="s">
        <v>2526</v>
      </c>
      <c r="C34" s="160" t="s">
        <v>2527</v>
      </c>
      <c r="D34" s="49" t="s">
        <v>2528</v>
      </c>
      <c r="E34" s="49"/>
      <c r="F34" s="49" t="s">
        <v>725</v>
      </c>
      <c r="G34" s="161" t="s">
        <v>2507</v>
      </c>
      <c r="H34" s="49"/>
    </row>
    <row r="35" spans="1:8" customFormat="1" ht="77.45" customHeight="1">
      <c r="A35" s="49" t="s">
        <v>764</v>
      </c>
      <c r="B35" s="160" t="s">
        <v>2529</v>
      </c>
      <c r="C35" s="160" t="s">
        <v>2530</v>
      </c>
      <c r="D35" s="49" t="s">
        <v>2531</v>
      </c>
      <c r="E35" s="49"/>
      <c r="F35" s="49" t="s">
        <v>725</v>
      </c>
      <c r="G35" s="161" t="s">
        <v>2507</v>
      </c>
      <c r="H35" s="49"/>
    </row>
    <row r="36" spans="1:8" customFormat="1" ht="77.45" customHeight="1">
      <c r="A36" s="49" t="s">
        <v>764</v>
      </c>
      <c r="B36" s="160" t="s">
        <v>2532</v>
      </c>
      <c r="C36" s="160" t="s">
        <v>2533</v>
      </c>
      <c r="D36" s="49" t="s">
        <v>2534</v>
      </c>
      <c r="E36" s="49"/>
      <c r="F36" s="49" t="s">
        <v>725</v>
      </c>
      <c r="G36" s="161" t="s">
        <v>2507</v>
      </c>
      <c r="H36" s="49"/>
    </row>
    <row r="37" spans="1:8" ht="77.45" customHeight="1">
      <c r="A37" s="142" t="s">
        <v>2535</v>
      </c>
      <c r="B37" s="124" t="s">
        <v>2475</v>
      </c>
      <c r="C37" s="123" t="s">
        <v>2476</v>
      </c>
      <c r="D37" s="123" t="s">
        <v>580</v>
      </c>
      <c r="E37" s="124"/>
      <c r="F37" s="124" t="s">
        <v>804</v>
      </c>
      <c r="G37" s="142" t="s">
        <v>2536</v>
      </c>
      <c r="H37" s="87"/>
    </row>
    <row r="38" spans="1:8" ht="77.45" customHeight="1">
      <c r="A38" s="142" t="s">
        <v>2535</v>
      </c>
      <c r="B38" s="124" t="s">
        <v>2537</v>
      </c>
      <c r="C38" s="87" t="s">
        <v>2538</v>
      </c>
      <c r="D38" s="153" t="s">
        <v>1018</v>
      </c>
      <c r="E38" s="142" t="s">
        <v>2539</v>
      </c>
      <c r="F38" s="153" t="s">
        <v>804</v>
      </c>
      <c r="G38" s="87"/>
      <c r="H38" s="87"/>
    </row>
    <row r="39" spans="1:8" ht="77.45" customHeight="1">
      <c r="A39" s="142" t="s">
        <v>2535</v>
      </c>
      <c r="B39" s="124" t="s">
        <v>2540</v>
      </c>
      <c r="C39" s="87" t="s">
        <v>1038</v>
      </c>
      <c r="D39" s="153" t="s">
        <v>725</v>
      </c>
      <c r="E39" s="142"/>
      <c r="F39" s="153" t="s">
        <v>725</v>
      </c>
      <c r="G39" s="87"/>
      <c r="H39" s="87"/>
    </row>
    <row r="40" spans="1:8" ht="77.45" customHeight="1">
      <c r="A40" s="142" t="s">
        <v>2535</v>
      </c>
      <c r="B40" s="124" t="s">
        <v>958</v>
      </c>
      <c r="C40" s="123" t="s">
        <v>959</v>
      </c>
      <c r="D40" s="123" t="s">
        <v>960</v>
      </c>
      <c r="E40" s="124" t="s">
        <v>2541</v>
      </c>
      <c r="F40" s="124" t="s">
        <v>804</v>
      </c>
      <c r="G40" s="87"/>
      <c r="H40" s="87"/>
    </row>
    <row r="41" spans="1:8" ht="77.45" customHeight="1">
      <c r="A41" s="142" t="s">
        <v>2535</v>
      </c>
      <c r="B41" s="124" t="s">
        <v>962</v>
      </c>
      <c r="C41" s="123" t="s">
        <v>963</v>
      </c>
      <c r="D41" s="124" t="s">
        <v>2542</v>
      </c>
      <c r="E41" s="124"/>
      <c r="F41" s="124" t="s">
        <v>804</v>
      </c>
      <c r="G41" s="87"/>
      <c r="H41" s="87"/>
    </row>
    <row r="42" spans="1:8" ht="77.45" customHeight="1">
      <c r="A42" s="142" t="s">
        <v>2535</v>
      </c>
      <c r="B42" s="124" t="s">
        <v>964</v>
      </c>
      <c r="C42" s="123" t="s">
        <v>965</v>
      </c>
      <c r="D42" s="124" t="s">
        <v>725</v>
      </c>
      <c r="E42" s="124"/>
      <c r="F42" s="124" t="s">
        <v>725</v>
      </c>
      <c r="G42" s="87"/>
      <c r="H42" s="87"/>
    </row>
    <row r="43" spans="1:8" ht="77.45" customHeight="1">
      <c r="A43" s="142" t="s">
        <v>2535</v>
      </c>
      <c r="B43" s="124" t="s">
        <v>966</v>
      </c>
      <c r="C43" s="123" t="s">
        <v>967</v>
      </c>
      <c r="D43" s="123" t="s">
        <v>725</v>
      </c>
      <c r="E43" s="124"/>
      <c r="F43" s="124" t="s">
        <v>725</v>
      </c>
      <c r="G43" s="87"/>
      <c r="H43" s="87"/>
    </row>
    <row r="44" spans="1:8" ht="77.45" customHeight="1">
      <c r="A44" s="142" t="s">
        <v>2535</v>
      </c>
      <c r="B44" s="124" t="s">
        <v>968</v>
      </c>
      <c r="C44" s="123" t="s">
        <v>969</v>
      </c>
      <c r="D44" s="123" t="s">
        <v>725</v>
      </c>
      <c r="E44" s="124"/>
      <c r="F44" s="124" t="s">
        <v>725</v>
      </c>
      <c r="G44" s="87"/>
      <c r="H44" s="87"/>
    </row>
    <row r="45" spans="1:8" ht="77.45" customHeight="1">
      <c r="A45" s="142" t="s">
        <v>2535</v>
      </c>
      <c r="B45" s="124" t="s">
        <v>970</v>
      </c>
      <c r="C45" s="123" t="s">
        <v>971</v>
      </c>
      <c r="D45" s="124" t="s">
        <v>725</v>
      </c>
      <c r="E45" s="124"/>
      <c r="F45" s="124" t="s">
        <v>725</v>
      </c>
      <c r="G45" s="87"/>
      <c r="H45" s="87"/>
    </row>
    <row r="46" spans="1:8" ht="77.45" customHeight="1">
      <c r="A46" s="142" t="s">
        <v>2535</v>
      </c>
      <c r="B46" s="124" t="s">
        <v>946</v>
      </c>
      <c r="C46" s="123" t="s">
        <v>806</v>
      </c>
      <c r="D46" s="124" t="s">
        <v>725</v>
      </c>
      <c r="E46" s="124"/>
      <c r="F46" s="124" t="s">
        <v>725</v>
      </c>
      <c r="G46" s="87"/>
      <c r="H46" s="87"/>
    </row>
    <row r="47" spans="1:8" ht="77.45" customHeight="1">
      <c r="A47" s="142" t="s">
        <v>2543</v>
      </c>
      <c r="B47" s="124" t="s">
        <v>2475</v>
      </c>
      <c r="C47" s="123" t="s">
        <v>2476</v>
      </c>
      <c r="D47" s="123" t="s">
        <v>580</v>
      </c>
      <c r="E47" s="124"/>
      <c r="F47" s="124" t="s">
        <v>804</v>
      </c>
      <c r="G47" s="142" t="s">
        <v>2544</v>
      </c>
      <c r="H47" s="87"/>
    </row>
    <row r="48" spans="1:8" ht="77.45" customHeight="1">
      <c r="A48" s="142" t="s">
        <v>2543</v>
      </c>
      <c r="B48" s="124" t="s">
        <v>2537</v>
      </c>
      <c r="C48" s="87" t="s">
        <v>2538</v>
      </c>
      <c r="D48" s="153" t="s">
        <v>1018</v>
      </c>
      <c r="E48" s="142" t="s">
        <v>2545</v>
      </c>
      <c r="F48" s="153" t="s">
        <v>804</v>
      </c>
      <c r="G48" s="87"/>
      <c r="H48" s="87"/>
    </row>
    <row r="49" spans="1:8" ht="77.45" customHeight="1">
      <c r="A49" s="142" t="s">
        <v>2543</v>
      </c>
      <c r="B49" s="124" t="s">
        <v>2540</v>
      </c>
      <c r="C49" s="87" t="s">
        <v>1038</v>
      </c>
      <c r="D49" s="153" t="s">
        <v>725</v>
      </c>
      <c r="E49" s="142"/>
      <c r="F49" s="153" t="s">
        <v>725</v>
      </c>
      <c r="G49" s="87"/>
      <c r="H49" s="87"/>
    </row>
    <row r="50" spans="1:8" ht="77.45" customHeight="1">
      <c r="A50" s="142" t="s">
        <v>2543</v>
      </c>
      <c r="B50" s="124" t="s">
        <v>958</v>
      </c>
      <c r="C50" s="123" t="s">
        <v>959</v>
      </c>
      <c r="D50" s="123" t="s">
        <v>960</v>
      </c>
      <c r="E50" s="124" t="s">
        <v>2541</v>
      </c>
      <c r="F50" s="124" t="s">
        <v>804</v>
      </c>
      <c r="G50" s="87"/>
      <c r="H50" s="87"/>
    </row>
    <row r="51" spans="1:8" ht="77.45" customHeight="1">
      <c r="A51" s="142" t="s">
        <v>2543</v>
      </c>
      <c r="B51" s="124" t="s">
        <v>962</v>
      </c>
      <c r="C51" s="123" t="s">
        <v>963</v>
      </c>
      <c r="D51" s="124" t="s">
        <v>2542</v>
      </c>
      <c r="E51" s="124"/>
      <c r="F51" s="124" t="s">
        <v>804</v>
      </c>
      <c r="G51" s="87"/>
      <c r="H51" s="87"/>
    </row>
    <row r="52" spans="1:8" ht="77.45" customHeight="1">
      <c r="A52" s="142" t="s">
        <v>2543</v>
      </c>
      <c r="B52" s="124" t="s">
        <v>964</v>
      </c>
      <c r="C52" s="123" t="s">
        <v>965</v>
      </c>
      <c r="D52" s="124" t="s">
        <v>725</v>
      </c>
      <c r="E52" s="124"/>
      <c r="F52" s="124" t="s">
        <v>725</v>
      </c>
      <c r="G52" s="87"/>
      <c r="H52" s="87"/>
    </row>
    <row r="53" spans="1:8" ht="77.45" customHeight="1">
      <c r="A53" s="142" t="s">
        <v>2543</v>
      </c>
      <c r="B53" s="124" t="s">
        <v>966</v>
      </c>
      <c r="C53" s="123" t="s">
        <v>967</v>
      </c>
      <c r="D53" s="123" t="s">
        <v>725</v>
      </c>
      <c r="E53" s="124"/>
      <c r="F53" s="124" t="s">
        <v>725</v>
      </c>
      <c r="G53" s="87"/>
      <c r="H53" s="87"/>
    </row>
    <row r="54" spans="1:8" ht="77.45" customHeight="1">
      <c r="A54" s="142" t="s">
        <v>2543</v>
      </c>
      <c r="B54" s="124" t="s">
        <v>968</v>
      </c>
      <c r="C54" s="123" t="s">
        <v>969</v>
      </c>
      <c r="D54" s="123" t="s">
        <v>725</v>
      </c>
      <c r="E54" s="124"/>
      <c r="F54" s="124" t="s">
        <v>725</v>
      </c>
      <c r="G54" s="87"/>
      <c r="H54" s="87"/>
    </row>
    <row r="55" spans="1:8" ht="77.45" customHeight="1">
      <c r="A55" s="142" t="s">
        <v>2543</v>
      </c>
      <c r="B55" s="124" t="s">
        <v>970</v>
      </c>
      <c r="C55" s="123" t="s">
        <v>971</v>
      </c>
      <c r="D55" s="124" t="s">
        <v>725</v>
      </c>
      <c r="E55" s="124"/>
      <c r="F55" s="124" t="s">
        <v>725</v>
      </c>
      <c r="G55" s="87"/>
      <c r="H55" s="87"/>
    </row>
    <row r="56" spans="1:8" ht="77.45" customHeight="1">
      <c r="A56" s="142" t="s">
        <v>2543</v>
      </c>
      <c r="B56" s="124" t="s">
        <v>946</v>
      </c>
      <c r="C56" s="123" t="s">
        <v>806</v>
      </c>
      <c r="D56" s="124" t="s">
        <v>725</v>
      </c>
      <c r="E56" s="124"/>
      <c r="F56" s="124" t="s">
        <v>725</v>
      </c>
      <c r="G56" s="87"/>
      <c r="H56" s="87"/>
    </row>
    <row r="57" spans="1:8" customFormat="1" ht="51.75">
      <c r="A57" s="142" t="s">
        <v>764</v>
      </c>
      <c r="B57" s="160" t="s">
        <v>2546</v>
      </c>
      <c r="C57" s="160" t="s">
        <v>2547</v>
      </c>
      <c r="D57" s="160" t="s">
        <v>2548</v>
      </c>
      <c r="E57" s="160" t="s">
        <v>2549</v>
      </c>
      <c r="F57" s="49" t="s">
        <v>804</v>
      </c>
      <c r="G57" s="161" t="s">
        <v>2507</v>
      </c>
      <c r="H57" s="49"/>
    </row>
    <row r="58" spans="1:8" customFormat="1" ht="51.75">
      <c r="A58" s="142" t="s">
        <v>764</v>
      </c>
      <c r="B58" s="160" t="s">
        <v>2550</v>
      </c>
      <c r="C58" s="160" t="s">
        <v>2551</v>
      </c>
      <c r="D58" s="160" t="s">
        <v>2552</v>
      </c>
      <c r="E58" s="160"/>
      <c r="F58" s="49"/>
      <c r="G58" s="161" t="s">
        <v>2507</v>
      </c>
      <c r="H58" s="49"/>
    </row>
    <row r="59" spans="1:8" customFormat="1" ht="51.75">
      <c r="A59" s="142" t="s">
        <v>764</v>
      </c>
      <c r="B59" s="160" t="s">
        <v>2553</v>
      </c>
      <c r="C59" s="160" t="s">
        <v>2554</v>
      </c>
      <c r="D59" s="160" t="s">
        <v>2555</v>
      </c>
      <c r="E59" s="160"/>
      <c r="F59" s="49"/>
      <c r="G59" s="161" t="s">
        <v>2507</v>
      </c>
      <c r="H59" s="49"/>
    </row>
    <row r="60" spans="1:8" customFormat="1" ht="51.75">
      <c r="A60" s="142" t="s">
        <v>2543</v>
      </c>
      <c r="B60" s="160" t="s">
        <v>2556</v>
      </c>
      <c r="C60" s="160" t="s">
        <v>2557</v>
      </c>
      <c r="D60" s="160" t="s">
        <v>2558</v>
      </c>
      <c r="E60" s="160"/>
      <c r="F60" s="49"/>
      <c r="G60" s="163" t="s">
        <v>2511</v>
      </c>
      <c r="H60" s="49"/>
    </row>
    <row r="61" spans="1:8" ht="51">
      <c r="A61" s="142" t="s">
        <v>2559</v>
      </c>
      <c r="B61" s="160" t="s">
        <v>2560</v>
      </c>
      <c r="C61" s="160" t="s">
        <v>2561</v>
      </c>
      <c r="D61" s="160" t="s">
        <v>2562</v>
      </c>
      <c r="E61" s="160"/>
      <c r="F61" s="49"/>
      <c r="G61" s="163" t="s">
        <v>2511</v>
      </c>
    </row>
  </sheetData>
  <autoFilter ref="A6:I6" xr:uid="{EE2703E8-C4CF-4E64-8EB9-FD2862B07A99}"/>
  <mergeCells count="2">
    <mergeCell ref="C2:I2"/>
    <mergeCell ref="C4:I4"/>
  </mergeCells>
  <hyperlinks>
    <hyperlink ref="B1" location="Summary!A1" display="Summary" xr:uid="{4D4A2972-6F5F-482D-B82D-3A9FBF965756}"/>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63F8-7BCA-4580-801A-9A990BE918A2}">
  <dimension ref="A1:I71"/>
  <sheetViews>
    <sheetView workbookViewId="0">
      <pane xSplit="3" ySplit="6" topLeftCell="D7" activePane="bottomRight" state="frozen"/>
      <selection pane="bottomRight" activeCell="D10" sqref="D10:F10"/>
      <selection pane="bottomLeft" activeCell="A7" sqref="A7"/>
      <selection pane="topRight" activeCell="D1" sqref="D1"/>
    </sheetView>
  </sheetViews>
  <sheetFormatPr defaultColWidth="9.140625" defaultRowHeight="12.75"/>
  <cols>
    <col min="1" max="1" width="18.5703125" style="82" customWidth="1"/>
    <col min="2" max="2" width="24.5703125" style="82" customWidth="1"/>
    <col min="3" max="3" width="21" style="82" customWidth="1"/>
    <col min="4" max="4" width="26.28515625" style="82" customWidth="1"/>
    <col min="5" max="5" width="38.5703125" style="82" customWidth="1"/>
    <col min="6" max="6" width="31.85546875" style="82" customWidth="1"/>
    <col min="7" max="7" width="25.28515625" style="82" customWidth="1"/>
    <col min="8" max="8" width="80.42578125" style="82" customWidth="1"/>
    <col min="9" max="16384" width="9.140625" style="82"/>
  </cols>
  <sheetData>
    <row r="1" spans="1:9">
      <c r="B1" s="106" t="s">
        <v>773</v>
      </c>
    </row>
    <row r="2" spans="1:9">
      <c r="B2" s="107" t="s">
        <v>2563</v>
      </c>
      <c r="C2" s="317"/>
      <c r="D2" s="317"/>
      <c r="E2" s="317"/>
      <c r="F2" s="317"/>
      <c r="G2" s="317"/>
      <c r="H2" s="317"/>
      <c r="I2" s="317"/>
    </row>
    <row r="3" spans="1:9">
      <c r="B3" s="107" t="s">
        <v>2564</v>
      </c>
      <c r="C3" s="138"/>
      <c r="D3" s="138"/>
      <c r="E3" s="138"/>
      <c r="F3" s="138"/>
      <c r="G3" s="138"/>
      <c r="H3" s="138"/>
      <c r="I3" s="138"/>
    </row>
    <row r="4" spans="1:9">
      <c r="B4" s="107" t="s">
        <v>571</v>
      </c>
      <c r="C4" s="318" t="str">
        <f>Summary!O291</f>
        <v>This will be used for the creation of Crew Based domain to measure Field Worker Performance (How many FAs can a crew complete within the Day)</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ht="51">
      <c r="A7" s="142" t="s">
        <v>697</v>
      </c>
      <c r="B7" s="124" t="s">
        <v>2565</v>
      </c>
      <c r="C7" s="124" t="s">
        <v>2566</v>
      </c>
      <c r="D7" s="124" t="s">
        <v>2567</v>
      </c>
      <c r="E7" s="124" t="s">
        <v>2568</v>
      </c>
      <c r="F7" s="124" t="s">
        <v>2569</v>
      </c>
      <c r="G7" s="87"/>
      <c r="H7" s="87"/>
    </row>
    <row r="8" spans="1:9">
      <c r="A8" s="142" t="s">
        <v>697</v>
      </c>
      <c r="B8" s="124" t="s">
        <v>928</v>
      </c>
      <c r="C8" s="123" t="s">
        <v>784</v>
      </c>
      <c r="D8" s="123" t="s">
        <v>929</v>
      </c>
      <c r="E8" s="124" t="s">
        <v>2570</v>
      </c>
      <c r="F8" s="124" t="s">
        <v>786</v>
      </c>
      <c r="G8" s="87"/>
      <c r="H8" s="87"/>
    </row>
    <row r="9" spans="1:9">
      <c r="A9" s="142" t="s">
        <v>697</v>
      </c>
      <c r="B9" s="124" t="s">
        <v>924</v>
      </c>
      <c r="C9" s="123" t="s">
        <v>564</v>
      </c>
      <c r="D9" s="123" t="s">
        <v>925</v>
      </c>
      <c r="E9" s="124"/>
      <c r="F9" s="124" t="s">
        <v>786</v>
      </c>
      <c r="G9" s="87"/>
      <c r="H9" s="87"/>
    </row>
    <row r="10" spans="1:9">
      <c r="A10" s="142" t="s">
        <v>697</v>
      </c>
      <c r="B10" s="124" t="s">
        <v>926</v>
      </c>
      <c r="C10" s="123" t="s">
        <v>802</v>
      </c>
      <c r="D10" s="124" t="s">
        <v>927</v>
      </c>
      <c r="E10" s="124"/>
      <c r="F10" s="124" t="s">
        <v>804</v>
      </c>
      <c r="G10" s="87"/>
      <c r="H10" s="87"/>
    </row>
    <row r="11" spans="1:9" ht="76.5">
      <c r="A11" s="142" t="s">
        <v>697</v>
      </c>
      <c r="B11" s="142" t="s">
        <v>2571</v>
      </c>
      <c r="C11" s="87" t="s">
        <v>2572</v>
      </c>
      <c r="D11" s="87" t="s">
        <v>1018</v>
      </c>
      <c r="E11" s="142" t="s">
        <v>2573</v>
      </c>
      <c r="F11" s="87" t="s">
        <v>786</v>
      </c>
      <c r="G11" s="142" t="s">
        <v>2574</v>
      </c>
      <c r="H11" s="87"/>
    </row>
    <row r="12" spans="1:9" s="23" customFormat="1">
      <c r="A12" s="85" t="s">
        <v>697</v>
      </c>
      <c r="B12" s="91" t="s">
        <v>1472</v>
      </c>
      <c r="C12" s="91" t="s">
        <v>1294</v>
      </c>
      <c r="D12" s="91" t="s">
        <v>977</v>
      </c>
      <c r="E12" s="91"/>
      <c r="F12" s="92" t="s">
        <v>804</v>
      </c>
      <c r="G12" s="92"/>
      <c r="H12" s="85"/>
    </row>
    <row r="13" spans="1:9">
      <c r="A13" s="142" t="s">
        <v>697</v>
      </c>
      <c r="B13" s="124" t="s">
        <v>933</v>
      </c>
      <c r="C13" s="123" t="s">
        <v>798</v>
      </c>
      <c r="D13" s="123" t="s">
        <v>725</v>
      </c>
      <c r="E13" s="124"/>
      <c r="F13" s="124" t="s">
        <v>725</v>
      </c>
      <c r="G13" s="87"/>
      <c r="H13" s="87"/>
    </row>
    <row r="14" spans="1:9">
      <c r="A14" s="142" t="s">
        <v>697</v>
      </c>
      <c r="B14" s="124" t="s">
        <v>945</v>
      </c>
      <c r="C14" s="123" t="s">
        <v>800</v>
      </c>
      <c r="D14" s="124" t="s">
        <v>725</v>
      </c>
      <c r="E14" s="124"/>
      <c r="F14" s="124" t="s">
        <v>725</v>
      </c>
      <c r="G14" s="87"/>
      <c r="H14" s="87"/>
    </row>
    <row r="15" spans="1:9">
      <c r="A15" s="142" t="s">
        <v>697</v>
      </c>
      <c r="B15" s="124" t="s">
        <v>946</v>
      </c>
      <c r="C15" s="123" t="s">
        <v>806</v>
      </c>
      <c r="D15" s="123" t="s">
        <v>725</v>
      </c>
      <c r="E15" s="124"/>
      <c r="F15" s="124" t="s">
        <v>725</v>
      </c>
      <c r="G15" s="87"/>
      <c r="H15" s="87"/>
    </row>
    <row r="16" spans="1:9" ht="51">
      <c r="A16" s="142" t="s">
        <v>697</v>
      </c>
      <c r="B16" s="124" t="s">
        <v>2575</v>
      </c>
      <c r="C16" s="123" t="s">
        <v>899</v>
      </c>
      <c r="D16" s="123" t="s">
        <v>725</v>
      </c>
      <c r="E16" s="124"/>
      <c r="F16" s="124" t="s">
        <v>725</v>
      </c>
      <c r="G16" s="142" t="s">
        <v>2576</v>
      </c>
      <c r="H16" s="87"/>
    </row>
    <row r="17" spans="1:8">
      <c r="A17" s="142" t="s">
        <v>697</v>
      </c>
      <c r="B17" s="124" t="s">
        <v>2577</v>
      </c>
      <c r="C17" s="123" t="s">
        <v>2578</v>
      </c>
      <c r="D17" s="123" t="s">
        <v>2579</v>
      </c>
      <c r="E17" s="124"/>
      <c r="F17" s="124" t="s">
        <v>786</v>
      </c>
      <c r="G17" s="142"/>
      <c r="H17" s="87"/>
    </row>
    <row r="18" spans="1:8" s="23" customFormat="1" ht="89.25">
      <c r="A18" s="142" t="s">
        <v>766</v>
      </c>
      <c r="B18" s="190" t="s">
        <v>2580</v>
      </c>
      <c r="C18" s="190" t="s">
        <v>1070</v>
      </c>
      <c r="D18" s="190" t="s">
        <v>2581</v>
      </c>
      <c r="E18" s="190"/>
      <c r="F18" s="190" t="s">
        <v>1073</v>
      </c>
      <c r="G18" s="190" t="s">
        <v>2507</v>
      </c>
      <c r="H18" s="49"/>
    </row>
    <row r="19" spans="1:8" s="23" customFormat="1" ht="89.25">
      <c r="A19" s="142" t="s">
        <v>766</v>
      </c>
      <c r="B19" s="190" t="s">
        <v>2582</v>
      </c>
      <c r="C19" s="190" t="s">
        <v>2583</v>
      </c>
      <c r="D19" s="190" t="s">
        <v>2584</v>
      </c>
      <c r="E19" s="190"/>
      <c r="F19" s="190" t="s">
        <v>1073</v>
      </c>
      <c r="G19" s="190" t="s">
        <v>2507</v>
      </c>
      <c r="H19" s="49"/>
    </row>
    <row r="20" spans="1:8" s="29" customFormat="1" ht="27">
      <c r="A20" s="197" t="s">
        <v>2585</v>
      </c>
      <c r="B20" s="102" t="s">
        <v>621</v>
      </c>
      <c r="C20" s="102" t="s">
        <v>782</v>
      </c>
      <c r="D20" s="102" t="s">
        <v>621</v>
      </c>
      <c r="E20" s="102"/>
      <c r="F20" s="103" t="s">
        <v>786</v>
      </c>
      <c r="G20" s="103" t="s">
        <v>2586</v>
      </c>
      <c r="H20" s="101"/>
    </row>
    <row r="21" spans="1:8" s="29" customFormat="1" ht="13.5">
      <c r="A21" s="197" t="s">
        <v>2585</v>
      </c>
      <c r="B21" s="102" t="s">
        <v>1882</v>
      </c>
      <c r="C21" s="102" t="s">
        <v>1451</v>
      </c>
      <c r="D21" s="102"/>
      <c r="E21" s="196" t="s">
        <v>2587</v>
      </c>
      <c r="F21" s="103" t="s">
        <v>786</v>
      </c>
      <c r="G21" s="101"/>
      <c r="H21" s="101"/>
    </row>
    <row r="22" spans="1:8" s="29" customFormat="1" ht="13.5">
      <c r="A22" s="197" t="s">
        <v>2585</v>
      </c>
      <c r="B22" s="101" t="s">
        <v>2540</v>
      </c>
      <c r="C22" s="101" t="s">
        <v>1038</v>
      </c>
      <c r="D22" s="102" t="s">
        <v>725</v>
      </c>
      <c r="E22" s="102"/>
      <c r="F22" s="103" t="s">
        <v>725</v>
      </c>
      <c r="G22" s="101"/>
      <c r="H22" s="101"/>
    </row>
    <row r="23" spans="1:8" s="29" customFormat="1" ht="13.5">
      <c r="A23" s="197" t="s">
        <v>2585</v>
      </c>
      <c r="B23" s="101" t="s">
        <v>1884</v>
      </c>
      <c r="C23" s="101" t="s">
        <v>1453</v>
      </c>
      <c r="D23" s="102" t="s">
        <v>725</v>
      </c>
      <c r="E23" s="101"/>
      <c r="F23" s="101" t="s">
        <v>786</v>
      </c>
      <c r="G23" s="101"/>
      <c r="H23" s="101"/>
    </row>
    <row r="24" spans="1:8" s="29" customFormat="1" ht="13.5">
      <c r="A24" s="197" t="s">
        <v>2585</v>
      </c>
      <c r="B24" s="101" t="s">
        <v>2588</v>
      </c>
      <c r="C24" s="101" t="s">
        <v>1449</v>
      </c>
      <c r="D24" s="102" t="s">
        <v>725</v>
      </c>
      <c r="E24" s="102"/>
      <c r="F24" s="103" t="s">
        <v>725</v>
      </c>
      <c r="G24" s="101"/>
      <c r="H24" s="101"/>
    </row>
    <row r="25" spans="1:8" s="29" customFormat="1" ht="13.5">
      <c r="A25" s="197" t="s">
        <v>2585</v>
      </c>
      <c r="B25" s="102" t="s">
        <v>2589</v>
      </c>
      <c r="C25" s="102" t="s">
        <v>1455</v>
      </c>
      <c r="D25" s="102" t="s">
        <v>725</v>
      </c>
      <c r="E25" s="102"/>
      <c r="F25" s="103" t="s">
        <v>725</v>
      </c>
      <c r="G25" s="101"/>
      <c r="H25" s="101"/>
    </row>
    <row r="26" spans="1:8" s="29" customFormat="1" ht="13.5">
      <c r="A26" s="197" t="s">
        <v>2585</v>
      </c>
      <c r="B26" s="102" t="s">
        <v>2590</v>
      </c>
      <c r="C26" s="102" t="s">
        <v>1457</v>
      </c>
      <c r="D26" s="102" t="s">
        <v>725</v>
      </c>
      <c r="E26" s="102"/>
      <c r="F26" s="103" t="s">
        <v>725</v>
      </c>
      <c r="G26" s="101"/>
      <c r="H26" s="101"/>
    </row>
    <row r="27" spans="1:8" s="29" customFormat="1" ht="13.5">
      <c r="A27" s="197" t="s">
        <v>2585</v>
      </c>
      <c r="B27" s="102" t="s">
        <v>2591</v>
      </c>
      <c r="C27" s="102" t="s">
        <v>1459</v>
      </c>
      <c r="D27" s="102" t="s">
        <v>725</v>
      </c>
      <c r="E27" s="102"/>
      <c r="F27" s="103" t="s">
        <v>725</v>
      </c>
      <c r="G27" s="101"/>
      <c r="H27" s="101"/>
    </row>
    <row r="28" spans="1:8" s="29" customFormat="1" ht="13.5">
      <c r="A28" s="197" t="s">
        <v>2585</v>
      </c>
      <c r="B28" s="102" t="s">
        <v>2592</v>
      </c>
      <c r="C28" s="102" t="s">
        <v>1461</v>
      </c>
      <c r="D28" s="102" t="s">
        <v>725</v>
      </c>
      <c r="E28" s="102"/>
      <c r="F28" s="103" t="s">
        <v>725</v>
      </c>
      <c r="G28" s="101"/>
      <c r="H28" s="101"/>
    </row>
    <row r="29" spans="1:8" s="29" customFormat="1" ht="13.5">
      <c r="A29" s="197" t="s">
        <v>2585</v>
      </c>
      <c r="B29" s="102" t="s">
        <v>2593</v>
      </c>
      <c r="C29" s="102" t="s">
        <v>1463</v>
      </c>
      <c r="D29" s="102" t="s">
        <v>725</v>
      </c>
      <c r="E29" s="102"/>
      <c r="F29" s="103" t="s">
        <v>725</v>
      </c>
      <c r="G29" s="101"/>
      <c r="H29" s="101"/>
    </row>
    <row r="30" spans="1:8" s="29" customFormat="1" ht="13.5">
      <c r="A30" s="197" t="s">
        <v>2585</v>
      </c>
      <c r="B30" s="101" t="s">
        <v>2594</v>
      </c>
      <c r="C30" s="102" t="s">
        <v>2121</v>
      </c>
      <c r="D30" s="102" t="s">
        <v>697</v>
      </c>
      <c r="E30" s="102" t="s">
        <v>2595</v>
      </c>
      <c r="F30" s="103" t="s">
        <v>725</v>
      </c>
      <c r="G30" s="101"/>
      <c r="H30" s="101"/>
    </row>
    <row r="31" spans="1:8" s="29" customFormat="1" ht="13.5">
      <c r="A31" s="197" t="s">
        <v>2585</v>
      </c>
      <c r="B31" s="102" t="s">
        <v>805</v>
      </c>
      <c r="C31" s="102" t="s">
        <v>806</v>
      </c>
      <c r="D31" s="102" t="s">
        <v>725</v>
      </c>
      <c r="E31" s="102"/>
      <c r="F31" s="103" t="s">
        <v>725</v>
      </c>
      <c r="G31" s="101"/>
      <c r="H31" s="101"/>
    </row>
    <row r="32" spans="1:8" ht="89.25">
      <c r="A32" s="142" t="s">
        <v>239</v>
      </c>
      <c r="B32" s="124" t="s">
        <v>919</v>
      </c>
      <c r="C32" s="123" t="s">
        <v>790</v>
      </c>
      <c r="D32" s="123" t="s">
        <v>920</v>
      </c>
      <c r="E32" s="124" t="s">
        <v>921</v>
      </c>
      <c r="F32" s="124" t="s">
        <v>804</v>
      </c>
      <c r="G32" s="142" t="s">
        <v>2596</v>
      </c>
      <c r="H32" s="87"/>
    </row>
    <row r="33" spans="1:8">
      <c r="A33" s="142" t="s">
        <v>239</v>
      </c>
      <c r="B33" s="124" t="s">
        <v>922</v>
      </c>
      <c r="C33" s="123" t="s">
        <v>923</v>
      </c>
      <c r="D33" s="123" t="s">
        <v>725</v>
      </c>
      <c r="E33" s="124"/>
      <c r="F33" s="124" t="s">
        <v>725</v>
      </c>
      <c r="G33" s="87"/>
      <c r="H33" s="87"/>
    </row>
    <row r="34" spans="1:8">
      <c r="A34" s="142" t="s">
        <v>239</v>
      </c>
      <c r="B34" s="124" t="s">
        <v>924</v>
      </c>
      <c r="C34" s="123" t="s">
        <v>564</v>
      </c>
      <c r="D34" s="123" t="s">
        <v>925</v>
      </c>
      <c r="E34" s="124"/>
      <c r="F34" s="124" t="s">
        <v>786</v>
      </c>
      <c r="G34" s="87"/>
      <c r="H34" s="87"/>
    </row>
    <row r="35" spans="1:8">
      <c r="A35" s="142" t="s">
        <v>239</v>
      </c>
      <c r="B35" s="124" t="s">
        <v>926</v>
      </c>
      <c r="C35" s="123" t="s">
        <v>802</v>
      </c>
      <c r="D35" s="124" t="s">
        <v>927</v>
      </c>
      <c r="E35" s="124"/>
      <c r="F35" s="124" t="s">
        <v>804</v>
      </c>
      <c r="G35" s="87"/>
      <c r="H35" s="87"/>
    </row>
    <row r="36" spans="1:8">
      <c r="A36" s="142" t="s">
        <v>239</v>
      </c>
      <c r="B36" s="124" t="s">
        <v>928</v>
      </c>
      <c r="C36" s="123" t="s">
        <v>784</v>
      </c>
      <c r="D36" s="123" t="s">
        <v>929</v>
      </c>
      <c r="E36" s="124"/>
      <c r="F36" s="124" t="s">
        <v>786</v>
      </c>
      <c r="G36" s="87"/>
      <c r="H36" s="87"/>
    </row>
    <row r="37" spans="1:8">
      <c r="A37" s="142" t="s">
        <v>239</v>
      </c>
      <c r="B37" s="124" t="s">
        <v>930</v>
      </c>
      <c r="C37" s="123" t="s">
        <v>814</v>
      </c>
      <c r="D37" s="123" t="s">
        <v>931</v>
      </c>
      <c r="E37" s="124" t="s">
        <v>932</v>
      </c>
      <c r="F37" s="124" t="s">
        <v>828</v>
      </c>
      <c r="G37" s="87"/>
      <c r="H37" s="87"/>
    </row>
    <row r="38" spans="1:8">
      <c r="A38" s="142" t="s">
        <v>239</v>
      </c>
      <c r="B38" s="124" t="s">
        <v>933</v>
      </c>
      <c r="C38" s="123" t="s">
        <v>798</v>
      </c>
      <c r="D38" s="123" t="s">
        <v>725</v>
      </c>
      <c r="E38" s="124"/>
      <c r="F38" s="124" t="s">
        <v>725</v>
      </c>
      <c r="G38" s="87"/>
      <c r="H38" s="87"/>
    </row>
    <row r="39" spans="1:8">
      <c r="A39" s="142" t="s">
        <v>239</v>
      </c>
      <c r="B39" s="124" t="s">
        <v>934</v>
      </c>
      <c r="C39" s="123" t="s">
        <v>782</v>
      </c>
      <c r="D39" s="123" t="s">
        <v>725</v>
      </c>
      <c r="E39" s="124"/>
      <c r="F39" s="124" t="s">
        <v>725</v>
      </c>
      <c r="G39" s="87"/>
      <c r="H39" s="87"/>
    </row>
    <row r="40" spans="1:8">
      <c r="A40" s="142" t="s">
        <v>239</v>
      </c>
      <c r="B40" s="124" t="s">
        <v>935</v>
      </c>
      <c r="C40" s="123" t="s">
        <v>808</v>
      </c>
      <c r="D40" s="123" t="s">
        <v>725</v>
      </c>
      <c r="E40" s="124"/>
      <c r="F40" s="124" t="s">
        <v>725</v>
      </c>
      <c r="G40" s="87"/>
      <c r="H40" s="87"/>
    </row>
    <row r="41" spans="1:8">
      <c r="A41" s="142" t="s">
        <v>239</v>
      </c>
      <c r="B41" s="124" t="s">
        <v>936</v>
      </c>
      <c r="C41" s="123" t="s">
        <v>796</v>
      </c>
      <c r="D41" s="123" t="s">
        <v>725</v>
      </c>
      <c r="E41" s="124"/>
      <c r="F41" s="124" t="s">
        <v>725</v>
      </c>
      <c r="G41" s="87"/>
      <c r="H41" s="87"/>
    </row>
    <row r="42" spans="1:8">
      <c r="A42" s="142" t="s">
        <v>239</v>
      </c>
      <c r="B42" s="124" t="s">
        <v>937</v>
      </c>
      <c r="C42" s="123" t="s">
        <v>810</v>
      </c>
      <c r="D42" s="123" t="s">
        <v>931</v>
      </c>
      <c r="E42" s="124" t="s">
        <v>938</v>
      </c>
      <c r="F42" s="124" t="s">
        <v>828</v>
      </c>
      <c r="G42" s="87"/>
      <c r="H42" s="87"/>
    </row>
    <row r="43" spans="1:8">
      <c r="A43" s="142" t="s">
        <v>239</v>
      </c>
      <c r="B43" s="124" t="s">
        <v>939</v>
      </c>
      <c r="C43" s="123" t="s">
        <v>821</v>
      </c>
      <c r="D43" s="124" t="s">
        <v>725</v>
      </c>
      <c r="E43" s="124"/>
      <c r="F43" s="124" t="s">
        <v>725</v>
      </c>
      <c r="G43" s="87"/>
      <c r="H43" s="87"/>
    </row>
    <row r="44" spans="1:8">
      <c r="A44" s="142" t="s">
        <v>239</v>
      </c>
      <c r="B44" s="124" t="s">
        <v>940</v>
      </c>
      <c r="C44" s="123" t="s">
        <v>818</v>
      </c>
      <c r="D44" s="124" t="s">
        <v>725</v>
      </c>
      <c r="E44" s="124"/>
      <c r="F44" s="124" t="s">
        <v>725</v>
      </c>
      <c r="G44" s="87"/>
      <c r="H44" s="87"/>
    </row>
    <row r="45" spans="1:8">
      <c r="A45" s="142" t="s">
        <v>239</v>
      </c>
      <c r="B45" s="124" t="s">
        <v>941</v>
      </c>
      <c r="C45" s="123" t="s">
        <v>825</v>
      </c>
      <c r="D45" s="123" t="s">
        <v>931</v>
      </c>
      <c r="E45" s="124" t="s">
        <v>942</v>
      </c>
      <c r="F45" s="124" t="s">
        <v>828</v>
      </c>
      <c r="G45" s="87"/>
      <c r="H45" s="87"/>
    </row>
    <row r="46" spans="1:8">
      <c r="A46" s="142" t="s">
        <v>239</v>
      </c>
      <c r="B46" s="124" t="s">
        <v>943</v>
      </c>
      <c r="C46" s="123" t="s">
        <v>823</v>
      </c>
      <c r="D46" s="123" t="s">
        <v>725</v>
      </c>
      <c r="E46" s="124"/>
      <c r="F46" s="124" t="s">
        <v>725</v>
      </c>
      <c r="G46" s="87"/>
      <c r="H46" s="87"/>
    </row>
    <row r="47" spans="1:8">
      <c r="A47" s="142" t="s">
        <v>239</v>
      </c>
      <c r="B47" s="124" t="s">
        <v>944</v>
      </c>
      <c r="C47" s="123" t="s">
        <v>794</v>
      </c>
      <c r="D47" s="123" t="s">
        <v>725</v>
      </c>
      <c r="E47" s="124"/>
      <c r="F47" s="124" t="s">
        <v>725</v>
      </c>
      <c r="G47" s="87"/>
      <c r="H47" s="87"/>
    </row>
    <row r="48" spans="1:8">
      <c r="A48" s="142" t="s">
        <v>239</v>
      </c>
      <c r="B48" s="124" t="s">
        <v>945</v>
      </c>
      <c r="C48" s="123" t="s">
        <v>800</v>
      </c>
      <c r="D48" s="124" t="s">
        <v>725</v>
      </c>
      <c r="E48" s="124"/>
      <c r="F48" s="124" t="s">
        <v>725</v>
      </c>
      <c r="G48" s="87"/>
      <c r="H48" s="87"/>
    </row>
    <row r="49" spans="1:8">
      <c r="A49" s="142" t="s">
        <v>239</v>
      </c>
      <c r="B49" s="124" t="s">
        <v>946</v>
      </c>
      <c r="C49" s="123" t="s">
        <v>806</v>
      </c>
      <c r="D49" s="123" t="s">
        <v>725</v>
      </c>
      <c r="E49" s="124"/>
      <c r="F49" s="124" t="s">
        <v>725</v>
      </c>
      <c r="G49" s="87"/>
      <c r="H49" s="87"/>
    </row>
    <row r="50" spans="1:8" s="29" customFormat="1" ht="76.5">
      <c r="A50" s="154" t="s">
        <v>746</v>
      </c>
      <c r="B50" s="36" t="s">
        <v>982</v>
      </c>
      <c r="C50" s="36" t="s">
        <v>1052</v>
      </c>
      <c r="D50" s="37" t="s">
        <v>1053</v>
      </c>
      <c r="E50" s="37" t="s">
        <v>1054</v>
      </c>
      <c r="F50" s="37" t="s">
        <v>1055</v>
      </c>
      <c r="G50" s="176" t="s">
        <v>1056</v>
      </c>
      <c r="H50" s="35"/>
    </row>
    <row r="51" spans="1:8" s="29" customFormat="1" ht="38.25">
      <c r="A51" s="35" t="s">
        <v>1057</v>
      </c>
      <c r="B51" s="179" t="s">
        <v>1058</v>
      </c>
      <c r="C51" s="179" t="s">
        <v>1059</v>
      </c>
      <c r="D51" s="180" t="s">
        <v>1060</v>
      </c>
      <c r="E51" s="180" t="s">
        <v>1061</v>
      </c>
      <c r="F51" s="180" t="s">
        <v>804</v>
      </c>
      <c r="G51" s="176" t="s">
        <v>1056</v>
      </c>
      <c r="H51" s="35"/>
    </row>
    <row r="52" spans="1:8" s="29" customFormat="1" ht="51">
      <c r="A52" s="35" t="s">
        <v>1057</v>
      </c>
      <c r="B52" s="36" t="s">
        <v>1069</v>
      </c>
      <c r="C52" s="183" t="s">
        <v>1070</v>
      </c>
      <c r="D52" s="37" t="s">
        <v>1071</v>
      </c>
      <c r="E52" s="37" t="s">
        <v>1072</v>
      </c>
      <c r="F52" s="37" t="s">
        <v>1073</v>
      </c>
      <c r="G52" s="176" t="s">
        <v>1056</v>
      </c>
      <c r="H52" s="35"/>
    </row>
    <row r="53" spans="1:8" ht="25.5">
      <c r="A53" s="142" t="s">
        <v>746</v>
      </c>
      <c r="B53" s="124" t="s">
        <v>747</v>
      </c>
      <c r="C53" s="123" t="s">
        <v>748</v>
      </c>
      <c r="D53" s="124" t="s">
        <v>725</v>
      </c>
      <c r="E53" s="124"/>
      <c r="F53" s="124" t="s">
        <v>725</v>
      </c>
      <c r="G53" s="87"/>
      <c r="H53" s="87"/>
    </row>
    <row r="54" spans="1:8" ht="25.5">
      <c r="A54" s="142" t="s">
        <v>746</v>
      </c>
      <c r="B54" s="124" t="s">
        <v>749</v>
      </c>
      <c r="C54" s="123" t="s">
        <v>972</v>
      </c>
      <c r="D54" s="124" t="s">
        <v>725</v>
      </c>
      <c r="E54" s="124"/>
      <c r="F54" s="124" t="s">
        <v>725</v>
      </c>
      <c r="G54" s="87"/>
      <c r="H54" s="87"/>
    </row>
    <row r="55" spans="1:8" ht="25.5">
      <c r="A55" s="142" t="s">
        <v>746</v>
      </c>
      <c r="B55" s="124" t="s">
        <v>751</v>
      </c>
      <c r="C55" s="87" t="s">
        <v>752</v>
      </c>
      <c r="D55" s="124" t="s">
        <v>725</v>
      </c>
      <c r="E55" s="124"/>
      <c r="F55" s="124" t="s">
        <v>725</v>
      </c>
      <c r="G55" s="87"/>
      <c r="H55" s="87"/>
    </row>
    <row r="56" spans="1:8" ht="25.5">
      <c r="A56" s="142" t="s">
        <v>746</v>
      </c>
      <c r="B56" s="124" t="s">
        <v>753</v>
      </c>
      <c r="C56" s="87" t="s">
        <v>850</v>
      </c>
      <c r="D56" s="123" t="s">
        <v>725</v>
      </c>
      <c r="E56" s="124"/>
      <c r="F56" s="124" t="s">
        <v>725</v>
      </c>
      <c r="G56" s="87"/>
      <c r="H56" s="87"/>
    </row>
    <row r="57" spans="1:8" ht="25.5">
      <c r="A57" s="142" t="s">
        <v>746</v>
      </c>
      <c r="B57" s="124" t="s">
        <v>846</v>
      </c>
      <c r="C57" s="123" t="s">
        <v>973</v>
      </c>
      <c r="D57" s="123" t="s">
        <v>725</v>
      </c>
      <c r="E57" s="124"/>
      <c r="F57" s="124" t="s">
        <v>725</v>
      </c>
      <c r="G57" s="87"/>
      <c r="H57" s="87"/>
    </row>
    <row r="58" spans="1:8" ht="25.5">
      <c r="A58" s="142" t="s">
        <v>746</v>
      </c>
      <c r="B58" s="124" t="s">
        <v>844</v>
      </c>
      <c r="C58" s="123" t="s">
        <v>974</v>
      </c>
      <c r="D58" s="123" t="s">
        <v>725</v>
      </c>
      <c r="E58" s="124"/>
      <c r="F58" s="124" t="s">
        <v>725</v>
      </c>
      <c r="G58" s="87"/>
      <c r="H58" s="87"/>
    </row>
    <row r="59" spans="1:8" ht="25.5">
      <c r="A59" s="142" t="s">
        <v>746</v>
      </c>
      <c r="B59" s="124" t="s">
        <v>857</v>
      </c>
      <c r="C59" s="123" t="s">
        <v>858</v>
      </c>
      <c r="D59" s="123" t="s">
        <v>725</v>
      </c>
      <c r="E59" s="124"/>
      <c r="F59" s="124" t="s">
        <v>725</v>
      </c>
      <c r="G59" s="87"/>
      <c r="H59" s="87"/>
    </row>
    <row r="60" spans="1:8" ht="25.5">
      <c r="A60" s="142" t="s">
        <v>746</v>
      </c>
      <c r="B60" s="124" t="s">
        <v>975</v>
      </c>
      <c r="C60" s="123" t="s">
        <v>976</v>
      </c>
      <c r="D60" s="123" t="s">
        <v>977</v>
      </c>
      <c r="E60" s="124"/>
      <c r="F60" s="124" t="s">
        <v>725</v>
      </c>
      <c r="G60" s="87"/>
      <c r="H60" s="87"/>
    </row>
    <row r="61" spans="1:8" ht="25.5">
      <c r="A61" s="142" t="s">
        <v>746</v>
      </c>
      <c r="B61" s="124" t="s">
        <v>781</v>
      </c>
      <c r="C61" s="123" t="s">
        <v>782</v>
      </c>
      <c r="D61" s="123" t="s">
        <v>725</v>
      </c>
      <c r="E61" s="124"/>
      <c r="F61" s="124" t="s">
        <v>953</v>
      </c>
      <c r="G61" s="87"/>
      <c r="H61" s="87"/>
    </row>
    <row r="62" spans="1:8" ht="25.5">
      <c r="A62" s="142" t="s">
        <v>746</v>
      </c>
      <c r="B62" s="124" t="s">
        <v>906</v>
      </c>
      <c r="C62" s="123" t="s">
        <v>907</v>
      </c>
      <c r="D62" s="123" t="s">
        <v>725</v>
      </c>
      <c r="E62" s="124"/>
      <c r="F62" s="124" t="s">
        <v>725</v>
      </c>
      <c r="G62" s="87"/>
      <c r="H62" s="87"/>
    </row>
    <row r="63" spans="1:8" ht="25.5">
      <c r="A63" s="142" t="s">
        <v>746</v>
      </c>
      <c r="B63" s="124" t="s">
        <v>898</v>
      </c>
      <c r="C63" s="123" t="s">
        <v>978</v>
      </c>
      <c r="D63" s="123" t="s">
        <v>725</v>
      </c>
      <c r="E63" s="124"/>
      <c r="F63" s="124" t="s">
        <v>725</v>
      </c>
      <c r="G63" s="87"/>
      <c r="H63" s="87"/>
    </row>
    <row r="64" spans="1:8" ht="25.5">
      <c r="A64" s="142" t="s">
        <v>746</v>
      </c>
      <c r="B64" s="124" t="s">
        <v>902</v>
      </c>
      <c r="C64" s="123" t="s">
        <v>903</v>
      </c>
      <c r="D64" s="123" t="s">
        <v>725</v>
      </c>
      <c r="E64" s="124"/>
      <c r="F64" s="124" t="s">
        <v>725</v>
      </c>
      <c r="G64" s="87"/>
      <c r="H64" s="87"/>
    </row>
    <row r="65" spans="1:8" ht="25.5">
      <c r="A65" s="142" t="s">
        <v>746</v>
      </c>
      <c r="B65" s="143" t="s">
        <v>900</v>
      </c>
      <c r="C65" s="123" t="s">
        <v>901</v>
      </c>
      <c r="D65" s="144" t="s">
        <v>725</v>
      </c>
      <c r="E65" s="143"/>
      <c r="F65" s="124" t="s">
        <v>725</v>
      </c>
      <c r="G65" s="87"/>
      <c r="H65" s="87"/>
    </row>
    <row r="66" spans="1:8" ht="25.5">
      <c r="A66" s="142" t="s">
        <v>746</v>
      </c>
      <c r="B66" s="143" t="s">
        <v>859</v>
      </c>
      <c r="C66" s="123" t="s">
        <v>860</v>
      </c>
      <c r="D66" s="144" t="s">
        <v>725</v>
      </c>
      <c r="E66" s="143"/>
      <c r="F66" s="124" t="s">
        <v>725</v>
      </c>
      <c r="G66" s="87"/>
      <c r="H66" s="87"/>
    </row>
    <row r="67" spans="1:8" ht="25.5">
      <c r="A67" s="142" t="s">
        <v>746</v>
      </c>
      <c r="B67" s="143" t="s">
        <v>904</v>
      </c>
      <c r="C67" s="123" t="s">
        <v>905</v>
      </c>
      <c r="D67" s="144" t="s">
        <v>725</v>
      </c>
      <c r="E67" s="143"/>
      <c r="F67" s="124" t="s">
        <v>725</v>
      </c>
      <c r="G67" s="87"/>
      <c r="H67" s="87"/>
    </row>
    <row r="68" spans="1:8" ht="25.5">
      <c r="A68" s="142" t="s">
        <v>746</v>
      </c>
      <c r="B68" s="143" t="s">
        <v>908</v>
      </c>
      <c r="C68" s="123" t="s">
        <v>979</v>
      </c>
      <c r="D68" s="144" t="s">
        <v>725</v>
      </c>
      <c r="E68" s="143"/>
      <c r="F68" s="124" t="s">
        <v>725</v>
      </c>
      <c r="G68" s="87"/>
      <c r="H68" s="87"/>
    </row>
    <row r="69" spans="1:8" ht="25.5">
      <c r="A69" s="142" t="s">
        <v>746</v>
      </c>
      <c r="B69" s="143" t="s">
        <v>829</v>
      </c>
      <c r="C69" s="123" t="s">
        <v>980</v>
      </c>
      <c r="D69" s="144" t="s">
        <v>725</v>
      </c>
      <c r="E69" s="143"/>
      <c r="F69" s="124" t="s">
        <v>725</v>
      </c>
      <c r="G69" s="87"/>
      <c r="H69" s="87"/>
    </row>
    <row r="70" spans="1:8" ht="25.5">
      <c r="A70" s="142" t="s">
        <v>746</v>
      </c>
      <c r="B70" s="143" t="s">
        <v>878</v>
      </c>
      <c r="C70" s="123" t="s">
        <v>879</v>
      </c>
      <c r="D70" s="144" t="s">
        <v>725</v>
      </c>
      <c r="E70" s="143"/>
      <c r="F70" s="124" t="s">
        <v>725</v>
      </c>
      <c r="G70" s="87"/>
      <c r="H70" s="87"/>
    </row>
    <row r="71" spans="1:8" ht="25.5">
      <c r="A71" s="142" t="s">
        <v>746</v>
      </c>
      <c r="B71" s="143" t="s">
        <v>910</v>
      </c>
      <c r="C71" s="123" t="s">
        <v>981</v>
      </c>
      <c r="D71" s="184" t="s">
        <v>725</v>
      </c>
      <c r="E71" s="185"/>
      <c r="F71" s="185" t="s">
        <v>725</v>
      </c>
      <c r="G71" s="87"/>
      <c r="H71" s="87"/>
    </row>
  </sheetData>
  <autoFilter ref="A6:I6" xr:uid="{B1D763F8-7BCA-4580-801A-9A990BE918A2}"/>
  <mergeCells count="2">
    <mergeCell ref="C2:I2"/>
    <mergeCell ref="C4:I4"/>
  </mergeCells>
  <hyperlinks>
    <hyperlink ref="B1" location="Summary!A1" display="Summary" xr:uid="{D6EFA552-290D-495F-8840-BD22664B7821}"/>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C12D-388A-4D45-B0F2-8A0FC3A2E49D}">
  <dimension ref="A1:I20"/>
  <sheetViews>
    <sheetView workbookViewId="0">
      <pane xSplit="2" ySplit="6" topLeftCell="C7" activePane="bottomRight" state="frozen"/>
      <selection pane="bottomRight" activeCell="D10" sqref="D10"/>
      <selection pane="bottomLeft" activeCell="A7" sqref="A7"/>
      <selection pane="topRight" activeCell="C1" sqref="C1"/>
    </sheetView>
  </sheetViews>
  <sheetFormatPr defaultColWidth="9.140625" defaultRowHeight="12.75"/>
  <cols>
    <col min="1" max="1" width="28.7109375" style="82" bestFit="1" customWidth="1"/>
    <col min="2" max="2" width="20.28515625" style="82" customWidth="1"/>
    <col min="3" max="3" width="29" style="82" customWidth="1"/>
    <col min="4" max="4" width="42.140625" style="82" bestFit="1" customWidth="1"/>
    <col min="5" max="5" width="26.42578125" style="82" customWidth="1"/>
    <col min="6" max="6" width="21" style="82" bestFit="1" customWidth="1"/>
    <col min="7" max="7" width="25.28515625" style="82" customWidth="1"/>
    <col min="8" max="8" width="80.42578125" style="82" customWidth="1"/>
    <col min="9" max="16384" width="9.140625" style="82"/>
  </cols>
  <sheetData>
    <row r="1" spans="1:9">
      <c r="B1" s="106" t="s">
        <v>773</v>
      </c>
    </row>
    <row r="2" spans="1:9">
      <c r="B2" s="107" t="s">
        <v>2597</v>
      </c>
      <c r="C2" s="317"/>
      <c r="D2" s="317"/>
      <c r="E2" s="317"/>
      <c r="F2" s="317"/>
      <c r="G2" s="317"/>
      <c r="H2" s="317"/>
      <c r="I2" s="317"/>
    </row>
    <row r="3" spans="1:9">
      <c r="B3" s="107" t="s">
        <v>2598</v>
      </c>
      <c r="C3" s="138"/>
      <c r="D3" s="138"/>
      <c r="E3" s="138"/>
      <c r="F3" s="138"/>
      <c r="G3" s="138"/>
      <c r="H3" s="138"/>
      <c r="I3" s="138"/>
    </row>
    <row r="4" spans="1:9">
      <c r="B4" s="107" t="s">
        <v>571</v>
      </c>
      <c r="C4" s="318" t="str">
        <f>Summary!O33</f>
        <v>This table contains information for the Approval History of the Adjustment until it is Frozen</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c r="A7" s="142" t="s">
        <v>589</v>
      </c>
      <c r="B7" s="124" t="s">
        <v>2599</v>
      </c>
      <c r="C7" s="123" t="s">
        <v>2600</v>
      </c>
      <c r="D7" s="123" t="s">
        <v>725</v>
      </c>
      <c r="E7" s="124"/>
      <c r="F7" s="124" t="s">
        <v>725</v>
      </c>
      <c r="G7" s="87"/>
      <c r="H7" s="87"/>
    </row>
    <row r="8" spans="1:9">
      <c r="A8" s="142" t="s">
        <v>589</v>
      </c>
      <c r="B8" s="124" t="s">
        <v>2601</v>
      </c>
      <c r="C8" s="123" t="s">
        <v>2602</v>
      </c>
      <c r="D8" s="124" t="s">
        <v>2603</v>
      </c>
      <c r="E8" s="124"/>
      <c r="F8" s="124" t="s">
        <v>786</v>
      </c>
      <c r="G8" s="87"/>
      <c r="H8" s="87"/>
    </row>
    <row r="9" spans="1:9">
      <c r="A9" s="142" t="s">
        <v>589</v>
      </c>
      <c r="B9" s="124" t="s">
        <v>928</v>
      </c>
      <c r="C9" s="123" t="s">
        <v>784</v>
      </c>
      <c r="D9" s="123" t="s">
        <v>929</v>
      </c>
      <c r="E9" s="124" t="s">
        <v>2604</v>
      </c>
      <c r="F9" s="124" t="s">
        <v>786</v>
      </c>
      <c r="G9" s="87"/>
      <c r="H9" s="87"/>
    </row>
    <row r="10" spans="1:9">
      <c r="A10" s="142" t="s">
        <v>589</v>
      </c>
      <c r="B10" s="124" t="s">
        <v>924</v>
      </c>
      <c r="C10" s="123" t="s">
        <v>564</v>
      </c>
      <c r="D10" s="123" t="s">
        <v>925</v>
      </c>
      <c r="E10" s="124"/>
      <c r="F10" s="124" t="s">
        <v>786</v>
      </c>
      <c r="G10" s="87"/>
      <c r="H10" s="87"/>
    </row>
    <row r="11" spans="1:9">
      <c r="A11" s="142" t="s">
        <v>589</v>
      </c>
      <c r="B11" s="124" t="s">
        <v>939</v>
      </c>
      <c r="C11" s="123" t="s">
        <v>821</v>
      </c>
      <c r="D11" s="124" t="s">
        <v>725</v>
      </c>
      <c r="E11" s="124"/>
      <c r="F11" s="124" t="s">
        <v>725</v>
      </c>
      <c r="G11" s="87"/>
      <c r="H11" s="87"/>
    </row>
    <row r="12" spans="1:9">
      <c r="A12" s="142" t="s">
        <v>589</v>
      </c>
      <c r="B12" s="124" t="s">
        <v>940</v>
      </c>
      <c r="C12" s="123" t="s">
        <v>818</v>
      </c>
      <c r="D12" s="124" t="s">
        <v>725</v>
      </c>
      <c r="E12" s="124"/>
      <c r="F12" s="124" t="s">
        <v>725</v>
      </c>
      <c r="G12" s="87"/>
      <c r="H12" s="87"/>
    </row>
    <row r="13" spans="1:9">
      <c r="A13" s="142" t="s">
        <v>589</v>
      </c>
      <c r="B13" s="124" t="s">
        <v>946</v>
      </c>
      <c r="C13" s="123" t="s">
        <v>806</v>
      </c>
      <c r="D13" s="123" t="s">
        <v>725</v>
      </c>
      <c r="E13" s="124"/>
      <c r="F13" s="124" t="s">
        <v>725</v>
      </c>
      <c r="G13" s="87"/>
      <c r="H13" s="87"/>
    </row>
    <row r="14" spans="1:9" s="209" customFormat="1" ht="216.75">
      <c r="A14" s="101" t="s">
        <v>767</v>
      </c>
      <c r="B14" s="162" t="s">
        <v>2605</v>
      </c>
      <c r="C14" s="101" t="s">
        <v>2606</v>
      </c>
      <c r="D14" s="162" t="s">
        <v>2607</v>
      </c>
      <c r="E14" s="101"/>
      <c r="F14" s="162" t="s">
        <v>786</v>
      </c>
      <c r="G14" s="208" t="s">
        <v>2507</v>
      </c>
      <c r="H14" s="101"/>
    </row>
    <row r="15" spans="1:9" s="209" customFormat="1" ht="63.75">
      <c r="A15" s="101" t="s">
        <v>767</v>
      </c>
      <c r="B15" s="162" t="s">
        <v>2608</v>
      </c>
      <c r="C15" s="101" t="s">
        <v>2609</v>
      </c>
      <c r="D15" s="162" t="s">
        <v>2610</v>
      </c>
      <c r="E15" s="101"/>
      <c r="F15" s="101" t="s">
        <v>725</v>
      </c>
      <c r="G15" s="208" t="s">
        <v>2507</v>
      </c>
      <c r="H15" s="101"/>
    </row>
    <row r="16" spans="1:9" s="209" customFormat="1" ht="165.75">
      <c r="A16" s="101" t="s">
        <v>767</v>
      </c>
      <c r="B16" s="162" t="s">
        <v>2611</v>
      </c>
      <c r="C16" s="101" t="s">
        <v>2612</v>
      </c>
      <c r="D16" s="162" t="s">
        <v>2613</v>
      </c>
      <c r="E16" s="101"/>
      <c r="F16" s="101" t="s">
        <v>804</v>
      </c>
      <c r="G16" s="208" t="s">
        <v>2507</v>
      </c>
      <c r="H16" s="101"/>
    </row>
    <row r="17" spans="1:8" s="209" customFormat="1" ht="76.5">
      <c r="A17" s="101" t="s">
        <v>767</v>
      </c>
      <c r="B17" s="162" t="s">
        <v>2614</v>
      </c>
      <c r="C17" s="101" t="s">
        <v>2615</v>
      </c>
      <c r="D17" s="162" t="s">
        <v>2616</v>
      </c>
      <c r="E17" s="101"/>
      <c r="F17" s="101" t="s">
        <v>725</v>
      </c>
      <c r="G17" s="210" t="s">
        <v>2617</v>
      </c>
      <c r="H17" s="101"/>
    </row>
    <row r="18" spans="1:8" s="209" customFormat="1" ht="89.25">
      <c r="A18" s="101" t="s">
        <v>767</v>
      </c>
      <c r="B18" s="162" t="s">
        <v>2618</v>
      </c>
      <c r="C18" s="101" t="s">
        <v>2619</v>
      </c>
      <c r="D18" s="162" t="s">
        <v>2620</v>
      </c>
      <c r="E18" s="101"/>
      <c r="F18" s="101" t="s">
        <v>725</v>
      </c>
      <c r="G18" s="210" t="s">
        <v>2617</v>
      </c>
      <c r="H18" s="101"/>
    </row>
    <row r="19" spans="1:8" s="209" customFormat="1" ht="63.75">
      <c r="A19" s="101" t="s">
        <v>767</v>
      </c>
      <c r="B19" s="162" t="s">
        <v>2621</v>
      </c>
      <c r="C19" s="101" t="s">
        <v>2622</v>
      </c>
      <c r="D19" s="162" t="s">
        <v>2623</v>
      </c>
      <c r="E19" s="101"/>
      <c r="F19" s="101" t="s">
        <v>725</v>
      </c>
      <c r="G19" s="210" t="s">
        <v>2624</v>
      </c>
      <c r="H19" s="101"/>
    </row>
    <row r="20" spans="1:8" s="209" customFormat="1" ht="89.25">
      <c r="A20" s="101" t="s">
        <v>767</v>
      </c>
      <c r="B20" s="162" t="s">
        <v>2625</v>
      </c>
      <c r="C20" s="101" t="s">
        <v>2626</v>
      </c>
      <c r="D20" s="162" t="s">
        <v>2627</v>
      </c>
      <c r="E20" s="101"/>
      <c r="F20" s="101" t="s">
        <v>804</v>
      </c>
      <c r="G20" s="208" t="s">
        <v>2507</v>
      </c>
      <c r="H20" s="101"/>
    </row>
  </sheetData>
  <autoFilter ref="A6:I6" xr:uid="{3970C12D-388A-4D45-B0F2-8A0FC3A2E49D}"/>
  <mergeCells count="2">
    <mergeCell ref="C2:I2"/>
    <mergeCell ref="C4:I4"/>
  </mergeCells>
  <hyperlinks>
    <hyperlink ref="B1" location="Summary!A1" display="Summary" xr:uid="{64F0509B-B5CB-487D-BC00-0E492B0A37C1}"/>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9319-12FD-419E-9B43-06AA27BC54DA}">
  <dimension ref="A1:I199"/>
  <sheetViews>
    <sheetView zoomScale="85" zoomScaleNormal="85" workbookViewId="0">
      <selection activeCell="B1" sqref="B1"/>
    </sheetView>
  </sheetViews>
  <sheetFormatPr defaultColWidth="9.140625" defaultRowHeight="12.75"/>
  <cols>
    <col min="1" max="1" width="28.7109375" style="82" bestFit="1" customWidth="1"/>
    <col min="2" max="2" width="34" style="82" customWidth="1"/>
    <col min="3" max="3" width="28.28515625" style="82" bestFit="1" customWidth="1"/>
    <col min="4" max="4" width="42.140625" style="82" bestFit="1" customWidth="1"/>
    <col min="5" max="5" width="26.42578125" style="82" customWidth="1"/>
    <col min="6" max="6" width="26.28515625" style="82" customWidth="1"/>
    <col min="7" max="7" width="25.28515625" style="82" customWidth="1"/>
    <col min="8" max="8" width="80.42578125" style="82" customWidth="1"/>
    <col min="9" max="16384" width="9.140625" style="82"/>
  </cols>
  <sheetData>
    <row r="1" spans="1:9">
      <c r="B1" s="106" t="s">
        <v>773</v>
      </c>
    </row>
    <row r="2" spans="1:9">
      <c r="B2" s="107" t="s">
        <v>2628</v>
      </c>
      <c r="C2" s="317"/>
      <c r="D2" s="317"/>
      <c r="E2" s="317"/>
      <c r="F2" s="317"/>
      <c r="G2" s="317"/>
      <c r="H2" s="317"/>
      <c r="I2" s="317"/>
    </row>
    <row r="3" spans="1:9">
      <c r="B3" s="107" t="s">
        <v>2629</v>
      </c>
      <c r="C3" s="138"/>
      <c r="D3" s="138"/>
      <c r="E3" s="138"/>
      <c r="F3" s="138"/>
      <c r="G3" s="138"/>
      <c r="H3" s="138"/>
      <c r="I3" s="138"/>
    </row>
    <row r="4" spans="1:9">
      <c r="B4" s="107" t="s">
        <v>571</v>
      </c>
      <c r="C4" s="318" t="str">
        <f>Summary!O39</f>
        <v>This table contains information of the Bill Details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ht="51">
      <c r="A7" s="142" t="s">
        <v>598</v>
      </c>
      <c r="B7" s="124" t="s">
        <v>2630</v>
      </c>
      <c r="C7" s="123" t="s">
        <v>2631</v>
      </c>
      <c r="D7" s="124" t="s">
        <v>2632</v>
      </c>
      <c r="E7" s="124"/>
      <c r="F7" s="124" t="s">
        <v>2633</v>
      </c>
      <c r="G7" s="87"/>
      <c r="H7" s="87"/>
    </row>
    <row r="8" spans="1:9">
      <c r="A8" s="142" t="s">
        <v>598</v>
      </c>
      <c r="B8" s="124" t="s">
        <v>2634</v>
      </c>
      <c r="C8" s="123" t="s">
        <v>1611</v>
      </c>
      <c r="D8" s="124" t="s">
        <v>2635</v>
      </c>
      <c r="E8" s="124"/>
      <c r="F8" s="124" t="s">
        <v>804</v>
      </c>
      <c r="G8" s="87" t="s">
        <v>2636</v>
      </c>
      <c r="H8" s="87"/>
    </row>
    <row r="9" spans="1:9">
      <c r="A9" s="142" t="s">
        <v>598</v>
      </c>
      <c r="B9" s="124" t="s">
        <v>2637</v>
      </c>
      <c r="C9" s="123" t="s">
        <v>1647</v>
      </c>
      <c r="D9" s="123" t="s">
        <v>725</v>
      </c>
      <c r="E9" s="124"/>
      <c r="F9" s="124" t="s">
        <v>725</v>
      </c>
      <c r="G9" s="87"/>
      <c r="H9" s="87"/>
    </row>
    <row r="10" spans="1:9" ht="76.5">
      <c r="A10" s="142" t="s">
        <v>598</v>
      </c>
      <c r="B10" s="124" t="s">
        <v>1774</v>
      </c>
      <c r="C10" s="123" t="s">
        <v>911</v>
      </c>
      <c r="D10" s="124" t="s">
        <v>2638</v>
      </c>
      <c r="E10" s="124" t="s">
        <v>2639</v>
      </c>
      <c r="F10" s="124" t="s">
        <v>786</v>
      </c>
      <c r="G10" s="87"/>
      <c r="H10" s="87"/>
    </row>
    <row r="11" spans="1:9">
      <c r="A11" s="142" t="s">
        <v>598</v>
      </c>
      <c r="B11" s="124" t="s">
        <v>2640</v>
      </c>
      <c r="C11" s="123" t="s">
        <v>2641</v>
      </c>
      <c r="D11" s="124" t="s">
        <v>1018</v>
      </c>
      <c r="E11" s="124"/>
      <c r="F11" s="124" t="s">
        <v>786</v>
      </c>
      <c r="G11" s="87"/>
      <c r="H11" s="87"/>
    </row>
    <row r="12" spans="1:9">
      <c r="A12" s="142" t="s">
        <v>598</v>
      </c>
      <c r="B12" s="124" t="s">
        <v>2642</v>
      </c>
      <c r="C12" s="123" t="s">
        <v>2643</v>
      </c>
      <c r="D12" s="124" t="s">
        <v>725</v>
      </c>
      <c r="E12" s="124"/>
      <c r="F12" s="124" t="s">
        <v>725</v>
      </c>
      <c r="G12" s="87"/>
      <c r="H12" s="87"/>
    </row>
    <row r="13" spans="1:9">
      <c r="A13" s="142" t="s">
        <v>598</v>
      </c>
      <c r="B13" s="124" t="s">
        <v>2644</v>
      </c>
      <c r="C13" s="123" t="s">
        <v>2645</v>
      </c>
      <c r="D13" s="123" t="s">
        <v>725</v>
      </c>
      <c r="E13" s="124"/>
      <c r="F13" s="124" t="s">
        <v>725</v>
      </c>
      <c r="G13" s="87"/>
      <c r="H13" s="87"/>
    </row>
    <row r="14" spans="1:9">
      <c r="A14" s="142" t="s">
        <v>598</v>
      </c>
      <c r="B14" s="124" t="s">
        <v>797</v>
      </c>
      <c r="C14" s="123" t="s">
        <v>798</v>
      </c>
      <c r="D14" s="123" t="s">
        <v>725</v>
      </c>
      <c r="E14" s="124"/>
      <c r="F14" s="124" t="s">
        <v>725</v>
      </c>
      <c r="G14" s="87"/>
      <c r="H14" s="87"/>
    </row>
    <row r="15" spans="1:9">
      <c r="A15" s="142" t="s">
        <v>598</v>
      </c>
      <c r="B15" s="124" t="s">
        <v>2646</v>
      </c>
      <c r="C15" s="123" t="s">
        <v>2647</v>
      </c>
      <c r="D15" s="123" t="s">
        <v>725</v>
      </c>
      <c r="E15" s="124"/>
      <c r="F15" s="124" t="s">
        <v>725</v>
      </c>
      <c r="G15" s="87"/>
      <c r="H15" s="87"/>
    </row>
    <row r="16" spans="1:9">
      <c r="A16" s="142" t="s">
        <v>598</v>
      </c>
      <c r="B16" s="124" t="s">
        <v>2648</v>
      </c>
      <c r="C16" s="123" t="s">
        <v>2649</v>
      </c>
      <c r="D16" s="123" t="s">
        <v>725</v>
      </c>
      <c r="E16" s="124"/>
      <c r="F16" s="124" t="s">
        <v>725</v>
      </c>
      <c r="G16" s="87"/>
      <c r="H16" s="87"/>
    </row>
    <row r="17" spans="1:8">
      <c r="A17" s="142" t="s">
        <v>598</v>
      </c>
      <c r="B17" s="124" t="s">
        <v>2650</v>
      </c>
      <c r="C17" s="123" t="s">
        <v>2651</v>
      </c>
      <c r="D17" s="123" t="s">
        <v>725</v>
      </c>
      <c r="E17" s="124"/>
      <c r="F17" s="124" t="s">
        <v>725</v>
      </c>
      <c r="G17" s="87"/>
      <c r="H17" s="87"/>
    </row>
    <row r="18" spans="1:8">
      <c r="A18" s="142" t="s">
        <v>598</v>
      </c>
      <c r="B18" s="124" t="s">
        <v>2652</v>
      </c>
      <c r="C18" s="123" t="s">
        <v>2653</v>
      </c>
      <c r="D18" s="123" t="s">
        <v>725</v>
      </c>
      <c r="E18" s="124"/>
      <c r="F18" s="124" t="s">
        <v>725</v>
      </c>
      <c r="G18" s="87"/>
      <c r="H18" s="87"/>
    </row>
    <row r="19" spans="1:8">
      <c r="A19" s="142" t="s">
        <v>598</v>
      </c>
      <c r="B19" s="124" t="s">
        <v>2654</v>
      </c>
      <c r="C19" s="123" t="s">
        <v>2655</v>
      </c>
      <c r="D19" s="123" t="s">
        <v>725</v>
      </c>
      <c r="E19" s="124"/>
      <c r="F19" s="124" t="s">
        <v>725</v>
      </c>
      <c r="G19" s="87"/>
      <c r="H19" s="87"/>
    </row>
    <row r="20" spans="1:8">
      <c r="A20" s="142" t="s">
        <v>598</v>
      </c>
      <c r="B20" s="124" t="s">
        <v>2656</v>
      </c>
      <c r="C20" s="123" t="s">
        <v>2657</v>
      </c>
      <c r="D20" s="123" t="s">
        <v>725</v>
      </c>
      <c r="E20" s="124"/>
      <c r="F20" s="124" t="s">
        <v>725</v>
      </c>
      <c r="G20" s="87"/>
      <c r="H20" s="87"/>
    </row>
    <row r="21" spans="1:8">
      <c r="A21" s="142" t="s">
        <v>598</v>
      </c>
      <c r="B21" s="124" t="s">
        <v>2658</v>
      </c>
      <c r="C21" s="123" t="s">
        <v>2659</v>
      </c>
      <c r="D21" s="123" t="s">
        <v>725</v>
      </c>
      <c r="E21" s="124"/>
      <c r="F21" s="124" t="s">
        <v>725</v>
      </c>
      <c r="G21" s="87"/>
      <c r="H21" s="87"/>
    </row>
    <row r="22" spans="1:8">
      <c r="A22" s="142" t="s">
        <v>598</v>
      </c>
      <c r="B22" s="124" t="s">
        <v>2660</v>
      </c>
      <c r="C22" s="123" t="s">
        <v>2661</v>
      </c>
      <c r="D22" s="123" t="s">
        <v>725</v>
      </c>
      <c r="E22" s="124"/>
      <c r="F22" s="124" t="s">
        <v>725</v>
      </c>
      <c r="G22" s="87"/>
      <c r="H22" s="87"/>
    </row>
    <row r="23" spans="1:8">
      <c r="A23" s="142" t="s">
        <v>598</v>
      </c>
      <c r="B23" s="124" t="s">
        <v>2662</v>
      </c>
      <c r="C23" s="123" t="s">
        <v>2663</v>
      </c>
      <c r="D23" s="123" t="s">
        <v>725</v>
      </c>
      <c r="E23" s="124"/>
      <c r="F23" s="124" t="s">
        <v>725</v>
      </c>
      <c r="G23" s="87"/>
      <c r="H23" s="87"/>
    </row>
    <row r="24" spans="1:8" ht="38.25">
      <c r="A24" s="142" t="s">
        <v>598</v>
      </c>
      <c r="B24" s="124" t="s">
        <v>2664</v>
      </c>
      <c r="C24" s="123" t="s">
        <v>2665</v>
      </c>
      <c r="D24" s="92" t="s">
        <v>2666</v>
      </c>
      <c r="E24" s="91"/>
      <c r="F24" s="92" t="s">
        <v>804</v>
      </c>
      <c r="G24" s="87"/>
      <c r="H24" s="87"/>
    </row>
    <row r="25" spans="1:8">
      <c r="A25" s="142" t="s">
        <v>598</v>
      </c>
      <c r="B25" s="124" t="s">
        <v>2667</v>
      </c>
      <c r="C25" s="123" t="s">
        <v>2668</v>
      </c>
      <c r="D25" s="123" t="s">
        <v>725</v>
      </c>
      <c r="E25" s="124"/>
      <c r="F25" s="124" t="s">
        <v>725</v>
      </c>
      <c r="G25" s="87"/>
      <c r="H25" s="87"/>
    </row>
    <row r="26" spans="1:8">
      <c r="A26" s="142" t="s">
        <v>598</v>
      </c>
      <c r="B26" s="124" t="s">
        <v>2669</v>
      </c>
      <c r="C26" s="123" t="s">
        <v>2670</v>
      </c>
      <c r="D26" s="123" t="s">
        <v>725</v>
      </c>
      <c r="E26" s="124"/>
      <c r="F26" s="124" t="s">
        <v>725</v>
      </c>
      <c r="G26" s="87"/>
      <c r="H26" s="87"/>
    </row>
    <row r="27" spans="1:8">
      <c r="A27" s="142" t="s">
        <v>598</v>
      </c>
      <c r="B27" s="124" t="s">
        <v>2671</v>
      </c>
      <c r="C27" s="123" t="s">
        <v>2672</v>
      </c>
      <c r="D27" s="123" t="s">
        <v>725</v>
      </c>
      <c r="E27" s="124"/>
      <c r="F27" s="124" t="s">
        <v>725</v>
      </c>
      <c r="G27" s="87"/>
      <c r="H27" s="87"/>
    </row>
    <row r="28" spans="1:8">
      <c r="A28" s="142" t="s">
        <v>598</v>
      </c>
      <c r="B28" s="124" t="s">
        <v>2673</v>
      </c>
      <c r="C28" s="123" t="s">
        <v>2674</v>
      </c>
      <c r="D28" s="123" t="s">
        <v>725</v>
      </c>
      <c r="E28" s="124"/>
      <c r="F28" s="124" t="s">
        <v>725</v>
      </c>
      <c r="G28" s="87"/>
      <c r="H28" s="87"/>
    </row>
    <row r="29" spans="1:8">
      <c r="A29" s="142" t="s">
        <v>598</v>
      </c>
      <c r="B29" s="124" t="s">
        <v>2675</v>
      </c>
      <c r="C29" s="123" t="s">
        <v>2676</v>
      </c>
      <c r="D29" s="123" t="s">
        <v>725</v>
      </c>
      <c r="E29" s="124"/>
      <c r="F29" s="124" t="s">
        <v>725</v>
      </c>
      <c r="G29" s="87"/>
      <c r="H29" s="87"/>
    </row>
    <row r="30" spans="1:8">
      <c r="A30" s="142" t="s">
        <v>598</v>
      </c>
      <c r="B30" s="124" t="s">
        <v>2677</v>
      </c>
      <c r="C30" s="123" t="s">
        <v>2678</v>
      </c>
      <c r="D30" s="124" t="s">
        <v>1018</v>
      </c>
      <c r="E30" s="124"/>
      <c r="F30" s="124" t="s">
        <v>804</v>
      </c>
      <c r="G30" s="87"/>
      <c r="H30" s="87"/>
    </row>
    <row r="31" spans="1:8">
      <c r="A31" s="142" t="s">
        <v>598</v>
      </c>
      <c r="B31" s="124" t="s">
        <v>2679</v>
      </c>
      <c r="C31" s="123" t="s">
        <v>2680</v>
      </c>
      <c r="D31" s="123" t="s">
        <v>725</v>
      </c>
      <c r="E31" s="124"/>
      <c r="F31" s="124" t="s">
        <v>725</v>
      </c>
      <c r="G31" s="87"/>
      <c r="H31" s="87"/>
    </row>
    <row r="32" spans="1:8">
      <c r="A32" s="142" t="s">
        <v>598</v>
      </c>
      <c r="B32" s="124" t="s">
        <v>2681</v>
      </c>
      <c r="C32" s="123" t="s">
        <v>2682</v>
      </c>
      <c r="D32" s="123" t="s">
        <v>725</v>
      </c>
      <c r="E32" s="124"/>
      <c r="F32" s="124" t="s">
        <v>725</v>
      </c>
      <c r="G32" s="87"/>
      <c r="H32" s="87"/>
    </row>
    <row r="33" spans="1:8">
      <c r="A33" s="142" t="s">
        <v>598</v>
      </c>
      <c r="B33" s="124" t="s">
        <v>817</v>
      </c>
      <c r="C33" s="123" t="s">
        <v>818</v>
      </c>
      <c r="D33" s="123" t="s">
        <v>725</v>
      </c>
      <c r="E33" s="124"/>
      <c r="F33" s="124" t="s">
        <v>725</v>
      </c>
      <c r="G33" s="87"/>
      <c r="H33" s="87"/>
    </row>
    <row r="34" spans="1:8">
      <c r="A34" s="142" t="s">
        <v>598</v>
      </c>
      <c r="B34" s="124" t="s">
        <v>820</v>
      </c>
      <c r="C34" s="123" t="s">
        <v>821</v>
      </c>
      <c r="D34" s="123" t="s">
        <v>725</v>
      </c>
      <c r="E34" s="124"/>
      <c r="F34" s="124" t="s">
        <v>725</v>
      </c>
      <c r="G34" s="87"/>
      <c r="H34" s="87"/>
    </row>
    <row r="35" spans="1:8">
      <c r="A35" s="142" t="s">
        <v>598</v>
      </c>
      <c r="B35" s="124" t="s">
        <v>805</v>
      </c>
      <c r="C35" s="123" t="s">
        <v>806</v>
      </c>
      <c r="D35" s="123" t="s">
        <v>725</v>
      </c>
      <c r="E35" s="124"/>
      <c r="F35" s="124" t="s">
        <v>725</v>
      </c>
      <c r="G35" s="87"/>
      <c r="H35" s="87"/>
    </row>
    <row r="36" spans="1:8" s="280" customFormat="1" ht="25.5">
      <c r="A36" s="276" t="s">
        <v>2683</v>
      </c>
      <c r="B36" s="277" t="s">
        <v>2630</v>
      </c>
      <c r="C36" s="278" t="s">
        <v>2684</v>
      </c>
      <c r="D36" s="278" t="s">
        <v>598</v>
      </c>
      <c r="E36" s="277"/>
      <c r="F36" s="278" t="s">
        <v>1887</v>
      </c>
      <c r="G36" s="276" t="s">
        <v>2685</v>
      </c>
      <c r="H36" s="279"/>
    </row>
    <row r="37" spans="1:8" s="280" customFormat="1" ht="51">
      <c r="A37" s="276" t="s">
        <v>2683</v>
      </c>
      <c r="B37" s="277" t="s">
        <v>2686</v>
      </c>
      <c r="C37" s="278" t="s">
        <v>2687</v>
      </c>
      <c r="D37" s="277" t="s">
        <v>2688</v>
      </c>
      <c r="E37" s="277"/>
      <c r="F37" s="277" t="s">
        <v>786</v>
      </c>
      <c r="G37" s="276"/>
      <c r="H37" s="279"/>
    </row>
    <row r="38" spans="1:8" s="280" customFormat="1">
      <c r="A38" s="276" t="s">
        <v>2683</v>
      </c>
      <c r="B38" s="277" t="s">
        <v>805</v>
      </c>
      <c r="C38" s="278" t="s">
        <v>806</v>
      </c>
      <c r="D38" s="278" t="s">
        <v>725</v>
      </c>
      <c r="E38" s="281"/>
      <c r="F38" s="278" t="s">
        <v>725</v>
      </c>
      <c r="G38" s="279"/>
      <c r="H38" s="279"/>
    </row>
    <row r="39" spans="1:8" s="280" customFormat="1">
      <c r="A39" s="276" t="s">
        <v>2689</v>
      </c>
      <c r="B39" s="277" t="s">
        <v>2630</v>
      </c>
      <c r="C39" s="278" t="s">
        <v>2684</v>
      </c>
      <c r="D39" s="322" t="s">
        <v>2683</v>
      </c>
      <c r="E39" s="277"/>
      <c r="F39" s="324" t="s">
        <v>2690</v>
      </c>
      <c r="G39" s="276"/>
      <c r="H39" s="279"/>
    </row>
    <row r="40" spans="1:8" s="280" customFormat="1">
      <c r="A40" s="276" t="s">
        <v>2689</v>
      </c>
      <c r="B40" s="277" t="s">
        <v>2686</v>
      </c>
      <c r="C40" s="278" t="s">
        <v>2687</v>
      </c>
      <c r="D40" s="323"/>
      <c r="E40" s="277"/>
      <c r="F40" s="325"/>
      <c r="G40" s="276"/>
      <c r="H40" s="279"/>
    </row>
    <row r="41" spans="1:8" s="280" customFormat="1">
      <c r="A41" s="276" t="s">
        <v>2689</v>
      </c>
      <c r="B41" s="277" t="s">
        <v>2540</v>
      </c>
      <c r="C41" s="278" t="s">
        <v>2691</v>
      </c>
      <c r="D41" s="278" t="s">
        <v>725</v>
      </c>
      <c r="E41" s="281"/>
      <c r="F41" s="278" t="s">
        <v>725</v>
      </c>
      <c r="G41" s="279"/>
      <c r="H41" s="279"/>
    </row>
    <row r="42" spans="1:8" s="280" customFormat="1">
      <c r="A42" s="276" t="s">
        <v>2689</v>
      </c>
      <c r="B42" s="277" t="s">
        <v>2692</v>
      </c>
      <c r="C42" s="278" t="s">
        <v>2693</v>
      </c>
      <c r="D42" s="278" t="s">
        <v>725</v>
      </c>
      <c r="E42" s="281"/>
      <c r="F42" s="278" t="s">
        <v>725</v>
      </c>
      <c r="G42" s="279"/>
      <c r="H42" s="279"/>
    </row>
    <row r="43" spans="1:8" s="280" customFormat="1">
      <c r="A43" s="276" t="s">
        <v>2689</v>
      </c>
      <c r="B43" s="277" t="s">
        <v>805</v>
      </c>
      <c r="C43" s="278" t="s">
        <v>806</v>
      </c>
      <c r="D43" s="278" t="s">
        <v>725</v>
      </c>
      <c r="E43" s="281"/>
      <c r="F43" s="278" t="s">
        <v>725</v>
      </c>
      <c r="G43" s="279"/>
      <c r="H43" s="279"/>
    </row>
    <row r="44" spans="1:8" ht="25.5">
      <c r="A44" s="142" t="s">
        <v>2694</v>
      </c>
      <c r="B44" s="124" t="s">
        <v>2630</v>
      </c>
      <c r="C44" s="123" t="s">
        <v>2684</v>
      </c>
      <c r="D44" s="123" t="s">
        <v>598</v>
      </c>
      <c r="E44" s="124"/>
      <c r="F44" s="124" t="s">
        <v>1887</v>
      </c>
      <c r="G44" s="142" t="s">
        <v>2695</v>
      </c>
      <c r="H44" s="87"/>
    </row>
    <row r="45" spans="1:8">
      <c r="A45" s="142" t="s">
        <v>2694</v>
      </c>
      <c r="B45" s="124" t="s">
        <v>2696</v>
      </c>
      <c r="C45" s="123" t="s">
        <v>1038</v>
      </c>
      <c r="D45" s="123" t="s">
        <v>725</v>
      </c>
      <c r="E45" s="124"/>
      <c r="F45" s="124" t="s">
        <v>725</v>
      </c>
      <c r="G45" s="87"/>
      <c r="H45" s="87"/>
    </row>
    <row r="46" spans="1:8">
      <c r="A46" s="142" t="s">
        <v>2694</v>
      </c>
      <c r="B46" s="124" t="s">
        <v>2697</v>
      </c>
      <c r="C46" s="123" t="s">
        <v>899</v>
      </c>
      <c r="D46" s="123" t="s">
        <v>725</v>
      </c>
      <c r="E46" s="124"/>
      <c r="F46" s="124" t="s">
        <v>725</v>
      </c>
      <c r="G46" s="87"/>
      <c r="H46" s="87"/>
    </row>
    <row r="47" spans="1:8">
      <c r="A47" s="142" t="s">
        <v>2694</v>
      </c>
      <c r="B47" s="124" t="s">
        <v>2698</v>
      </c>
      <c r="C47" s="123" t="s">
        <v>2699</v>
      </c>
      <c r="D47" s="123" t="s">
        <v>725</v>
      </c>
      <c r="E47" s="124"/>
      <c r="F47" s="124" t="s">
        <v>725</v>
      </c>
      <c r="G47" s="87"/>
      <c r="H47" s="87"/>
    </row>
    <row r="48" spans="1:8">
      <c r="A48" s="142" t="s">
        <v>2694</v>
      </c>
      <c r="B48" s="124" t="s">
        <v>2700</v>
      </c>
      <c r="C48" s="123" t="s">
        <v>2701</v>
      </c>
      <c r="D48" s="123" t="s">
        <v>2702</v>
      </c>
      <c r="E48" s="124"/>
      <c r="F48" s="124" t="s">
        <v>786</v>
      </c>
      <c r="G48" s="87"/>
      <c r="H48" s="87"/>
    </row>
    <row r="49" spans="1:8">
      <c r="A49" s="142" t="s">
        <v>2694</v>
      </c>
      <c r="B49" s="124" t="s">
        <v>2703</v>
      </c>
      <c r="C49" s="123" t="s">
        <v>2704</v>
      </c>
      <c r="D49" s="124" t="s">
        <v>1018</v>
      </c>
      <c r="E49" s="124"/>
      <c r="F49" s="124" t="s">
        <v>786</v>
      </c>
      <c r="G49" s="87"/>
      <c r="H49" s="87"/>
    </row>
    <row r="50" spans="1:8">
      <c r="A50" s="142" t="s">
        <v>2694</v>
      </c>
      <c r="B50" s="124" t="s">
        <v>2705</v>
      </c>
      <c r="C50" s="123" t="s">
        <v>2706</v>
      </c>
      <c r="D50" s="123" t="s">
        <v>725</v>
      </c>
      <c r="E50" s="124"/>
      <c r="F50" s="124" t="s">
        <v>725</v>
      </c>
      <c r="G50" s="87"/>
      <c r="H50" s="87"/>
    </row>
    <row r="51" spans="1:8">
      <c r="A51" s="142" t="s">
        <v>2694</v>
      </c>
      <c r="B51" s="124" t="s">
        <v>2707</v>
      </c>
      <c r="C51" s="123" t="s">
        <v>1952</v>
      </c>
      <c r="D51" s="123" t="s">
        <v>725</v>
      </c>
      <c r="E51" s="124"/>
      <c r="F51" s="124" t="s">
        <v>725</v>
      </c>
      <c r="G51" s="87"/>
      <c r="H51" s="87"/>
    </row>
    <row r="52" spans="1:8">
      <c r="A52" s="142" t="s">
        <v>2694</v>
      </c>
      <c r="B52" s="124" t="s">
        <v>2708</v>
      </c>
      <c r="C52" s="123" t="s">
        <v>1954</v>
      </c>
      <c r="D52" s="123" t="s">
        <v>725</v>
      </c>
      <c r="E52" s="124"/>
      <c r="F52" s="124" t="s">
        <v>725</v>
      </c>
      <c r="G52" s="87"/>
      <c r="H52" s="87"/>
    </row>
    <row r="53" spans="1:8">
      <c r="A53" s="142" t="s">
        <v>2694</v>
      </c>
      <c r="B53" s="124" t="s">
        <v>2709</v>
      </c>
      <c r="C53" s="123" t="s">
        <v>1956</v>
      </c>
      <c r="D53" s="123" t="s">
        <v>725</v>
      </c>
      <c r="E53" s="124"/>
      <c r="F53" s="124" t="s">
        <v>725</v>
      </c>
      <c r="G53" s="87"/>
      <c r="H53" s="87"/>
    </row>
    <row r="54" spans="1:8">
      <c r="A54" s="142" t="s">
        <v>2694</v>
      </c>
      <c r="B54" s="124" t="s">
        <v>892</v>
      </c>
      <c r="C54" s="123" t="s">
        <v>893</v>
      </c>
      <c r="D54" s="123" t="s">
        <v>2390</v>
      </c>
      <c r="E54" s="124"/>
      <c r="F54" s="124" t="s">
        <v>786</v>
      </c>
      <c r="G54" s="87"/>
      <c r="H54" s="87"/>
    </row>
    <row r="55" spans="1:8">
      <c r="A55" s="142" t="s">
        <v>2694</v>
      </c>
      <c r="B55" s="124" t="s">
        <v>2313</v>
      </c>
      <c r="C55" s="123" t="s">
        <v>882</v>
      </c>
      <c r="D55" s="123" t="s">
        <v>725</v>
      </c>
      <c r="E55" s="124"/>
      <c r="F55" s="124" t="s">
        <v>725</v>
      </c>
      <c r="G55" s="87"/>
      <c r="H55" s="87"/>
    </row>
    <row r="56" spans="1:8">
      <c r="A56" s="142" t="s">
        <v>2694</v>
      </c>
      <c r="B56" s="124" t="s">
        <v>2315</v>
      </c>
      <c r="C56" s="123" t="s">
        <v>991</v>
      </c>
      <c r="D56" s="123" t="s">
        <v>725</v>
      </c>
      <c r="E56" s="124"/>
      <c r="F56" s="124" t="s">
        <v>725</v>
      </c>
      <c r="G56" s="87"/>
      <c r="H56" s="87"/>
    </row>
    <row r="57" spans="1:8">
      <c r="A57" s="142" t="s">
        <v>2694</v>
      </c>
      <c r="B57" s="124" t="s">
        <v>2316</v>
      </c>
      <c r="C57" s="123" t="s">
        <v>993</v>
      </c>
      <c r="D57" s="123" t="s">
        <v>725</v>
      </c>
      <c r="E57" s="124"/>
      <c r="F57" s="124" t="s">
        <v>725</v>
      </c>
      <c r="G57" s="87"/>
      <c r="H57" s="87"/>
    </row>
    <row r="58" spans="1:8">
      <c r="A58" s="142" t="s">
        <v>2694</v>
      </c>
      <c r="B58" s="124" t="s">
        <v>2317</v>
      </c>
      <c r="C58" s="123" t="s">
        <v>995</v>
      </c>
      <c r="D58" s="123" t="s">
        <v>725</v>
      </c>
      <c r="E58" s="124"/>
      <c r="F58" s="124" t="s">
        <v>725</v>
      </c>
      <c r="G58" s="87"/>
      <c r="H58" s="87"/>
    </row>
    <row r="59" spans="1:8">
      <c r="A59" s="142" t="s">
        <v>2694</v>
      </c>
      <c r="B59" s="124" t="s">
        <v>2320</v>
      </c>
      <c r="C59" s="123" t="s">
        <v>885</v>
      </c>
      <c r="D59" s="123" t="s">
        <v>725</v>
      </c>
      <c r="E59" s="124"/>
      <c r="F59" s="124" t="s">
        <v>725</v>
      </c>
      <c r="G59" s="87"/>
      <c r="H59" s="87"/>
    </row>
    <row r="60" spans="1:8">
      <c r="A60" s="142" t="s">
        <v>2694</v>
      </c>
      <c r="B60" s="124" t="s">
        <v>2329</v>
      </c>
      <c r="C60" s="123" t="s">
        <v>1040</v>
      </c>
      <c r="D60" s="123" t="s">
        <v>725</v>
      </c>
      <c r="E60" s="124"/>
      <c r="F60" s="124" t="s">
        <v>725</v>
      </c>
      <c r="G60" s="87"/>
      <c r="H60" s="87"/>
    </row>
    <row r="61" spans="1:8">
      <c r="A61" s="142" t="s">
        <v>2694</v>
      </c>
      <c r="B61" s="124" t="s">
        <v>2330</v>
      </c>
      <c r="C61" s="123" t="s">
        <v>1042</v>
      </c>
      <c r="D61" s="123" t="s">
        <v>725</v>
      </c>
      <c r="E61" s="124"/>
      <c r="F61" s="124" t="s">
        <v>725</v>
      </c>
      <c r="G61" s="87"/>
      <c r="H61" s="87"/>
    </row>
    <row r="62" spans="1:8">
      <c r="A62" s="142" t="s">
        <v>2694</v>
      </c>
      <c r="B62" s="124" t="s">
        <v>2328</v>
      </c>
      <c r="C62" s="123" t="s">
        <v>1025</v>
      </c>
      <c r="D62" s="123" t="s">
        <v>725</v>
      </c>
      <c r="E62" s="124"/>
      <c r="F62" s="124" t="s">
        <v>725</v>
      </c>
      <c r="G62" s="87"/>
      <c r="H62" s="87"/>
    </row>
    <row r="63" spans="1:8">
      <c r="A63" s="142" t="s">
        <v>2694</v>
      </c>
      <c r="B63" s="124" t="s">
        <v>886</v>
      </c>
      <c r="C63" s="123" t="s">
        <v>887</v>
      </c>
      <c r="D63" s="123" t="s">
        <v>725</v>
      </c>
      <c r="E63" s="124"/>
      <c r="F63" s="124" t="s">
        <v>725</v>
      </c>
      <c r="G63" s="87"/>
      <c r="H63" s="87"/>
    </row>
    <row r="64" spans="1:8">
      <c r="A64" s="142" t="s">
        <v>2694</v>
      </c>
      <c r="B64" s="124" t="s">
        <v>890</v>
      </c>
      <c r="C64" s="123" t="s">
        <v>891</v>
      </c>
      <c r="D64" s="123" t="s">
        <v>1048</v>
      </c>
      <c r="E64" s="124"/>
      <c r="F64" s="124" t="s">
        <v>786</v>
      </c>
      <c r="G64" s="87"/>
      <c r="H64" s="87"/>
    </row>
    <row r="65" spans="1:8">
      <c r="A65" s="142" t="s">
        <v>2694</v>
      </c>
      <c r="B65" s="124" t="s">
        <v>2331</v>
      </c>
      <c r="C65" s="123" t="s">
        <v>1023</v>
      </c>
      <c r="D65" s="123" t="s">
        <v>725</v>
      </c>
      <c r="E65" s="124"/>
      <c r="F65" s="124" t="s">
        <v>725</v>
      </c>
      <c r="G65" s="87"/>
      <c r="H65" s="87"/>
    </row>
    <row r="66" spans="1:8">
      <c r="A66" s="142" t="s">
        <v>2694</v>
      </c>
      <c r="B66" s="124" t="s">
        <v>2710</v>
      </c>
      <c r="C66" s="123" t="s">
        <v>1027</v>
      </c>
      <c r="D66" s="123" t="s">
        <v>725</v>
      </c>
      <c r="E66" s="124"/>
      <c r="F66" s="124" t="s">
        <v>725</v>
      </c>
      <c r="G66" s="87"/>
      <c r="H66" s="87"/>
    </row>
    <row r="67" spans="1:8">
      <c r="A67" s="142" t="s">
        <v>2694</v>
      </c>
      <c r="B67" s="124" t="s">
        <v>2711</v>
      </c>
      <c r="C67" s="123" t="s">
        <v>2712</v>
      </c>
      <c r="D67" s="123" t="s">
        <v>725</v>
      </c>
      <c r="E67" s="124"/>
      <c r="F67" s="124" t="s">
        <v>725</v>
      </c>
      <c r="G67" s="87"/>
      <c r="H67" s="87"/>
    </row>
    <row r="68" spans="1:8">
      <c r="A68" s="142" t="s">
        <v>2694</v>
      </c>
      <c r="B68" s="124" t="s">
        <v>2713</v>
      </c>
      <c r="C68" s="123" t="s">
        <v>2714</v>
      </c>
      <c r="D68" s="123" t="s">
        <v>725</v>
      </c>
      <c r="E68" s="124"/>
      <c r="F68" s="124" t="s">
        <v>725</v>
      </c>
      <c r="G68" s="87"/>
      <c r="H68" s="87"/>
    </row>
    <row r="69" spans="1:8">
      <c r="A69" s="142" t="s">
        <v>2694</v>
      </c>
      <c r="B69" s="124" t="s">
        <v>2715</v>
      </c>
      <c r="C69" s="123" t="s">
        <v>2716</v>
      </c>
      <c r="D69" s="123" t="s">
        <v>725</v>
      </c>
      <c r="E69" s="124"/>
      <c r="F69" s="124" t="s">
        <v>725</v>
      </c>
      <c r="G69" s="87"/>
      <c r="H69" s="87"/>
    </row>
    <row r="70" spans="1:8">
      <c r="A70" s="142" t="s">
        <v>2694</v>
      </c>
      <c r="B70" s="124" t="s">
        <v>2717</v>
      </c>
      <c r="C70" s="123" t="s">
        <v>2718</v>
      </c>
      <c r="D70" s="123" t="s">
        <v>725</v>
      </c>
      <c r="E70" s="124"/>
      <c r="F70" s="124" t="s">
        <v>725</v>
      </c>
      <c r="G70" s="87"/>
      <c r="H70" s="87"/>
    </row>
    <row r="71" spans="1:8" ht="38.25">
      <c r="A71" s="142" t="s">
        <v>2694</v>
      </c>
      <c r="B71" s="124" t="s">
        <v>2719</v>
      </c>
      <c r="C71" s="123" t="s">
        <v>1745</v>
      </c>
      <c r="D71" s="92" t="s">
        <v>2666</v>
      </c>
      <c r="E71" s="91"/>
      <c r="F71" s="92" t="s">
        <v>804</v>
      </c>
      <c r="G71" s="87"/>
      <c r="H71" s="87"/>
    </row>
    <row r="72" spans="1:8">
      <c r="A72" s="142" t="s">
        <v>2694</v>
      </c>
      <c r="B72" s="124" t="s">
        <v>805</v>
      </c>
      <c r="C72" s="123" t="s">
        <v>806</v>
      </c>
      <c r="D72" s="123" t="s">
        <v>725</v>
      </c>
      <c r="E72" s="91"/>
      <c r="F72" s="123" t="s">
        <v>725</v>
      </c>
      <c r="G72" s="87"/>
      <c r="H72" s="87"/>
    </row>
    <row r="73" spans="1:8" ht="25.5">
      <c r="A73" s="142" t="s">
        <v>601</v>
      </c>
      <c r="B73" s="124" t="s">
        <v>2630</v>
      </c>
      <c r="C73" s="123" t="s">
        <v>2684</v>
      </c>
      <c r="D73" s="123" t="s">
        <v>598</v>
      </c>
      <c r="E73" s="124"/>
      <c r="F73" s="124" t="s">
        <v>1887</v>
      </c>
      <c r="G73" s="142" t="s">
        <v>2720</v>
      </c>
      <c r="H73" s="87"/>
    </row>
    <row r="74" spans="1:8" ht="76.5">
      <c r="A74" s="142" t="s">
        <v>601</v>
      </c>
      <c r="B74" s="124" t="s">
        <v>1655</v>
      </c>
      <c r="C74" s="123" t="s">
        <v>1631</v>
      </c>
      <c r="D74" s="124" t="s">
        <v>2721</v>
      </c>
      <c r="E74" s="124"/>
      <c r="F74" s="124" t="s">
        <v>2722</v>
      </c>
      <c r="G74" s="142"/>
      <c r="H74" s="87"/>
    </row>
    <row r="75" spans="1:8">
      <c r="A75" s="142" t="s">
        <v>601</v>
      </c>
      <c r="B75" s="124" t="s">
        <v>2634</v>
      </c>
      <c r="C75" s="123" t="s">
        <v>1611</v>
      </c>
      <c r="D75" s="124" t="s">
        <v>2635</v>
      </c>
      <c r="E75" s="124"/>
      <c r="F75" s="124" t="s">
        <v>804</v>
      </c>
      <c r="G75" s="87" t="s">
        <v>2636</v>
      </c>
      <c r="H75" s="87"/>
    </row>
    <row r="76" spans="1:8">
      <c r="A76" s="142" t="s">
        <v>601</v>
      </c>
      <c r="B76" s="124" t="s">
        <v>2637</v>
      </c>
      <c r="C76" s="123" t="s">
        <v>1647</v>
      </c>
      <c r="D76" s="123" t="s">
        <v>725</v>
      </c>
      <c r="E76" s="124"/>
      <c r="F76" s="124" t="s">
        <v>725</v>
      </c>
      <c r="G76" s="87"/>
      <c r="H76" s="87"/>
    </row>
    <row r="77" spans="1:8">
      <c r="A77" s="142" t="s">
        <v>601</v>
      </c>
      <c r="B77" s="124" t="s">
        <v>2723</v>
      </c>
      <c r="C77" s="123" t="s">
        <v>814</v>
      </c>
      <c r="D77" s="123" t="s">
        <v>2724</v>
      </c>
      <c r="E77" s="91"/>
      <c r="F77" s="124" t="s">
        <v>804</v>
      </c>
      <c r="G77" s="87"/>
      <c r="H77" s="87"/>
    </row>
    <row r="78" spans="1:8">
      <c r="A78" s="142" t="s">
        <v>601</v>
      </c>
      <c r="B78" s="124" t="s">
        <v>2725</v>
      </c>
      <c r="C78" s="123" t="s">
        <v>1660</v>
      </c>
      <c r="D78" s="123" t="s">
        <v>725</v>
      </c>
      <c r="E78" s="124"/>
      <c r="F78" s="124" t="s">
        <v>725</v>
      </c>
      <c r="G78" s="87"/>
      <c r="H78" s="87"/>
    </row>
    <row r="79" spans="1:8" ht="51">
      <c r="A79" s="142" t="s">
        <v>601</v>
      </c>
      <c r="B79" s="124" t="s">
        <v>2726</v>
      </c>
      <c r="C79" s="123" t="s">
        <v>1636</v>
      </c>
      <c r="D79" s="124" t="s">
        <v>2542</v>
      </c>
      <c r="E79" s="91"/>
      <c r="F79" s="123" t="s">
        <v>786</v>
      </c>
      <c r="G79" s="87"/>
      <c r="H79" s="87"/>
    </row>
    <row r="80" spans="1:8">
      <c r="A80" s="142" t="s">
        <v>601</v>
      </c>
      <c r="B80" s="124" t="s">
        <v>2727</v>
      </c>
      <c r="C80" s="123" t="s">
        <v>2728</v>
      </c>
      <c r="D80" s="123" t="s">
        <v>725</v>
      </c>
      <c r="E80" s="124"/>
      <c r="F80" s="124" t="s">
        <v>725</v>
      </c>
      <c r="G80" s="87"/>
      <c r="H80" s="87"/>
    </row>
    <row r="81" spans="1:8">
      <c r="A81" s="142" t="s">
        <v>601</v>
      </c>
      <c r="B81" s="124" t="s">
        <v>2729</v>
      </c>
      <c r="C81" s="123" t="s">
        <v>1667</v>
      </c>
      <c r="D81" s="123" t="s">
        <v>725</v>
      </c>
      <c r="E81" s="124"/>
      <c r="F81" s="124" t="s">
        <v>725</v>
      </c>
      <c r="G81" s="87"/>
      <c r="H81" s="87"/>
    </row>
    <row r="82" spans="1:8">
      <c r="A82" s="142" t="s">
        <v>601</v>
      </c>
      <c r="B82" s="124" t="s">
        <v>2730</v>
      </c>
      <c r="C82" s="123" t="s">
        <v>1663</v>
      </c>
      <c r="D82" s="123" t="s">
        <v>725</v>
      </c>
      <c r="E82" s="124"/>
      <c r="F82" s="124" t="s">
        <v>725</v>
      </c>
      <c r="G82" s="87"/>
      <c r="H82" s="87"/>
    </row>
    <row r="83" spans="1:8">
      <c r="A83" s="142" t="s">
        <v>601</v>
      </c>
      <c r="B83" s="124" t="s">
        <v>2731</v>
      </c>
      <c r="C83" s="123" t="s">
        <v>1681</v>
      </c>
      <c r="D83" s="123" t="s">
        <v>725</v>
      </c>
      <c r="E83" s="124"/>
      <c r="F83" s="124" t="s">
        <v>725</v>
      </c>
      <c r="G83" s="87"/>
      <c r="H83" s="87"/>
    </row>
    <row r="84" spans="1:8">
      <c r="A84" s="142" t="s">
        <v>601</v>
      </c>
      <c r="B84" s="124" t="s">
        <v>2732</v>
      </c>
      <c r="C84" s="123" t="s">
        <v>1669</v>
      </c>
      <c r="D84" s="123" t="s">
        <v>725</v>
      </c>
      <c r="E84" s="124"/>
      <c r="F84" s="124" t="s">
        <v>725</v>
      </c>
      <c r="G84" s="87"/>
      <c r="H84" s="87"/>
    </row>
    <row r="85" spans="1:8" ht="38.25">
      <c r="A85" s="142" t="s">
        <v>601</v>
      </c>
      <c r="B85" s="124" t="s">
        <v>1865</v>
      </c>
      <c r="C85" s="123" t="s">
        <v>1229</v>
      </c>
      <c r="D85" s="124" t="s">
        <v>2733</v>
      </c>
      <c r="E85" s="124"/>
      <c r="F85" s="124" t="s">
        <v>804</v>
      </c>
      <c r="G85" s="87"/>
      <c r="H85" s="87"/>
    </row>
    <row r="86" spans="1:8">
      <c r="A86" s="142" t="s">
        <v>601</v>
      </c>
      <c r="B86" s="124" t="s">
        <v>2734</v>
      </c>
      <c r="C86" s="123" t="s">
        <v>1658</v>
      </c>
      <c r="D86" s="124" t="s">
        <v>1018</v>
      </c>
      <c r="E86" s="124"/>
      <c r="F86" s="124" t="s">
        <v>786</v>
      </c>
      <c r="G86" s="87"/>
      <c r="H86" s="87"/>
    </row>
    <row r="87" spans="1:8">
      <c r="A87" s="142" t="s">
        <v>601</v>
      </c>
      <c r="B87" s="124" t="s">
        <v>797</v>
      </c>
      <c r="C87" s="123" t="s">
        <v>2735</v>
      </c>
      <c r="D87" s="123" t="s">
        <v>725</v>
      </c>
      <c r="E87" s="124"/>
      <c r="F87" s="124" t="s">
        <v>725</v>
      </c>
      <c r="G87" s="87"/>
      <c r="H87" s="87"/>
    </row>
    <row r="88" spans="1:8">
      <c r="A88" s="142" t="s">
        <v>601</v>
      </c>
      <c r="B88" s="124" t="s">
        <v>2736</v>
      </c>
      <c r="C88" s="123" t="s">
        <v>1685</v>
      </c>
      <c r="D88" s="123" t="s">
        <v>725</v>
      </c>
      <c r="E88" s="124"/>
      <c r="F88" s="124" t="s">
        <v>725</v>
      </c>
      <c r="G88" s="87"/>
      <c r="H88" s="87"/>
    </row>
    <row r="89" spans="1:8">
      <c r="A89" s="142" t="s">
        <v>601</v>
      </c>
      <c r="B89" s="124" t="s">
        <v>2737</v>
      </c>
      <c r="C89" s="123" t="s">
        <v>1679</v>
      </c>
      <c r="D89" s="123" t="s">
        <v>725</v>
      </c>
      <c r="E89" s="124"/>
      <c r="F89" s="124" t="s">
        <v>725</v>
      </c>
      <c r="G89" s="87"/>
      <c r="H89" s="87"/>
    </row>
    <row r="90" spans="1:8">
      <c r="A90" s="142" t="s">
        <v>601</v>
      </c>
      <c r="B90" s="124" t="s">
        <v>2738</v>
      </c>
      <c r="C90" s="123" t="s">
        <v>1671</v>
      </c>
      <c r="D90" s="123" t="s">
        <v>725</v>
      </c>
      <c r="E90" s="124"/>
      <c r="F90" s="124" t="s">
        <v>725</v>
      </c>
      <c r="G90" s="87"/>
      <c r="H90" s="87"/>
    </row>
    <row r="91" spans="1:8">
      <c r="A91" s="142" t="s">
        <v>601</v>
      </c>
      <c r="B91" s="124" t="s">
        <v>2739</v>
      </c>
      <c r="C91" s="123" t="s">
        <v>1675</v>
      </c>
      <c r="D91" s="123" t="s">
        <v>725</v>
      </c>
      <c r="E91" s="124"/>
      <c r="F91" s="124" t="s">
        <v>725</v>
      </c>
      <c r="G91" s="87"/>
      <c r="H91" s="87"/>
    </row>
    <row r="92" spans="1:8">
      <c r="A92" s="142" t="s">
        <v>601</v>
      </c>
      <c r="B92" s="124" t="s">
        <v>2740</v>
      </c>
      <c r="C92" s="123" t="s">
        <v>1673</v>
      </c>
      <c r="D92" s="123" t="s">
        <v>725</v>
      </c>
      <c r="E92" s="124"/>
      <c r="F92" s="124" t="s">
        <v>725</v>
      </c>
      <c r="G92" s="87"/>
      <c r="H92" s="87"/>
    </row>
    <row r="93" spans="1:8">
      <c r="A93" s="142" t="s">
        <v>601</v>
      </c>
      <c r="B93" s="124" t="s">
        <v>2741</v>
      </c>
      <c r="C93" s="123" t="s">
        <v>1651</v>
      </c>
      <c r="D93" s="123" t="s">
        <v>725</v>
      </c>
      <c r="E93" s="124"/>
      <c r="F93" s="124" t="s">
        <v>725</v>
      </c>
      <c r="G93" s="87"/>
      <c r="H93" s="87"/>
    </row>
    <row r="94" spans="1:8">
      <c r="A94" s="142" t="s">
        <v>601</v>
      </c>
      <c r="B94" s="124" t="s">
        <v>817</v>
      </c>
      <c r="C94" s="123" t="s">
        <v>818</v>
      </c>
      <c r="D94" s="123" t="s">
        <v>725</v>
      </c>
      <c r="E94" s="124"/>
      <c r="F94" s="124" t="s">
        <v>725</v>
      </c>
      <c r="G94" s="87"/>
      <c r="H94" s="87"/>
    </row>
    <row r="95" spans="1:8">
      <c r="A95" s="142" t="s">
        <v>601</v>
      </c>
      <c r="B95" s="124" t="s">
        <v>820</v>
      </c>
      <c r="C95" s="123" t="s">
        <v>821</v>
      </c>
      <c r="D95" s="123" t="s">
        <v>725</v>
      </c>
      <c r="E95" s="124"/>
      <c r="F95" s="124" t="s">
        <v>725</v>
      </c>
      <c r="G95" s="87"/>
      <c r="H95" s="87"/>
    </row>
    <row r="96" spans="1:8">
      <c r="A96" s="142" t="s">
        <v>601</v>
      </c>
      <c r="B96" s="124" t="s">
        <v>805</v>
      </c>
      <c r="C96" s="123" t="s">
        <v>806</v>
      </c>
      <c r="D96" s="123" t="s">
        <v>725</v>
      </c>
      <c r="E96" s="124"/>
      <c r="F96" s="124" t="s">
        <v>725</v>
      </c>
      <c r="G96" s="87"/>
      <c r="H96" s="87"/>
    </row>
    <row r="97" spans="1:8" ht="25.5">
      <c r="A97" s="142" t="s">
        <v>2742</v>
      </c>
      <c r="B97" s="124" t="s">
        <v>1655</v>
      </c>
      <c r="C97" s="123" t="s">
        <v>1631</v>
      </c>
      <c r="D97" s="123" t="s">
        <v>601</v>
      </c>
      <c r="E97" s="124"/>
      <c r="F97" s="124" t="s">
        <v>1887</v>
      </c>
      <c r="G97" s="142" t="s">
        <v>2743</v>
      </c>
      <c r="H97" s="87"/>
    </row>
    <row r="98" spans="1:8">
      <c r="A98" s="142" t="s">
        <v>2742</v>
      </c>
      <c r="B98" s="124" t="s">
        <v>2696</v>
      </c>
      <c r="C98" s="123" t="s">
        <v>1038</v>
      </c>
      <c r="D98" s="123" t="s">
        <v>725</v>
      </c>
      <c r="E98" s="124"/>
      <c r="F98" s="124" t="s">
        <v>725</v>
      </c>
      <c r="G98" s="87"/>
      <c r="H98" s="87"/>
    </row>
    <row r="99" spans="1:8">
      <c r="A99" s="142" t="s">
        <v>2742</v>
      </c>
      <c r="B99" s="124" t="s">
        <v>2744</v>
      </c>
      <c r="C99" s="123" t="s">
        <v>2745</v>
      </c>
      <c r="D99" s="123" t="s">
        <v>2746</v>
      </c>
      <c r="E99" s="124"/>
      <c r="F99" s="124" t="s">
        <v>786</v>
      </c>
      <c r="G99" s="87"/>
      <c r="H99" s="87"/>
    </row>
    <row r="100" spans="1:8">
      <c r="A100" s="142" t="s">
        <v>2742</v>
      </c>
      <c r="B100" s="124" t="s">
        <v>2747</v>
      </c>
      <c r="C100" s="123" t="s">
        <v>2748</v>
      </c>
      <c r="D100" s="123" t="s">
        <v>725</v>
      </c>
      <c r="E100" s="124"/>
      <c r="F100" s="124" t="s">
        <v>725</v>
      </c>
      <c r="G100" s="87"/>
      <c r="H100" s="87"/>
    </row>
    <row r="101" spans="1:8">
      <c r="A101" s="142" t="s">
        <v>2742</v>
      </c>
      <c r="B101" s="124" t="s">
        <v>2727</v>
      </c>
      <c r="C101" s="123" t="s">
        <v>1683</v>
      </c>
      <c r="D101" s="123" t="s">
        <v>725</v>
      </c>
      <c r="E101" s="124"/>
      <c r="F101" s="124" t="s">
        <v>725</v>
      </c>
      <c r="G101" s="87"/>
      <c r="H101" s="87"/>
    </row>
    <row r="102" spans="1:8">
      <c r="A102" s="142" t="s">
        <v>2742</v>
      </c>
      <c r="B102" s="124" t="s">
        <v>2749</v>
      </c>
      <c r="C102" s="123" t="s">
        <v>1665</v>
      </c>
      <c r="D102" s="123" t="s">
        <v>725</v>
      </c>
      <c r="E102" s="124"/>
      <c r="F102" s="124" t="s">
        <v>725</v>
      </c>
      <c r="G102" s="87"/>
      <c r="H102" s="87"/>
    </row>
    <row r="103" spans="1:8">
      <c r="A103" s="142" t="s">
        <v>2742</v>
      </c>
      <c r="B103" s="124" t="s">
        <v>2750</v>
      </c>
      <c r="C103" s="123" t="s">
        <v>2751</v>
      </c>
      <c r="D103" s="123" t="s">
        <v>725</v>
      </c>
      <c r="E103" s="124"/>
      <c r="F103" s="124" t="s">
        <v>725</v>
      </c>
      <c r="G103" s="87"/>
      <c r="H103" s="87"/>
    </row>
    <row r="104" spans="1:8">
      <c r="A104" s="142" t="s">
        <v>2742</v>
      </c>
      <c r="B104" s="124" t="s">
        <v>2752</v>
      </c>
      <c r="C104" s="123" t="s">
        <v>1697</v>
      </c>
      <c r="D104" s="123" t="s">
        <v>2753</v>
      </c>
      <c r="E104" s="124"/>
      <c r="F104" s="124" t="s">
        <v>804</v>
      </c>
      <c r="G104" s="87"/>
      <c r="H104" s="87"/>
    </row>
    <row r="105" spans="1:8">
      <c r="A105" s="142" t="s">
        <v>2742</v>
      </c>
      <c r="B105" s="124" t="s">
        <v>2754</v>
      </c>
      <c r="C105" s="123" t="s">
        <v>2755</v>
      </c>
      <c r="D105" s="123" t="s">
        <v>725</v>
      </c>
      <c r="E105" s="124"/>
      <c r="F105" s="124" t="s">
        <v>725</v>
      </c>
      <c r="G105" s="87"/>
      <c r="H105" s="87"/>
    </row>
    <row r="106" spans="1:8">
      <c r="A106" s="142" t="s">
        <v>2742</v>
      </c>
      <c r="B106" s="124" t="s">
        <v>805</v>
      </c>
      <c r="C106" s="123" t="s">
        <v>806</v>
      </c>
      <c r="D106" s="123" t="s">
        <v>725</v>
      </c>
      <c r="E106" s="124"/>
      <c r="F106" s="124" t="s">
        <v>725</v>
      </c>
      <c r="G106" s="87"/>
      <c r="H106" s="87"/>
    </row>
    <row r="107" spans="1:8" ht="25.5">
      <c r="A107" s="142" t="s">
        <v>2756</v>
      </c>
      <c r="B107" s="124" t="s">
        <v>1655</v>
      </c>
      <c r="C107" s="123" t="s">
        <v>1631</v>
      </c>
      <c r="D107" s="123" t="s">
        <v>601</v>
      </c>
      <c r="E107" s="124"/>
      <c r="F107" s="124" t="s">
        <v>1887</v>
      </c>
      <c r="G107" s="142" t="s">
        <v>2757</v>
      </c>
      <c r="H107" s="87"/>
    </row>
    <row r="108" spans="1:8">
      <c r="A108" s="142" t="s">
        <v>2756</v>
      </c>
      <c r="B108" s="124" t="s">
        <v>2752</v>
      </c>
      <c r="C108" s="123" t="s">
        <v>1697</v>
      </c>
      <c r="D108" s="123" t="s">
        <v>2753</v>
      </c>
      <c r="E108" s="124"/>
      <c r="F108" s="124" t="s">
        <v>804</v>
      </c>
      <c r="G108" s="87"/>
      <c r="H108" s="87"/>
    </row>
    <row r="109" spans="1:8">
      <c r="A109" s="142" t="s">
        <v>2756</v>
      </c>
      <c r="B109" s="124" t="s">
        <v>2758</v>
      </c>
      <c r="C109" s="123" t="s">
        <v>1692</v>
      </c>
      <c r="D109" s="123" t="s">
        <v>2759</v>
      </c>
      <c r="E109" s="124"/>
      <c r="F109" s="124" t="s">
        <v>804</v>
      </c>
      <c r="G109" s="87"/>
      <c r="H109" s="87"/>
    </row>
    <row r="110" spans="1:8">
      <c r="A110" s="142" t="s">
        <v>2756</v>
      </c>
      <c r="B110" s="124" t="s">
        <v>2760</v>
      </c>
      <c r="C110" s="123" t="s">
        <v>1916</v>
      </c>
      <c r="D110" s="123" t="s">
        <v>2761</v>
      </c>
      <c r="E110" s="124"/>
      <c r="F110" s="124" t="s">
        <v>804</v>
      </c>
      <c r="G110" s="87"/>
      <c r="H110" s="87"/>
    </row>
    <row r="111" spans="1:8">
      <c r="A111" s="142" t="s">
        <v>2756</v>
      </c>
      <c r="B111" s="124" t="s">
        <v>2762</v>
      </c>
      <c r="C111" s="123" t="s">
        <v>2763</v>
      </c>
      <c r="D111" s="123" t="s">
        <v>725</v>
      </c>
      <c r="E111" s="124"/>
      <c r="F111" s="124" t="s">
        <v>725</v>
      </c>
      <c r="G111" s="87"/>
      <c r="H111" s="87"/>
    </row>
    <row r="112" spans="1:8">
      <c r="A112" s="142" t="s">
        <v>2756</v>
      </c>
      <c r="B112" s="124" t="s">
        <v>2764</v>
      </c>
      <c r="C112" s="123" t="s">
        <v>2765</v>
      </c>
      <c r="D112" s="123" t="s">
        <v>725</v>
      </c>
      <c r="E112" s="124"/>
      <c r="F112" s="124" t="s">
        <v>725</v>
      </c>
      <c r="G112" s="87"/>
      <c r="H112" s="87"/>
    </row>
    <row r="113" spans="1:8">
      <c r="A113" s="142" t="s">
        <v>2756</v>
      </c>
      <c r="B113" s="124" t="s">
        <v>805</v>
      </c>
      <c r="C113" s="123" t="s">
        <v>806</v>
      </c>
      <c r="D113" s="123" t="s">
        <v>725</v>
      </c>
      <c r="E113" s="124"/>
      <c r="F113" s="124" t="s">
        <v>725</v>
      </c>
      <c r="G113" s="87"/>
      <c r="H113" s="87"/>
    </row>
    <row r="114" spans="1:8" ht="25.5">
      <c r="A114" s="142" t="s">
        <v>2766</v>
      </c>
      <c r="B114" s="124" t="s">
        <v>1655</v>
      </c>
      <c r="C114" s="123" t="s">
        <v>1631</v>
      </c>
      <c r="D114" s="123" t="s">
        <v>601</v>
      </c>
      <c r="E114" s="124"/>
      <c r="F114" s="124" t="s">
        <v>1887</v>
      </c>
      <c r="G114" s="142" t="s">
        <v>2767</v>
      </c>
      <c r="H114" s="87"/>
    </row>
    <row r="115" spans="1:8">
      <c r="A115" s="142" t="s">
        <v>2766</v>
      </c>
      <c r="B115" s="124" t="s">
        <v>2768</v>
      </c>
      <c r="C115" s="123" t="s">
        <v>1012</v>
      </c>
      <c r="D115" s="123" t="s">
        <v>725</v>
      </c>
      <c r="E115" s="124"/>
      <c r="F115" s="123" t="s">
        <v>725</v>
      </c>
      <c r="G115" s="142"/>
      <c r="H115" s="87"/>
    </row>
    <row r="116" spans="1:8">
      <c r="A116" s="142" t="s">
        <v>2766</v>
      </c>
      <c r="B116" s="124" t="s">
        <v>2769</v>
      </c>
      <c r="C116" s="123" t="s">
        <v>2770</v>
      </c>
      <c r="D116" s="123" t="s">
        <v>725</v>
      </c>
      <c r="E116" s="124"/>
      <c r="F116" s="123" t="s">
        <v>725</v>
      </c>
      <c r="G116" s="142"/>
      <c r="H116" s="87"/>
    </row>
    <row r="117" spans="1:8">
      <c r="A117" s="142" t="s">
        <v>2766</v>
      </c>
      <c r="B117" s="124" t="s">
        <v>2696</v>
      </c>
      <c r="C117" s="123" t="s">
        <v>2691</v>
      </c>
      <c r="D117" s="123" t="s">
        <v>725</v>
      </c>
      <c r="E117" s="124"/>
      <c r="F117" s="123" t="s">
        <v>725</v>
      </c>
      <c r="G117" s="142"/>
      <c r="H117" s="87"/>
    </row>
    <row r="118" spans="1:8">
      <c r="A118" s="142" t="s">
        <v>2766</v>
      </c>
      <c r="B118" s="124" t="s">
        <v>2771</v>
      </c>
      <c r="C118" s="123" t="s">
        <v>2772</v>
      </c>
      <c r="D118" s="124" t="s">
        <v>1018</v>
      </c>
      <c r="E118" s="124"/>
      <c r="F118" s="124" t="s">
        <v>786</v>
      </c>
      <c r="G118" s="142"/>
      <c r="H118" s="87"/>
    </row>
    <row r="119" spans="1:8">
      <c r="A119" s="142" t="s">
        <v>2766</v>
      </c>
      <c r="B119" s="124" t="s">
        <v>2773</v>
      </c>
      <c r="C119" s="123" t="s">
        <v>1863</v>
      </c>
      <c r="D119" s="123" t="s">
        <v>725</v>
      </c>
      <c r="E119" s="124"/>
      <c r="F119" s="123" t="s">
        <v>725</v>
      </c>
      <c r="G119" s="142"/>
      <c r="H119" s="87"/>
    </row>
    <row r="120" spans="1:8">
      <c r="A120" s="142" t="s">
        <v>2766</v>
      </c>
      <c r="B120" s="124" t="s">
        <v>2774</v>
      </c>
      <c r="C120" s="123" t="s">
        <v>1284</v>
      </c>
      <c r="D120" s="124" t="s">
        <v>1018</v>
      </c>
      <c r="E120" s="124"/>
      <c r="F120" s="124" t="s">
        <v>804</v>
      </c>
      <c r="G120" s="142"/>
      <c r="H120" s="87"/>
    </row>
    <row r="121" spans="1:8">
      <c r="A121" s="142" t="s">
        <v>2766</v>
      </c>
      <c r="B121" s="124" t="s">
        <v>2775</v>
      </c>
      <c r="C121" s="123" t="s">
        <v>2776</v>
      </c>
      <c r="D121" s="123" t="s">
        <v>725</v>
      </c>
      <c r="E121" s="124"/>
      <c r="F121" s="123" t="s">
        <v>725</v>
      </c>
      <c r="G121" s="142"/>
      <c r="H121" s="87"/>
    </row>
    <row r="122" spans="1:8">
      <c r="A122" s="142" t="s">
        <v>2766</v>
      </c>
      <c r="B122" s="124" t="s">
        <v>2752</v>
      </c>
      <c r="C122" s="123" t="s">
        <v>1697</v>
      </c>
      <c r="D122" s="123" t="s">
        <v>2753</v>
      </c>
      <c r="E122" s="124"/>
      <c r="F122" s="123" t="s">
        <v>804</v>
      </c>
      <c r="G122" s="142"/>
      <c r="H122" s="87"/>
    </row>
    <row r="123" spans="1:8">
      <c r="A123" s="142" t="s">
        <v>2766</v>
      </c>
      <c r="B123" s="124" t="s">
        <v>2758</v>
      </c>
      <c r="C123" s="123" t="s">
        <v>1692</v>
      </c>
      <c r="D123" s="123" t="s">
        <v>2759</v>
      </c>
      <c r="E123" s="124"/>
      <c r="F123" s="123" t="s">
        <v>804</v>
      </c>
      <c r="G123" s="142"/>
      <c r="H123" s="87"/>
    </row>
    <row r="124" spans="1:8">
      <c r="A124" s="142" t="s">
        <v>2766</v>
      </c>
      <c r="B124" s="124" t="s">
        <v>2777</v>
      </c>
      <c r="C124" s="123" t="s">
        <v>2778</v>
      </c>
      <c r="D124" s="123" t="s">
        <v>725</v>
      </c>
      <c r="E124" s="124"/>
      <c r="F124" s="123" t="s">
        <v>725</v>
      </c>
      <c r="G124" s="142"/>
      <c r="H124" s="87"/>
    </row>
    <row r="125" spans="1:8">
      <c r="A125" s="142" t="s">
        <v>2766</v>
      </c>
      <c r="B125" s="124" t="s">
        <v>2779</v>
      </c>
      <c r="C125" s="123" t="s">
        <v>2780</v>
      </c>
      <c r="D125" s="123" t="s">
        <v>725</v>
      </c>
      <c r="E125" s="124"/>
      <c r="F125" s="123" t="s">
        <v>725</v>
      </c>
      <c r="G125" s="142"/>
      <c r="H125" s="87"/>
    </row>
    <row r="126" spans="1:8">
      <c r="A126" s="142" t="s">
        <v>2766</v>
      </c>
      <c r="B126" s="124" t="s">
        <v>2781</v>
      </c>
      <c r="C126" s="123" t="s">
        <v>2782</v>
      </c>
      <c r="D126" s="123" t="s">
        <v>725</v>
      </c>
      <c r="E126" s="124"/>
      <c r="F126" s="123" t="s">
        <v>725</v>
      </c>
      <c r="G126" s="142"/>
      <c r="H126" s="87"/>
    </row>
    <row r="127" spans="1:8">
      <c r="A127" s="142" t="s">
        <v>2766</v>
      </c>
      <c r="B127" s="124" t="s">
        <v>2783</v>
      </c>
      <c r="C127" s="123" t="s">
        <v>2784</v>
      </c>
      <c r="D127" s="123" t="s">
        <v>725</v>
      </c>
      <c r="E127" s="124"/>
      <c r="F127" s="123" t="s">
        <v>725</v>
      </c>
      <c r="G127" s="142"/>
      <c r="H127" s="87"/>
    </row>
    <row r="128" spans="1:8">
      <c r="A128" s="142" t="s">
        <v>2766</v>
      </c>
      <c r="B128" s="124" t="s">
        <v>2785</v>
      </c>
      <c r="C128" s="123" t="s">
        <v>2786</v>
      </c>
      <c r="D128" s="123" t="s">
        <v>725</v>
      </c>
      <c r="E128" s="124"/>
      <c r="F128" s="123" t="s">
        <v>725</v>
      </c>
      <c r="G128" s="142"/>
      <c r="H128" s="87"/>
    </row>
    <row r="129" spans="1:8">
      <c r="A129" s="142" t="s">
        <v>2766</v>
      </c>
      <c r="B129" s="124" t="s">
        <v>2787</v>
      </c>
      <c r="C129" s="123" t="s">
        <v>2788</v>
      </c>
      <c r="D129" s="123" t="s">
        <v>725</v>
      </c>
      <c r="E129" s="124"/>
      <c r="F129" s="123" t="s">
        <v>725</v>
      </c>
      <c r="G129" s="142"/>
      <c r="H129" s="87"/>
    </row>
    <row r="130" spans="1:8">
      <c r="A130" s="142" t="s">
        <v>2766</v>
      </c>
      <c r="B130" s="124" t="s">
        <v>2789</v>
      </c>
      <c r="C130" s="123" t="s">
        <v>2790</v>
      </c>
      <c r="D130" s="123" t="s">
        <v>725</v>
      </c>
      <c r="E130" s="124"/>
      <c r="F130" s="123" t="s">
        <v>725</v>
      </c>
      <c r="G130" s="142"/>
      <c r="H130" s="87"/>
    </row>
    <row r="131" spans="1:8">
      <c r="A131" s="142" t="s">
        <v>2766</v>
      </c>
      <c r="B131" s="124" t="s">
        <v>2791</v>
      </c>
      <c r="C131" s="123" t="s">
        <v>2792</v>
      </c>
      <c r="D131" s="123" t="s">
        <v>2753</v>
      </c>
      <c r="E131" s="124"/>
      <c r="F131" s="123" t="s">
        <v>804</v>
      </c>
      <c r="G131" s="142"/>
      <c r="H131" s="87"/>
    </row>
    <row r="132" spans="1:8">
      <c r="A132" s="142" t="s">
        <v>2766</v>
      </c>
      <c r="B132" s="124" t="s">
        <v>2793</v>
      </c>
      <c r="C132" s="123" t="s">
        <v>2794</v>
      </c>
      <c r="D132" s="123" t="s">
        <v>2759</v>
      </c>
      <c r="E132" s="124"/>
      <c r="F132" s="123" t="s">
        <v>804</v>
      </c>
      <c r="G132" s="142"/>
      <c r="H132" s="87"/>
    </row>
    <row r="133" spans="1:8">
      <c r="A133" s="142" t="s">
        <v>2766</v>
      </c>
      <c r="B133" s="124" t="s">
        <v>2795</v>
      </c>
      <c r="C133" s="123" t="s">
        <v>2796</v>
      </c>
      <c r="D133" s="123" t="s">
        <v>725</v>
      </c>
      <c r="E133" s="124"/>
      <c r="F133" s="123" t="s">
        <v>725</v>
      </c>
      <c r="G133" s="142"/>
      <c r="H133" s="87"/>
    </row>
    <row r="134" spans="1:8">
      <c r="A134" s="142" t="s">
        <v>2766</v>
      </c>
      <c r="B134" s="124" t="s">
        <v>805</v>
      </c>
      <c r="C134" s="123" t="s">
        <v>806</v>
      </c>
      <c r="D134" s="123" t="s">
        <v>725</v>
      </c>
      <c r="E134" s="124"/>
      <c r="F134" s="123" t="s">
        <v>725</v>
      </c>
      <c r="G134" s="142"/>
      <c r="H134" s="87"/>
    </row>
    <row r="135" spans="1:8">
      <c r="A135" s="142" t="s">
        <v>2766</v>
      </c>
      <c r="B135" s="124" t="s">
        <v>2760</v>
      </c>
      <c r="C135" s="123" t="s">
        <v>1916</v>
      </c>
      <c r="D135" s="123" t="s">
        <v>2761</v>
      </c>
      <c r="E135" s="124"/>
      <c r="F135" s="124" t="s">
        <v>804</v>
      </c>
      <c r="G135" s="142"/>
      <c r="H135" s="87"/>
    </row>
    <row r="136" spans="1:8">
      <c r="A136" s="142" t="s">
        <v>2766</v>
      </c>
      <c r="B136" s="124" t="s">
        <v>2797</v>
      </c>
      <c r="C136" s="123" t="s">
        <v>2798</v>
      </c>
      <c r="D136" s="123" t="s">
        <v>2761</v>
      </c>
      <c r="E136" s="124"/>
      <c r="F136" s="124" t="s">
        <v>804</v>
      </c>
      <c r="G136" s="142"/>
      <c r="H136" s="87"/>
    </row>
    <row r="137" spans="1:8" ht="25.5">
      <c r="A137" s="142" t="s">
        <v>2799</v>
      </c>
      <c r="B137" s="124" t="s">
        <v>1655</v>
      </c>
      <c r="C137" s="123" t="s">
        <v>1631</v>
      </c>
      <c r="D137" s="124" t="s">
        <v>2800</v>
      </c>
      <c r="E137" s="124"/>
      <c r="F137" s="124" t="s">
        <v>2801</v>
      </c>
      <c r="G137" s="142" t="s">
        <v>2802</v>
      </c>
      <c r="H137" s="87"/>
    </row>
    <row r="138" spans="1:8">
      <c r="A138" s="142" t="s">
        <v>2799</v>
      </c>
      <c r="B138" s="124" t="s">
        <v>2803</v>
      </c>
      <c r="C138" s="123" t="s">
        <v>2804</v>
      </c>
      <c r="D138" s="123" t="s">
        <v>2805</v>
      </c>
      <c r="E138" s="124"/>
      <c r="F138" s="123" t="s">
        <v>2806</v>
      </c>
      <c r="G138" s="142"/>
      <c r="H138" s="87"/>
    </row>
    <row r="139" spans="1:8">
      <c r="A139" s="142" t="s">
        <v>2799</v>
      </c>
      <c r="B139" s="124" t="s">
        <v>2727</v>
      </c>
      <c r="C139" s="123" t="s">
        <v>1683</v>
      </c>
      <c r="D139" s="123" t="s">
        <v>725</v>
      </c>
      <c r="E139" s="124"/>
      <c r="F139" s="123" t="s">
        <v>725</v>
      </c>
      <c r="G139" s="142"/>
      <c r="H139" s="87"/>
    </row>
    <row r="140" spans="1:8">
      <c r="A140" s="142" t="s">
        <v>2799</v>
      </c>
      <c r="B140" s="124" t="s">
        <v>2807</v>
      </c>
      <c r="C140" s="123" t="s">
        <v>1753</v>
      </c>
      <c r="D140" s="123" t="s">
        <v>2808</v>
      </c>
      <c r="E140" s="124"/>
      <c r="F140" s="123" t="s">
        <v>786</v>
      </c>
      <c r="G140" s="142"/>
      <c r="H140" s="87"/>
    </row>
    <row r="141" spans="1:8">
      <c r="A141" s="142" t="s">
        <v>2799</v>
      </c>
      <c r="B141" s="124" t="s">
        <v>2749</v>
      </c>
      <c r="C141" s="123" t="s">
        <v>1665</v>
      </c>
      <c r="D141" s="123" t="s">
        <v>725</v>
      </c>
      <c r="E141" s="124"/>
      <c r="F141" s="123" t="s">
        <v>725</v>
      </c>
      <c r="G141" s="142"/>
      <c r="H141" s="87"/>
    </row>
    <row r="142" spans="1:8">
      <c r="A142" s="142" t="s">
        <v>2799</v>
      </c>
      <c r="B142" s="124" t="s">
        <v>2809</v>
      </c>
      <c r="C142" s="123" t="s">
        <v>2810</v>
      </c>
      <c r="D142" s="123" t="s">
        <v>2811</v>
      </c>
      <c r="E142" s="124"/>
      <c r="F142" s="123" t="s">
        <v>804</v>
      </c>
      <c r="G142" s="142"/>
      <c r="H142" s="87"/>
    </row>
    <row r="143" spans="1:8">
      <c r="A143" s="142" t="s">
        <v>2799</v>
      </c>
      <c r="B143" s="124" t="s">
        <v>2812</v>
      </c>
      <c r="C143" s="123" t="s">
        <v>2118</v>
      </c>
      <c r="D143" s="123" t="s">
        <v>725</v>
      </c>
      <c r="E143" s="124"/>
      <c r="F143" s="123" t="s">
        <v>725</v>
      </c>
      <c r="G143" s="142"/>
      <c r="H143" s="87"/>
    </row>
    <row r="144" spans="1:8">
      <c r="A144" s="142" t="s">
        <v>2799</v>
      </c>
      <c r="B144" s="124" t="s">
        <v>2813</v>
      </c>
      <c r="C144" s="123" t="s">
        <v>2814</v>
      </c>
      <c r="D144" s="123" t="s">
        <v>725</v>
      </c>
      <c r="E144" s="124"/>
      <c r="F144" s="123" t="s">
        <v>725</v>
      </c>
      <c r="G144" s="142"/>
      <c r="H144" s="87"/>
    </row>
    <row r="145" spans="1:8">
      <c r="A145" s="142" t="s">
        <v>2799</v>
      </c>
      <c r="B145" s="124" t="s">
        <v>2815</v>
      </c>
      <c r="C145" s="123" t="s">
        <v>2816</v>
      </c>
      <c r="D145" s="123" t="s">
        <v>725</v>
      </c>
      <c r="E145" s="124"/>
      <c r="F145" s="123" t="s">
        <v>725</v>
      </c>
      <c r="G145" s="142"/>
      <c r="H145" s="87"/>
    </row>
    <row r="146" spans="1:8">
      <c r="A146" s="142" t="s">
        <v>2799</v>
      </c>
      <c r="B146" s="124" t="s">
        <v>2817</v>
      </c>
      <c r="C146" s="123" t="s">
        <v>2818</v>
      </c>
      <c r="D146" s="123" t="s">
        <v>725</v>
      </c>
      <c r="E146" s="124"/>
      <c r="F146" s="123" t="s">
        <v>725</v>
      </c>
      <c r="G146" s="142"/>
      <c r="H146" s="87"/>
    </row>
    <row r="147" spans="1:8">
      <c r="A147" s="142" t="s">
        <v>2799</v>
      </c>
      <c r="B147" s="124" t="s">
        <v>805</v>
      </c>
      <c r="C147" s="123" t="s">
        <v>2819</v>
      </c>
      <c r="D147" s="123" t="s">
        <v>725</v>
      </c>
      <c r="E147" s="124"/>
      <c r="F147" s="123" t="s">
        <v>725</v>
      </c>
      <c r="G147" s="142"/>
      <c r="H147" s="87"/>
    </row>
    <row r="148" spans="1:8" ht="25.5">
      <c r="A148" s="142" t="s">
        <v>2820</v>
      </c>
      <c r="B148" s="124" t="s">
        <v>1655</v>
      </c>
      <c r="C148" s="123" t="s">
        <v>1631</v>
      </c>
      <c r="D148" s="326" t="s">
        <v>2820</v>
      </c>
      <c r="E148" s="124"/>
      <c r="F148" s="326" t="s">
        <v>1887</v>
      </c>
      <c r="G148" s="142" t="s">
        <v>2821</v>
      </c>
      <c r="H148" s="87"/>
    </row>
    <row r="149" spans="1:8">
      <c r="A149" s="142" t="s">
        <v>2820</v>
      </c>
      <c r="B149" s="124" t="s">
        <v>2803</v>
      </c>
      <c r="C149" s="123" t="s">
        <v>2804</v>
      </c>
      <c r="D149" s="327"/>
      <c r="E149" s="124"/>
      <c r="F149" s="327"/>
      <c r="G149" s="142"/>
      <c r="H149" s="87"/>
    </row>
    <row r="150" spans="1:8">
      <c r="A150" s="142" t="s">
        <v>2820</v>
      </c>
      <c r="B150" s="124" t="s">
        <v>2696</v>
      </c>
      <c r="C150" s="123" t="s">
        <v>1038</v>
      </c>
      <c r="D150" s="123" t="s">
        <v>725</v>
      </c>
      <c r="E150" s="124"/>
      <c r="F150" s="123" t="s">
        <v>725</v>
      </c>
      <c r="G150" s="142"/>
      <c r="H150" s="87"/>
    </row>
    <row r="151" spans="1:8">
      <c r="A151" s="142" t="s">
        <v>2820</v>
      </c>
      <c r="B151" s="124" t="s">
        <v>1882</v>
      </c>
      <c r="C151" s="123" t="s">
        <v>1451</v>
      </c>
      <c r="D151" s="123" t="s">
        <v>2822</v>
      </c>
      <c r="E151" s="124"/>
      <c r="F151" s="123" t="s">
        <v>804</v>
      </c>
      <c r="G151" s="142"/>
      <c r="H151" s="87"/>
    </row>
    <row r="152" spans="1:8">
      <c r="A152" s="142" t="s">
        <v>2820</v>
      </c>
      <c r="B152" s="124" t="s">
        <v>2807</v>
      </c>
      <c r="C152" s="123" t="s">
        <v>1753</v>
      </c>
      <c r="D152" s="123" t="s">
        <v>2808</v>
      </c>
      <c r="E152" s="124"/>
      <c r="F152" s="123" t="s">
        <v>786</v>
      </c>
      <c r="G152" s="142"/>
      <c r="H152" s="87"/>
    </row>
    <row r="153" spans="1:8">
      <c r="A153" s="142" t="s">
        <v>2820</v>
      </c>
      <c r="B153" s="124" t="s">
        <v>1884</v>
      </c>
      <c r="C153" s="123" t="s">
        <v>1453</v>
      </c>
      <c r="D153" s="123" t="s">
        <v>2823</v>
      </c>
      <c r="E153" s="124"/>
      <c r="F153" s="123" t="s">
        <v>804</v>
      </c>
      <c r="G153" s="142"/>
      <c r="H153" s="87"/>
    </row>
    <row r="154" spans="1:8">
      <c r="A154" s="142" t="s">
        <v>2820</v>
      </c>
      <c r="B154" s="124" t="s">
        <v>2824</v>
      </c>
      <c r="C154" s="123" t="s">
        <v>2825</v>
      </c>
      <c r="D154" s="123" t="s">
        <v>2826</v>
      </c>
      <c r="E154" s="124"/>
      <c r="F154" s="123" t="s">
        <v>804</v>
      </c>
      <c r="G154" s="142"/>
      <c r="H154" s="87"/>
    </row>
    <row r="155" spans="1:8">
      <c r="A155" s="142" t="s">
        <v>2820</v>
      </c>
      <c r="B155" s="124" t="s">
        <v>2752</v>
      </c>
      <c r="C155" s="123" t="s">
        <v>2827</v>
      </c>
      <c r="D155" s="123" t="s">
        <v>2753</v>
      </c>
      <c r="E155" s="124"/>
      <c r="F155" s="123" t="s">
        <v>804</v>
      </c>
      <c r="G155" s="142"/>
      <c r="H155" s="87"/>
    </row>
    <row r="156" spans="1:8">
      <c r="A156" s="142" t="s">
        <v>2820</v>
      </c>
      <c r="B156" s="124" t="s">
        <v>2758</v>
      </c>
      <c r="C156" s="123" t="s">
        <v>1692</v>
      </c>
      <c r="D156" s="123" t="s">
        <v>2759</v>
      </c>
      <c r="E156" s="124"/>
      <c r="F156" s="123" t="s">
        <v>804</v>
      </c>
      <c r="G156" s="142"/>
      <c r="H156" s="87"/>
    </row>
    <row r="157" spans="1:8">
      <c r="A157" s="142" t="s">
        <v>2820</v>
      </c>
      <c r="B157" s="124" t="s">
        <v>2828</v>
      </c>
      <c r="C157" s="123" t="s">
        <v>1038</v>
      </c>
      <c r="D157" s="123" t="s">
        <v>725</v>
      </c>
      <c r="E157" s="124"/>
      <c r="F157" s="123" t="s">
        <v>725</v>
      </c>
      <c r="G157" s="142"/>
      <c r="H157" s="87"/>
    </row>
    <row r="158" spans="1:8">
      <c r="A158" s="142" t="s">
        <v>2820</v>
      </c>
      <c r="B158" s="124" t="s">
        <v>2829</v>
      </c>
      <c r="C158" s="123" t="s">
        <v>2830</v>
      </c>
      <c r="D158" s="123" t="s">
        <v>725</v>
      </c>
      <c r="E158" s="124"/>
      <c r="F158" s="123" t="s">
        <v>725</v>
      </c>
      <c r="G158" s="142"/>
      <c r="H158" s="87"/>
    </row>
    <row r="159" spans="1:8">
      <c r="A159" s="142" t="s">
        <v>2820</v>
      </c>
      <c r="B159" s="124" t="s">
        <v>2831</v>
      </c>
      <c r="C159" s="123" t="s">
        <v>2832</v>
      </c>
      <c r="D159" s="123" t="s">
        <v>725</v>
      </c>
      <c r="E159" s="124"/>
      <c r="F159" s="123" t="s">
        <v>725</v>
      </c>
      <c r="G159" s="142"/>
      <c r="H159" s="87"/>
    </row>
    <row r="160" spans="1:8">
      <c r="A160" s="142" t="s">
        <v>2820</v>
      </c>
      <c r="B160" s="124" t="s">
        <v>2815</v>
      </c>
      <c r="C160" s="123" t="s">
        <v>2833</v>
      </c>
      <c r="D160" s="123" t="s">
        <v>725</v>
      </c>
      <c r="E160" s="124"/>
      <c r="F160" s="123" t="s">
        <v>725</v>
      </c>
      <c r="G160" s="142"/>
      <c r="H160" s="87"/>
    </row>
    <row r="161" spans="1:8">
      <c r="A161" s="142" t="s">
        <v>2820</v>
      </c>
      <c r="B161" s="124" t="s">
        <v>2834</v>
      </c>
      <c r="C161" s="123" t="s">
        <v>2835</v>
      </c>
      <c r="D161" s="123" t="s">
        <v>725</v>
      </c>
      <c r="E161" s="124"/>
      <c r="F161" s="123" t="s">
        <v>725</v>
      </c>
      <c r="G161" s="142"/>
      <c r="H161" s="87"/>
    </row>
    <row r="162" spans="1:8">
      <c r="A162" s="142" t="s">
        <v>2820</v>
      </c>
      <c r="B162" s="124" t="s">
        <v>2836</v>
      </c>
      <c r="C162" s="123" t="s">
        <v>2837</v>
      </c>
      <c r="D162" s="123" t="s">
        <v>725</v>
      </c>
      <c r="E162" s="124"/>
      <c r="F162" s="123" t="s">
        <v>725</v>
      </c>
      <c r="G162" s="142"/>
      <c r="H162" s="87"/>
    </row>
    <row r="163" spans="1:8">
      <c r="A163" s="142" t="s">
        <v>2820</v>
      </c>
      <c r="B163" s="124" t="s">
        <v>2760</v>
      </c>
      <c r="C163" s="123" t="s">
        <v>1916</v>
      </c>
      <c r="D163" s="123" t="s">
        <v>2761</v>
      </c>
      <c r="E163" s="124"/>
      <c r="F163" s="124" t="s">
        <v>804</v>
      </c>
      <c r="G163" s="142"/>
      <c r="H163" s="87"/>
    </row>
    <row r="164" spans="1:8">
      <c r="A164" s="142" t="s">
        <v>2820</v>
      </c>
      <c r="B164" s="124" t="s">
        <v>2764</v>
      </c>
      <c r="C164" s="123" t="s">
        <v>2765</v>
      </c>
      <c r="D164" s="123" t="s">
        <v>725</v>
      </c>
      <c r="E164" s="124"/>
      <c r="F164" s="123" t="s">
        <v>725</v>
      </c>
      <c r="G164" s="142"/>
      <c r="H164" s="87"/>
    </row>
    <row r="165" spans="1:8">
      <c r="A165" s="142" t="s">
        <v>2820</v>
      </c>
      <c r="B165" s="124" t="s">
        <v>2775</v>
      </c>
      <c r="C165" s="123" t="s">
        <v>2838</v>
      </c>
      <c r="D165" s="123" t="s">
        <v>725</v>
      </c>
      <c r="E165" s="124"/>
      <c r="F165" s="123" t="s">
        <v>725</v>
      </c>
      <c r="G165" s="142"/>
      <c r="H165" s="87"/>
    </row>
    <row r="166" spans="1:8">
      <c r="A166" s="142" t="s">
        <v>2820</v>
      </c>
      <c r="B166" s="124" t="s">
        <v>2817</v>
      </c>
      <c r="C166" s="123" t="s">
        <v>2818</v>
      </c>
      <c r="D166" s="123" t="s">
        <v>725</v>
      </c>
      <c r="E166" s="124"/>
      <c r="F166" s="123" t="s">
        <v>725</v>
      </c>
      <c r="G166" s="142"/>
      <c r="H166" s="87"/>
    </row>
    <row r="167" spans="1:8">
      <c r="A167" s="142" t="s">
        <v>2820</v>
      </c>
      <c r="B167" s="124" t="s">
        <v>805</v>
      </c>
      <c r="C167" s="123" t="s">
        <v>806</v>
      </c>
      <c r="D167" s="123" t="s">
        <v>725</v>
      </c>
      <c r="E167" s="124"/>
      <c r="F167" s="123" t="s">
        <v>725</v>
      </c>
      <c r="G167" s="142"/>
      <c r="H167" s="87"/>
    </row>
    <row r="168" spans="1:8">
      <c r="A168" s="142" t="s">
        <v>2820</v>
      </c>
      <c r="B168" s="124" t="s">
        <v>2839</v>
      </c>
      <c r="C168" s="123" t="s">
        <v>2840</v>
      </c>
      <c r="D168" s="123" t="s">
        <v>725</v>
      </c>
      <c r="E168" s="124"/>
      <c r="F168" s="123" t="s">
        <v>725</v>
      </c>
      <c r="G168" s="142"/>
      <c r="H168" s="87"/>
    </row>
    <row r="169" spans="1:8">
      <c r="A169" s="142" t="s">
        <v>2820</v>
      </c>
      <c r="B169" s="124" t="s">
        <v>2841</v>
      </c>
      <c r="C169" s="123" t="s">
        <v>1523</v>
      </c>
      <c r="D169" s="123" t="s">
        <v>2842</v>
      </c>
      <c r="E169" s="124"/>
      <c r="F169" s="123" t="s">
        <v>804</v>
      </c>
      <c r="G169" s="142"/>
      <c r="H169" s="87"/>
    </row>
    <row r="170" spans="1:8">
      <c r="A170" s="142" t="s">
        <v>2820</v>
      </c>
      <c r="B170" s="124" t="s">
        <v>2843</v>
      </c>
      <c r="C170" s="123" t="s">
        <v>1723</v>
      </c>
      <c r="D170" s="123" t="s">
        <v>2844</v>
      </c>
      <c r="E170" s="124"/>
      <c r="F170" s="123" t="s">
        <v>804</v>
      </c>
      <c r="G170" s="142"/>
      <c r="H170" s="87"/>
    </row>
    <row r="171" spans="1:8" ht="72.599999999999994" hidden="1" customHeight="1">
      <c r="A171" s="142" t="s">
        <v>706</v>
      </c>
      <c r="B171" s="124" t="s">
        <v>1655</v>
      </c>
      <c r="C171" s="123" t="s">
        <v>1631</v>
      </c>
      <c r="D171" s="123" t="s">
        <v>601</v>
      </c>
      <c r="E171" s="124"/>
      <c r="F171" s="124" t="s">
        <v>1887</v>
      </c>
      <c r="G171" s="142" t="s">
        <v>2845</v>
      </c>
      <c r="H171" s="87"/>
    </row>
    <row r="172" spans="1:8" hidden="1">
      <c r="A172" s="142" t="s">
        <v>706</v>
      </c>
      <c r="B172" s="124" t="s">
        <v>2846</v>
      </c>
      <c r="C172" s="123" t="s">
        <v>1427</v>
      </c>
      <c r="D172" s="123" t="s">
        <v>725</v>
      </c>
      <c r="E172" s="124"/>
      <c r="F172" s="124" t="s">
        <v>725</v>
      </c>
      <c r="G172" s="142"/>
      <c r="H172" s="87"/>
    </row>
    <row r="173" spans="1:8" hidden="1">
      <c r="A173" s="142" t="s">
        <v>706</v>
      </c>
      <c r="B173" s="124" t="s">
        <v>2847</v>
      </c>
      <c r="C173" s="123" t="s">
        <v>1430</v>
      </c>
      <c r="D173" s="123" t="s">
        <v>725</v>
      </c>
      <c r="E173" s="124"/>
      <c r="F173" s="124" t="s">
        <v>725</v>
      </c>
      <c r="G173" s="87"/>
      <c r="H173" s="87"/>
    </row>
    <row r="174" spans="1:8" hidden="1">
      <c r="A174" s="142" t="s">
        <v>706</v>
      </c>
      <c r="B174" s="124" t="s">
        <v>2848</v>
      </c>
      <c r="C174" s="123" t="s">
        <v>2849</v>
      </c>
      <c r="D174" s="124" t="s">
        <v>1018</v>
      </c>
      <c r="E174" s="124"/>
      <c r="F174" s="124" t="s">
        <v>786</v>
      </c>
      <c r="G174" s="87"/>
      <c r="H174" s="87"/>
    </row>
    <row r="175" spans="1:8" hidden="1">
      <c r="A175" s="142" t="s">
        <v>706</v>
      </c>
      <c r="B175" s="124" t="s">
        <v>2850</v>
      </c>
      <c r="C175" s="123" t="s">
        <v>2851</v>
      </c>
      <c r="D175" s="123" t="s">
        <v>725</v>
      </c>
      <c r="E175" s="124"/>
      <c r="F175" s="124" t="s">
        <v>725</v>
      </c>
      <c r="G175" s="87" t="s">
        <v>2852</v>
      </c>
      <c r="H175" s="87"/>
    </row>
    <row r="176" spans="1:8" hidden="1">
      <c r="A176" s="142" t="s">
        <v>706</v>
      </c>
      <c r="B176" s="124" t="s">
        <v>2853</v>
      </c>
      <c r="C176" s="123" t="s">
        <v>2854</v>
      </c>
      <c r="D176" s="123" t="s">
        <v>725</v>
      </c>
      <c r="E176" s="124"/>
      <c r="F176" s="124" t="s">
        <v>725</v>
      </c>
      <c r="G176" s="87"/>
      <c r="H176" s="87"/>
    </row>
    <row r="177" spans="1:8" hidden="1">
      <c r="A177" s="142" t="s">
        <v>706</v>
      </c>
      <c r="B177" s="124" t="s">
        <v>2855</v>
      </c>
      <c r="C177" s="123" t="s">
        <v>2856</v>
      </c>
      <c r="D177" s="123" t="s">
        <v>725</v>
      </c>
      <c r="E177" s="124"/>
      <c r="F177" s="124" t="s">
        <v>725</v>
      </c>
      <c r="G177" s="87"/>
      <c r="H177" s="87"/>
    </row>
    <row r="178" spans="1:8" hidden="1">
      <c r="A178" s="142" t="s">
        <v>706</v>
      </c>
      <c r="B178" s="124" t="s">
        <v>2857</v>
      </c>
      <c r="C178" s="123" t="s">
        <v>2858</v>
      </c>
      <c r="D178" s="123" t="s">
        <v>725</v>
      </c>
      <c r="E178" s="124"/>
      <c r="F178" s="124" t="s">
        <v>725</v>
      </c>
      <c r="G178" s="87"/>
      <c r="H178" s="87"/>
    </row>
    <row r="179" spans="1:8" hidden="1">
      <c r="A179" s="142" t="s">
        <v>706</v>
      </c>
      <c r="B179" s="124" t="s">
        <v>2859</v>
      </c>
      <c r="C179" s="123" t="s">
        <v>2860</v>
      </c>
      <c r="D179" s="123" t="s">
        <v>725</v>
      </c>
      <c r="E179" s="124"/>
      <c r="F179" s="124" t="s">
        <v>725</v>
      </c>
      <c r="G179" s="87"/>
      <c r="H179" s="87"/>
    </row>
    <row r="180" spans="1:8" hidden="1">
      <c r="A180" s="142" t="s">
        <v>706</v>
      </c>
      <c r="B180" s="124" t="s">
        <v>2861</v>
      </c>
      <c r="C180" s="123" t="s">
        <v>2862</v>
      </c>
      <c r="D180" s="123" t="s">
        <v>725</v>
      </c>
      <c r="E180" s="124"/>
      <c r="F180" s="124" t="s">
        <v>725</v>
      </c>
      <c r="G180" s="87"/>
      <c r="H180" s="87"/>
    </row>
    <row r="181" spans="1:8" hidden="1">
      <c r="A181" s="142" t="s">
        <v>706</v>
      </c>
      <c r="B181" s="124" t="s">
        <v>2863</v>
      </c>
      <c r="C181" s="123" t="s">
        <v>2864</v>
      </c>
      <c r="D181" s="123" t="s">
        <v>725</v>
      </c>
      <c r="E181" s="124"/>
      <c r="F181" s="124" t="s">
        <v>725</v>
      </c>
      <c r="G181" s="87"/>
      <c r="H181" s="87"/>
    </row>
    <row r="182" spans="1:8" hidden="1">
      <c r="A182" s="142" t="s">
        <v>706</v>
      </c>
      <c r="B182" s="124" t="s">
        <v>2865</v>
      </c>
      <c r="C182" s="123" t="s">
        <v>2866</v>
      </c>
      <c r="D182" s="123" t="s">
        <v>725</v>
      </c>
      <c r="E182" s="124"/>
      <c r="F182" s="124" t="s">
        <v>725</v>
      </c>
      <c r="G182" s="87"/>
      <c r="H182" s="87"/>
    </row>
    <row r="183" spans="1:8" hidden="1">
      <c r="A183" s="142" t="s">
        <v>706</v>
      </c>
      <c r="B183" s="124" t="s">
        <v>2867</v>
      </c>
      <c r="C183" s="123" t="s">
        <v>2868</v>
      </c>
      <c r="D183" s="123" t="s">
        <v>725</v>
      </c>
      <c r="E183" s="124"/>
      <c r="F183" s="124" t="s">
        <v>725</v>
      </c>
      <c r="G183" s="87"/>
      <c r="H183" s="87"/>
    </row>
    <row r="184" spans="1:8" hidden="1">
      <c r="A184" s="142" t="s">
        <v>706</v>
      </c>
      <c r="B184" s="124" t="s">
        <v>2869</v>
      </c>
      <c r="C184" s="123" t="s">
        <v>2870</v>
      </c>
      <c r="D184" s="123" t="s">
        <v>725</v>
      </c>
      <c r="E184" s="124"/>
      <c r="F184" s="124" t="s">
        <v>725</v>
      </c>
      <c r="G184" s="87"/>
      <c r="H184" s="87"/>
    </row>
    <row r="185" spans="1:8" hidden="1">
      <c r="A185" s="142" t="s">
        <v>706</v>
      </c>
      <c r="B185" s="124" t="s">
        <v>2871</v>
      </c>
      <c r="C185" s="123" t="s">
        <v>2872</v>
      </c>
      <c r="D185" s="123" t="s">
        <v>725</v>
      </c>
      <c r="E185" s="124"/>
      <c r="F185" s="124" t="s">
        <v>725</v>
      </c>
      <c r="G185" s="87"/>
      <c r="H185" s="87"/>
    </row>
    <row r="186" spans="1:8" ht="38.25" hidden="1">
      <c r="A186" s="142" t="s">
        <v>706</v>
      </c>
      <c r="B186" s="124" t="s">
        <v>1472</v>
      </c>
      <c r="C186" s="123" t="s">
        <v>1294</v>
      </c>
      <c r="D186" s="92" t="s">
        <v>2666</v>
      </c>
      <c r="E186" s="91"/>
      <c r="F186" s="92" t="s">
        <v>804</v>
      </c>
      <c r="G186" s="87"/>
      <c r="H186" s="87"/>
    </row>
    <row r="187" spans="1:8" hidden="1">
      <c r="A187" s="142" t="s">
        <v>706</v>
      </c>
      <c r="B187" s="124" t="s">
        <v>797</v>
      </c>
      <c r="C187" s="123" t="s">
        <v>798</v>
      </c>
      <c r="D187" s="123" t="s">
        <v>725</v>
      </c>
      <c r="E187" s="91"/>
      <c r="F187" s="123" t="s">
        <v>725</v>
      </c>
      <c r="G187" s="87"/>
      <c r="H187" s="87"/>
    </row>
    <row r="188" spans="1:8" hidden="1">
      <c r="A188" s="142" t="s">
        <v>706</v>
      </c>
      <c r="B188" s="124" t="s">
        <v>2873</v>
      </c>
      <c r="C188" s="123" t="s">
        <v>2874</v>
      </c>
      <c r="D188" s="123" t="s">
        <v>725</v>
      </c>
      <c r="E188" s="91"/>
      <c r="F188" s="123" t="s">
        <v>725</v>
      </c>
      <c r="G188" s="87"/>
      <c r="H188" s="87"/>
    </row>
    <row r="189" spans="1:8" ht="38.25" hidden="1">
      <c r="A189" s="142" t="s">
        <v>706</v>
      </c>
      <c r="B189" s="124" t="s">
        <v>2875</v>
      </c>
      <c r="C189" s="123" t="s">
        <v>2876</v>
      </c>
      <c r="D189" s="92" t="s">
        <v>2666</v>
      </c>
      <c r="E189" s="91"/>
      <c r="F189" s="92" t="s">
        <v>804</v>
      </c>
      <c r="G189" s="87"/>
      <c r="H189" s="87"/>
    </row>
    <row r="190" spans="1:8" hidden="1">
      <c r="A190" s="142" t="s">
        <v>706</v>
      </c>
      <c r="B190" s="124" t="s">
        <v>2877</v>
      </c>
      <c r="C190" s="123" t="s">
        <v>2878</v>
      </c>
      <c r="D190" s="123" t="s">
        <v>725</v>
      </c>
      <c r="E190" s="91"/>
      <c r="F190" s="123" t="s">
        <v>725</v>
      </c>
      <c r="G190" s="87"/>
      <c r="H190" s="87"/>
    </row>
    <row r="191" spans="1:8" hidden="1">
      <c r="A191" s="142" t="s">
        <v>706</v>
      </c>
      <c r="B191" s="124" t="s">
        <v>805</v>
      </c>
      <c r="C191" s="123" t="s">
        <v>806</v>
      </c>
      <c r="D191" s="123" t="s">
        <v>725</v>
      </c>
      <c r="E191" s="91"/>
      <c r="F191" s="123" t="s">
        <v>725</v>
      </c>
      <c r="G191" s="87"/>
      <c r="H191" s="87"/>
    </row>
    <row r="192" spans="1:8" hidden="1">
      <c r="A192" s="142" t="s">
        <v>706</v>
      </c>
      <c r="B192" s="124" t="s">
        <v>857</v>
      </c>
      <c r="C192" s="123" t="s">
        <v>858</v>
      </c>
      <c r="D192" s="123" t="s">
        <v>725</v>
      </c>
      <c r="E192" s="91"/>
      <c r="F192" s="123" t="s">
        <v>725</v>
      </c>
      <c r="G192" s="87"/>
      <c r="H192" s="87"/>
    </row>
    <row r="193" spans="1:8" ht="25.5">
      <c r="A193" s="142" t="s">
        <v>2879</v>
      </c>
      <c r="B193" s="124" t="s">
        <v>1655</v>
      </c>
      <c r="C193" s="123" t="s">
        <v>1631</v>
      </c>
      <c r="D193" s="123" t="s">
        <v>601</v>
      </c>
      <c r="E193" s="124"/>
      <c r="F193" s="123" t="s">
        <v>1887</v>
      </c>
      <c r="G193" s="142" t="s">
        <v>2880</v>
      </c>
      <c r="H193" s="87"/>
    </row>
    <row r="194" spans="1:8" ht="51">
      <c r="A194" s="142" t="s">
        <v>2879</v>
      </c>
      <c r="B194" s="124" t="s">
        <v>2686</v>
      </c>
      <c r="C194" s="123" t="s">
        <v>2687</v>
      </c>
      <c r="D194" s="124" t="s">
        <v>2688</v>
      </c>
      <c r="E194" s="124"/>
      <c r="F194" s="124" t="s">
        <v>786</v>
      </c>
      <c r="G194" s="142"/>
      <c r="H194" s="87"/>
    </row>
    <row r="195" spans="1:8">
      <c r="A195" s="142" t="s">
        <v>2879</v>
      </c>
      <c r="B195" s="124" t="s">
        <v>805</v>
      </c>
      <c r="C195" s="123" t="s">
        <v>806</v>
      </c>
      <c r="D195" s="123" t="s">
        <v>725</v>
      </c>
      <c r="E195" s="91"/>
      <c r="F195" s="123" t="s">
        <v>725</v>
      </c>
      <c r="G195" s="87"/>
      <c r="H195" s="87"/>
    </row>
    <row r="199" spans="1:8" ht="15">
      <c r="A199" s="275" t="s">
        <v>2881</v>
      </c>
    </row>
  </sheetData>
  <mergeCells count="6">
    <mergeCell ref="C2:I2"/>
    <mergeCell ref="C4:I4"/>
    <mergeCell ref="D39:D40"/>
    <mergeCell ref="F39:F40"/>
    <mergeCell ref="D148:D149"/>
    <mergeCell ref="F148:F149"/>
  </mergeCells>
  <hyperlinks>
    <hyperlink ref="B1" location="Summary!A1" display="Summary" xr:uid="{DE7345E7-BF1B-455D-863F-4C21ABFAC648}"/>
  </hyperlink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7669-49B7-4311-B462-B59D1FF86ADA}">
  <dimension ref="A1:I161"/>
  <sheetViews>
    <sheetView topLeftCell="A81" zoomScale="110" zoomScaleNormal="110" workbookViewId="0">
      <selection activeCell="D90" sqref="D90:D92"/>
    </sheetView>
  </sheetViews>
  <sheetFormatPr defaultColWidth="9.140625" defaultRowHeight="12.75"/>
  <cols>
    <col min="1" max="1" width="28.7109375" style="82" bestFit="1" customWidth="1"/>
    <col min="2" max="2" width="34" style="82" customWidth="1"/>
    <col min="3" max="3" width="28.28515625" style="82" bestFit="1" customWidth="1"/>
    <col min="4" max="4" width="42.140625" style="82" bestFit="1" customWidth="1"/>
    <col min="5" max="5" width="26.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2882</v>
      </c>
      <c r="C2" s="317"/>
      <c r="D2" s="317"/>
      <c r="E2" s="317"/>
      <c r="F2" s="317"/>
      <c r="G2" s="317"/>
      <c r="H2" s="317"/>
      <c r="I2" s="317"/>
    </row>
    <row r="3" spans="1:9">
      <c r="B3" s="107" t="s">
        <v>2629</v>
      </c>
      <c r="C3" s="138"/>
      <c r="D3" s="138"/>
      <c r="E3" s="138"/>
      <c r="F3" s="138"/>
      <c r="G3" s="138"/>
      <c r="H3" s="138"/>
      <c r="I3" s="138"/>
    </row>
    <row r="4" spans="1:9">
      <c r="B4" s="107" t="s">
        <v>571</v>
      </c>
      <c r="C4" s="318" t="str">
        <f>Summary!O39</f>
        <v>This table contains information of the Bill Details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c r="A7" s="142" t="s">
        <v>2883</v>
      </c>
      <c r="B7" s="124" t="s">
        <v>2884</v>
      </c>
      <c r="C7" s="123" t="s">
        <v>2885</v>
      </c>
      <c r="D7" s="124" t="s">
        <v>2886</v>
      </c>
      <c r="E7" s="124"/>
      <c r="F7" s="124" t="s">
        <v>804</v>
      </c>
      <c r="G7" s="87"/>
      <c r="H7" s="87"/>
    </row>
    <row r="8" spans="1:9" ht="102">
      <c r="A8" s="142" t="s">
        <v>2883</v>
      </c>
      <c r="B8" s="124" t="s">
        <v>2726</v>
      </c>
      <c r="C8" s="123" t="s">
        <v>1636</v>
      </c>
      <c r="D8" s="124" t="s">
        <v>2887</v>
      </c>
      <c r="E8" s="124" t="s">
        <v>2496</v>
      </c>
      <c r="F8" s="185" t="s">
        <v>2888</v>
      </c>
      <c r="G8" s="87"/>
      <c r="H8" s="87"/>
    </row>
    <row r="9" spans="1:9">
      <c r="A9" s="142" t="s">
        <v>2883</v>
      </c>
      <c r="B9" s="124" t="s">
        <v>2889</v>
      </c>
      <c r="C9" s="123" t="s">
        <v>2890</v>
      </c>
      <c r="D9" s="123" t="s">
        <v>601</v>
      </c>
      <c r="E9" s="124"/>
      <c r="F9" s="124" t="s">
        <v>786</v>
      </c>
      <c r="G9" s="87"/>
      <c r="H9" s="87"/>
    </row>
    <row r="10" spans="1:9">
      <c r="A10" s="142" t="s">
        <v>2883</v>
      </c>
      <c r="B10" s="124" t="s">
        <v>2891</v>
      </c>
      <c r="C10" s="123" t="s">
        <v>2892</v>
      </c>
      <c r="D10" s="124" t="s">
        <v>1018</v>
      </c>
      <c r="E10" s="124" t="s">
        <v>2893</v>
      </c>
      <c r="F10" s="124" t="s">
        <v>786</v>
      </c>
      <c r="G10" s="87"/>
      <c r="H10" s="87"/>
    </row>
    <row r="11" spans="1:9">
      <c r="A11" s="142" t="s">
        <v>2883</v>
      </c>
      <c r="B11" s="124" t="s">
        <v>2894</v>
      </c>
      <c r="C11" s="123" t="s">
        <v>2895</v>
      </c>
      <c r="D11" s="124" t="s">
        <v>725</v>
      </c>
      <c r="E11" s="124"/>
      <c r="F11" s="124" t="s">
        <v>725</v>
      </c>
      <c r="G11" s="87"/>
      <c r="H11" s="87"/>
    </row>
    <row r="12" spans="1:9">
      <c r="A12" s="142" t="s">
        <v>2883</v>
      </c>
      <c r="B12" s="124" t="s">
        <v>2896</v>
      </c>
      <c r="C12" s="123" t="s">
        <v>2897</v>
      </c>
      <c r="D12" s="124" t="s">
        <v>2898</v>
      </c>
      <c r="E12" s="124"/>
      <c r="F12" s="124" t="s">
        <v>786</v>
      </c>
      <c r="G12" s="87"/>
      <c r="H12" s="87"/>
    </row>
    <row r="13" spans="1:9">
      <c r="A13" s="142" t="s">
        <v>2883</v>
      </c>
      <c r="B13" s="124" t="s">
        <v>2899</v>
      </c>
      <c r="C13" s="123" t="s">
        <v>1205</v>
      </c>
      <c r="D13" s="123" t="s">
        <v>725</v>
      </c>
      <c r="E13" s="124"/>
      <c r="F13" s="124" t="s">
        <v>786</v>
      </c>
      <c r="G13" s="87"/>
      <c r="H13" s="87"/>
    </row>
    <row r="14" spans="1:9">
      <c r="A14" s="142" t="s">
        <v>2883</v>
      </c>
      <c r="B14" s="124" t="s">
        <v>2900</v>
      </c>
      <c r="C14" s="123" t="s">
        <v>2901</v>
      </c>
      <c r="D14" s="123" t="s">
        <v>725</v>
      </c>
      <c r="E14" s="124"/>
      <c r="F14" s="124" t="s">
        <v>725</v>
      </c>
      <c r="G14" s="87"/>
      <c r="H14" s="87"/>
    </row>
    <row r="15" spans="1:9">
      <c r="A15" s="142" t="s">
        <v>2883</v>
      </c>
      <c r="B15" s="124" t="s">
        <v>797</v>
      </c>
      <c r="C15" s="123" t="s">
        <v>798</v>
      </c>
      <c r="D15" s="123" t="s">
        <v>725</v>
      </c>
      <c r="E15" s="124"/>
      <c r="F15" s="124" t="s">
        <v>725</v>
      </c>
      <c r="G15" s="87"/>
      <c r="H15" s="87"/>
    </row>
    <row r="16" spans="1:9">
      <c r="A16" s="142" t="s">
        <v>2883</v>
      </c>
      <c r="B16" s="124" t="s">
        <v>2902</v>
      </c>
      <c r="C16" s="123" t="s">
        <v>2903</v>
      </c>
      <c r="D16" s="123" t="s">
        <v>725</v>
      </c>
      <c r="E16" s="124"/>
      <c r="F16" s="124" t="s">
        <v>725</v>
      </c>
      <c r="G16" s="87"/>
      <c r="H16" s="87"/>
    </row>
    <row r="17" spans="1:8">
      <c r="A17" s="142" t="s">
        <v>2883</v>
      </c>
      <c r="B17" s="124" t="s">
        <v>2904</v>
      </c>
      <c r="C17" s="123" t="s">
        <v>2905</v>
      </c>
      <c r="D17" s="123" t="s">
        <v>725</v>
      </c>
      <c r="E17" s="124"/>
      <c r="F17" s="124" t="s">
        <v>725</v>
      </c>
      <c r="G17" s="87"/>
      <c r="H17" s="87"/>
    </row>
    <row r="18" spans="1:8">
      <c r="A18" s="142" t="s">
        <v>2883</v>
      </c>
      <c r="B18" s="124" t="s">
        <v>2906</v>
      </c>
      <c r="C18" s="123" t="s">
        <v>2907</v>
      </c>
      <c r="D18" s="123" t="s">
        <v>725</v>
      </c>
      <c r="E18" s="124"/>
      <c r="F18" s="124" t="s">
        <v>725</v>
      </c>
      <c r="G18" s="87"/>
      <c r="H18" s="87"/>
    </row>
    <row r="19" spans="1:8" ht="38.25">
      <c r="A19" s="142" t="s">
        <v>2883</v>
      </c>
      <c r="B19" s="124" t="s">
        <v>2908</v>
      </c>
      <c r="C19" s="123" t="s">
        <v>2909</v>
      </c>
      <c r="D19" s="92" t="s">
        <v>2666</v>
      </c>
      <c r="E19" s="91"/>
      <c r="F19" s="92" t="s">
        <v>804</v>
      </c>
      <c r="G19" s="87"/>
      <c r="H19" s="87"/>
    </row>
    <row r="20" spans="1:8">
      <c r="A20" s="142" t="s">
        <v>2883</v>
      </c>
      <c r="B20" s="124" t="s">
        <v>2910</v>
      </c>
      <c r="C20" s="123" t="s">
        <v>2911</v>
      </c>
      <c r="D20" s="123" t="s">
        <v>725</v>
      </c>
      <c r="E20" s="124"/>
      <c r="F20" s="124" t="s">
        <v>725</v>
      </c>
      <c r="G20" s="87"/>
      <c r="H20" s="87"/>
    </row>
    <row r="21" spans="1:8">
      <c r="A21" s="142" t="s">
        <v>2883</v>
      </c>
      <c r="B21" s="124" t="s">
        <v>2912</v>
      </c>
      <c r="C21" s="123" t="s">
        <v>2913</v>
      </c>
      <c r="D21" s="123" t="s">
        <v>725</v>
      </c>
      <c r="E21" s="124"/>
      <c r="F21" s="124" t="s">
        <v>725</v>
      </c>
      <c r="G21" s="87"/>
      <c r="H21" s="87"/>
    </row>
    <row r="22" spans="1:8">
      <c r="A22" s="142" t="s">
        <v>2883</v>
      </c>
      <c r="B22" s="124" t="s">
        <v>2914</v>
      </c>
      <c r="C22" s="123" t="s">
        <v>2915</v>
      </c>
      <c r="D22" s="123" t="s">
        <v>725</v>
      </c>
      <c r="E22" s="124"/>
      <c r="F22" s="124" t="s">
        <v>725</v>
      </c>
      <c r="G22" s="87"/>
      <c r="H22" s="87"/>
    </row>
    <row r="23" spans="1:8">
      <c r="A23" s="142" t="s">
        <v>2883</v>
      </c>
      <c r="B23" s="124" t="s">
        <v>2916</v>
      </c>
      <c r="C23" s="123" t="s">
        <v>2917</v>
      </c>
      <c r="D23" s="123" t="s">
        <v>725</v>
      </c>
      <c r="E23" s="124"/>
      <c r="F23" s="124" t="s">
        <v>725</v>
      </c>
      <c r="G23" s="87"/>
      <c r="H23" s="87"/>
    </row>
    <row r="24" spans="1:8">
      <c r="A24" s="142" t="s">
        <v>2883</v>
      </c>
      <c r="B24" s="124" t="s">
        <v>2918</v>
      </c>
      <c r="C24" s="123" t="s">
        <v>2919</v>
      </c>
      <c r="D24" s="123" t="s">
        <v>725</v>
      </c>
      <c r="E24" s="124"/>
      <c r="F24" s="124" t="s">
        <v>725</v>
      </c>
      <c r="G24" s="87"/>
      <c r="H24" s="87"/>
    </row>
    <row r="25" spans="1:8">
      <c r="A25" s="142" t="s">
        <v>2883</v>
      </c>
      <c r="B25" s="124" t="s">
        <v>2920</v>
      </c>
      <c r="C25" s="123" t="s">
        <v>2921</v>
      </c>
      <c r="D25" s="123" t="s">
        <v>725</v>
      </c>
      <c r="E25" s="124"/>
      <c r="F25" s="124" t="s">
        <v>725</v>
      </c>
      <c r="G25" s="87"/>
      <c r="H25" s="87"/>
    </row>
    <row r="26" spans="1:8">
      <c r="A26" s="142" t="s">
        <v>2883</v>
      </c>
      <c r="B26" s="124" t="s">
        <v>2630</v>
      </c>
      <c r="C26" s="123" t="s">
        <v>2684</v>
      </c>
      <c r="D26" s="123" t="s">
        <v>725</v>
      </c>
      <c r="E26" s="124"/>
      <c r="F26" s="124" t="s">
        <v>725</v>
      </c>
      <c r="G26" s="87"/>
      <c r="H26" s="87"/>
    </row>
    <row r="27" spans="1:8">
      <c r="A27" s="142" t="s">
        <v>2883</v>
      </c>
      <c r="B27" s="124" t="s">
        <v>2922</v>
      </c>
      <c r="C27" s="123" t="s">
        <v>2609</v>
      </c>
      <c r="D27" s="123" t="s">
        <v>725</v>
      </c>
      <c r="E27" s="124"/>
      <c r="F27" s="124" t="s">
        <v>725</v>
      </c>
      <c r="G27" s="87"/>
      <c r="H27" s="87"/>
    </row>
    <row r="28" spans="1:8">
      <c r="A28" s="142" t="s">
        <v>2883</v>
      </c>
      <c r="B28" s="124" t="s">
        <v>2923</v>
      </c>
      <c r="C28" s="123" t="s">
        <v>2924</v>
      </c>
      <c r="D28" s="123" t="s">
        <v>725</v>
      </c>
      <c r="E28" s="124"/>
      <c r="F28" s="124" t="s">
        <v>725</v>
      </c>
      <c r="G28" s="87"/>
      <c r="H28" s="87"/>
    </row>
    <row r="29" spans="1:8">
      <c r="A29" s="142" t="s">
        <v>2883</v>
      </c>
      <c r="B29" s="124" t="s">
        <v>805</v>
      </c>
      <c r="C29" s="123" t="s">
        <v>806</v>
      </c>
      <c r="D29" s="123" t="s">
        <v>725</v>
      </c>
      <c r="E29" s="124"/>
      <c r="F29" s="124" t="s">
        <v>725</v>
      </c>
      <c r="G29" s="87"/>
      <c r="H29" s="87"/>
    </row>
    <row r="30" spans="1:8">
      <c r="A30" s="142" t="s">
        <v>2883</v>
      </c>
      <c r="B30" s="124" t="s">
        <v>2807</v>
      </c>
      <c r="C30" s="123" t="s">
        <v>1753</v>
      </c>
      <c r="D30" s="123" t="s">
        <v>2808</v>
      </c>
      <c r="E30" s="124"/>
      <c r="F30" s="123" t="s">
        <v>786</v>
      </c>
      <c r="G30" s="87"/>
      <c r="H30" s="87"/>
    </row>
    <row r="31" spans="1:8">
      <c r="A31" s="142" t="s">
        <v>2883</v>
      </c>
      <c r="B31" s="124" t="s">
        <v>2925</v>
      </c>
      <c r="C31" s="123" t="s">
        <v>2926</v>
      </c>
      <c r="D31" s="123" t="s">
        <v>725</v>
      </c>
      <c r="E31" s="124"/>
      <c r="F31" s="124" t="s">
        <v>725</v>
      </c>
      <c r="G31" s="87"/>
      <c r="H31" s="87"/>
    </row>
    <row r="32" spans="1:8">
      <c r="A32" s="142" t="s">
        <v>2883</v>
      </c>
      <c r="B32" s="124" t="s">
        <v>2927</v>
      </c>
      <c r="C32" s="123" t="s">
        <v>2928</v>
      </c>
      <c r="D32" s="123" t="s">
        <v>725</v>
      </c>
      <c r="E32" s="124"/>
      <c r="F32" s="124" t="s">
        <v>725</v>
      </c>
      <c r="G32" s="87"/>
      <c r="H32" s="87"/>
    </row>
    <row r="33" spans="1:8">
      <c r="A33" s="142" t="s">
        <v>2883</v>
      </c>
      <c r="B33" s="124" t="s">
        <v>2929</v>
      </c>
      <c r="C33" s="123" t="s">
        <v>2930</v>
      </c>
      <c r="D33" s="124" t="s">
        <v>1018</v>
      </c>
      <c r="E33" s="124"/>
      <c r="F33" s="124" t="s">
        <v>786</v>
      </c>
      <c r="G33" s="87"/>
      <c r="H33" s="87"/>
    </row>
    <row r="34" spans="1:8">
      <c r="A34" s="142" t="s">
        <v>2883</v>
      </c>
      <c r="B34" s="124" t="s">
        <v>2931</v>
      </c>
      <c r="C34" s="123" t="s">
        <v>2932</v>
      </c>
      <c r="D34" s="123" t="s">
        <v>725</v>
      </c>
      <c r="E34" s="124"/>
      <c r="F34" s="124" t="s">
        <v>725</v>
      </c>
      <c r="G34" s="87"/>
      <c r="H34" s="87"/>
    </row>
    <row r="35" spans="1:8">
      <c r="A35" s="142" t="s">
        <v>2883</v>
      </c>
      <c r="B35" s="124" t="s">
        <v>2933</v>
      </c>
      <c r="C35" s="123" t="s">
        <v>2934</v>
      </c>
      <c r="D35" s="123" t="s">
        <v>725</v>
      </c>
      <c r="E35" s="124"/>
      <c r="F35" s="124" t="s">
        <v>725</v>
      </c>
      <c r="G35" s="87"/>
      <c r="H35" s="87"/>
    </row>
    <row r="36" spans="1:8">
      <c r="A36" s="142" t="s">
        <v>601</v>
      </c>
      <c r="B36" s="124" t="s">
        <v>2630</v>
      </c>
      <c r="C36" s="123" t="s">
        <v>2684</v>
      </c>
      <c r="D36" s="123" t="s">
        <v>2883</v>
      </c>
      <c r="E36" s="124"/>
      <c r="F36" s="124" t="s">
        <v>2935</v>
      </c>
      <c r="G36" s="142"/>
      <c r="H36" s="87"/>
    </row>
    <row r="37" spans="1:8">
      <c r="A37" s="142" t="s">
        <v>601</v>
      </c>
      <c r="B37" s="124" t="s">
        <v>1655</v>
      </c>
      <c r="C37" s="123" t="s">
        <v>1631</v>
      </c>
      <c r="D37" s="123" t="s">
        <v>2883</v>
      </c>
      <c r="E37" s="124"/>
      <c r="F37" s="124" t="s">
        <v>2936</v>
      </c>
      <c r="G37" s="142"/>
      <c r="H37" s="87"/>
    </row>
    <row r="38" spans="1:8">
      <c r="A38" s="142" t="s">
        <v>601</v>
      </c>
      <c r="B38" s="124" t="s">
        <v>2634</v>
      </c>
      <c r="C38" s="123" t="s">
        <v>1611</v>
      </c>
      <c r="D38" s="124" t="s">
        <v>2635</v>
      </c>
      <c r="E38" s="124"/>
      <c r="F38" s="124" t="s">
        <v>804</v>
      </c>
      <c r="G38" s="142"/>
      <c r="H38" s="87"/>
    </row>
    <row r="39" spans="1:8">
      <c r="A39" s="142" t="s">
        <v>601</v>
      </c>
      <c r="B39" s="124" t="s">
        <v>2637</v>
      </c>
      <c r="C39" s="123" t="s">
        <v>1647</v>
      </c>
      <c r="D39" s="123" t="s">
        <v>725</v>
      </c>
      <c r="E39" s="124"/>
      <c r="F39" s="124" t="s">
        <v>725</v>
      </c>
      <c r="G39" s="87"/>
      <c r="H39" s="87"/>
    </row>
    <row r="40" spans="1:8">
      <c r="A40" s="142" t="s">
        <v>601</v>
      </c>
      <c r="B40" s="124" t="s">
        <v>2723</v>
      </c>
      <c r="C40" s="123" t="s">
        <v>814</v>
      </c>
      <c r="D40" s="123" t="s">
        <v>2724</v>
      </c>
      <c r="E40" s="91"/>
      <c r="F40" s="124" t="s">
        <v>804</v>
      </c>
      <c r="G40" s="87"/>
      <c r="H40" s="87"/>
    </row>
    <row r="41" spans="1:8">
      <c r="A41" s="142" t="s">
        <v>601</v>
      </c>
      <c r="B41" s="124" t="s">
        <v>2725</v>
      </c>
      <c r="C41" s="123" t="s">
        <v>1660</v>
      </c>
      <c r="D41" s="123" t="s">
        <v>725</v>
      </c>
      <c r="E41" s="124"/>
      <c r="F41" s="124" t="s">
        <v>725</v>
      </c>
      <c r="G41" s="87"/>
      <c r="H41" s="87"/>
    </row>
    <row r="42" spans="1:8">
      <c r="A42" s="142" t="s">
        <v>601</v>
      </c>
      <c r="B42" s="124" t="s">
        <v>2726</v>
      </c>
      <c r="C42" s="123" t="s">
        <v>1636</v>
      </c>
      <c r="D42" s="123" t="s">
        <v>725</v>
      </c>
      <c r="E42" s="124"/>
      <c r="F42" s="124" t="s">
        <v>725</v>
      </c>
      <c r="G42" s="87"/>
      <c r="H42" s="87"/>
    </row>
    <row r="43" spans="1:8">
      <c r="A43" s="142" t="s">
        <v>601</v>
      </c>
      <c r="B43" s="124" t="s">
        <v>2727</v>
      </c>
      <c r="C43" s="123" t="s">
        <v>2728</v>
      </c>
      <c r="D43" s="123" t="s">
        <v>725</v>
      </c>
      <c r="E43" s="124"/>
      <c r="F43" s="124" t="s">
        <v>725</v>
      </c>
      <c r="G43" s="87"/>
      <c r="H43" s="87"/>
    </row>
    <row r="44" spans="1:8">
      <c r="A44" s="142" t="s">
        <v>601</v>
      </c>
      <c r="B44" s="124" t="s">
        <v>2729</v>
      </c>
      <c r="C44" s="123" t="s">
        <v>1667</v>
      </c>
      <c r="D44" s="123" t="s">
        <v>725</v>
      </c>
      <c r="E44" s="124"/>
      <c r="F44" s="124" t="s">
        <v>725</v>
      </c>
      <c r="G44" s="87"/>
      <c r="H44" s="87"/>
    </row>
    <row r="45" spans="1:8">
      <c r="A45" s="142" t="s">
        <v>601</v>
      </c>
      <c r="B45" s="124" t="s">
        <v>2730</v>
      </c>
      <c r="C45" s="123" t="s">
        <v>1663</v>
      </c>
      <c r="D45" s="123" t="s">
        <v>725</v>
      </c>
      <c r="E45" s="124"/>
      <c r="F45" s="124" t="s">
        <v>725</v>
      </c>
      <c r="G45" s="87"/>
      <c r="H45" s="87"/>
    </row>
    <row r="46" spans="1:8">
      <c r="A46" s="142" t="s">
        <v>601</v>
      </c>
      <c r="B46" s="124" t="s">
        <v>2731</v>
      </c>
      <c r="C46" s="123" t="s">
        <v>1681</v>
      </c>
      <c r="D46" s="123" t="s">
        <v>725</v>
      </c>
      <c r="E46" s="124"/>
      <c r="F46" s="124" t="s">
        <v>725</v>
      </c>
      <c r="G46" s="87"/>
      <c r="H46" s="87"/>
    </row>
    <row r="47" spans="1:8">
      <c r="A47" s="142" t="s">
        <v>601</v>
      </c>
      <c r="B47" s="124" t="s">
        <v>2732</v>
      </c>
      <c r="C47" s="123" t="s">
        <v>1669</v>
      </c>
      <c r="D47" s="123" t="s">
        <v>725</v>
      </c>
      <c r="E47" s="124"/>
      <c r="F47" s="124" t="s">
        <v>725</v>
      </c>
      <c r="G47" s="87"/>
      <c r="H47" s="87"/>
    </row>
    <row r="48" spans="1:8">
      <c r="A48" s="142" t="s">
        <v>601</v>
      </c>
      <c r="B48" s="124" t="s">
        <v>1865</v>
      </c>
      <c r="C48" s="123" t="s">
        <v>1229</v>
      </c>
      <c r="D48" s="123" t="s">
        <v>725</v>
      </c>
      <c r="E48" s="124"/>
      <c r="F48" s="124" t="s">
        <v>725</v>
      </c>
      <c r="G48" s="87"/>
      <c r="H48" s="87"/>
    </row>
    <row r="49" spans="1:8">
      <c r="A49" s="142" t="s">
        <v>601</v>
      </c>
      <c r="B49" s="124" t="s">
        <v>2734</v>
      </c>
      <c r="C49" s="123" t="s">
        <v>1658</v>
      </c>
      <c r="D49" s="124" t="s">
        <v>1018</v>
      </c>
      <c r="E49" s="124"/>
      <c r="F49" s="124" t="s">
        <v>786</v>
      </c>
      <c r="G49" s="87"/>
      <c r="H49" s="87"/>
    </row>
    <row r="50" spans="1:8">
      <c r="A50" s="142" t="s">
        <v>601</v>
      </c>
      <c r="B50" s="124" t="s">
        <v>797</v>
      </c>
      <c r="C50" s="123" t="s">
        <v>2735</v>
      </c>
      <c r="D50" s="123" t="s">
        <v>725</v>
      </c>
      <c r="E50" s="124"/>
      <c r="F50" s="124" t="s">
        <v>725</v>
      </c>
      <c r="G50" s="87"/>
      <c r="H50" s="87"/>
    </row>
    <row r="51" spans="1:8">
      <c r="A51" s="142" t="s">
        <v>601</v>
      </c>
      <c r="B51" s="124" t="s">
        <v>2736</v>
      </c>
      <c r="C51" s="123" t="s">
        <v>1685</v>
      </c>
      <c r="D51" s="123" t="s">
        <v>725</v>
      </c>
      <c r="E51" s="124"/>
      <c r="F51" s="124" t="s">
        <v>725</v>
      </c>
      <c r="G51" s="87"/>
      <c r="H51" s="87"/>
    </row>
    <row r="52" spans="1:8">
      <c r="A52" s="142" t="s">
        <v>601</v>
      </c>
      <c r="B52" s="124" t="s">
        <v>2737</v>
      </c>
      <c r="C52" s="123" t="s">
        <v>1679</v>
      </c>
      <c r="D52" s="123" t="s">
        <v>725</v>
      </c>
      <c r="E52" s="124"/>
      <c r="F52" s="124" t="s">
        <v>725</v>
      </c>
      <c r="G52" s="87"/>
      <c r="H52" s="87"/>
    </row>
    <row r="53" spans="1:8">
      <c r="A53" s="142" t="s">
        <v>601</v>
      </c>
      <c r="B53" s="124" t="s">
        <v>2738</v>
      </c>
      <c r="C53" s="123" t="s">
        <v>1671</v>
      </c>
      <c r="D53" s="123" t="s">
        <v>725</v>
      </c>
      <c r="E53" s="124"/>
      <c r="F53" s="124" t="s">
        <v>725</v>
      </c>
      <c r="G53" s="87"/>
      <c r="H53" s="87"/>
    </row>
    <row r="54" spans="1:8">
      <c r="A54" s="142" t="s">
        <v>601</v>
      </c>
      <c r="B54" s="124" t="s">
        <v>2739</v>
      </c>
      <c r="C54" s="123" t="s">
        <v>1675</v>
      </c>
      <c r="D54" s="123" t="s">
        <v>725</v>
      </c>
      <c r="E54" s="124"/>
      <c r="F54" s="124" t="s">
        <v>725</v>
      </c>
      <c r="G54" s="87"/>
      <c r="H54" s="87"/>
    </row>
    <row r="55" spans="1:8">
      <c r="A55" s="142" t="s">
        <v>601</v>
      </c>
      <c r="B55" s="124" t="s">
        <v>2740</v>
      </c>
      <c r="C55" s="123" t="s">
        <v>1673</v>
      </c>
      <c r="D55" s="123" t="s">
        <v>725</v>
      </c>
      <c r="E55" s="124"/>
      <c r="F55" s="124" t="s">
        <v>725</v>
      </c>
      <c r="G55" s="87"/>
      <c r="H55" s="87"/>
    </row>
    <row r="56" spans="1:8">
      <c r="A56" s="142" t="s">
        <v>601</v>
      </c>
      <c r="B56" s="124" t="s">
        <v>2741</v>
      </c>
      <c r="C56" s="123" t="s">
        <v>1651</v>
      </c>
      <c r="D56" s="123" t="s">
        <v>725</v>
      </c>
      <c r="E56" s="124"/>
      <c r="F56" s="124" t="s">
        <v>725</v>
      </c>
      <c r="G56" s="87"/>
      <c r="H56" s="87"/>
    </row>
    <row r="57" spans="1:8">
      <c r="A57" s="142" t="s">
        <v>601</v>
      </c>
      <c r="B57" s="124" t="s">
        <v>817</v>
      </c>
      <c r="C57" s="123" t="s">
        <v>818</v>
      </c>
      <c r="D57" s="123" t="s">
        <v>725</v>
      </c>
      <c r="E57" s="124"/>
      <c r="F57" s="124" t="s">
        <v>725</v>
      </c>
      <c r="G57" s="87"/>
      <c r="H57" s="87"/>
    </row>
    <row r="58" spans="1:8">
      <c r="A58" s="142" t="s">
        <v>601</v>
      </c>
      <c r="B58" s="124" t="s">
        <v>820</v>
      </c>
      <c r="C58" s="123" t="s">
        <v>821</v>
      </c>
      <c r="D58" s="123" t="s">
        <v>725</v>
      </c>
      <c r="E58" s="124"/>
      <c r="F58" s="124" t="s">
        <v>725</v>
      </c>
      <c r="G58" s="87"/>
      <c r="H58" s="87"/>
    </row>
    <row r="59" spans="1:8">
      <c r="A59" s="142" t="s">
        <v>601</v>
      </c>
      <c r="B59" s="124" t="s">
        <v>805</v>
      </c>
      <c r="C59" s="123" t="s">
        <v>806</v>
      </c>
      <c r="D59" s="123" t="s">
        <v>725</v>
      </c>
      <c r="E59" s="124"/>
      <c r="F59" s="124" t="s">
        <v>725</v>
      </c>
      <c r="G59" s="87"/>
      <c r="H59" s="87"/>
    </row>
    <row r="60" spans="1:8">
      <c r="A60" s="142" t="s">
        <v>2937</v>
      </c>
      <c r="B60" s="124" t="s">
        <v>2884</v>
      </c>
      <c r="C60" s="123" t="s">
        <v>2885</v>
      </c>
      <c r="D60" s="124" t="s">
        <v>2886</v>
      </c>
      <c r="E60" s="124"/>
      <c r="F60" s="124" t="s">
        <v>804</v>
      </c>
      <c r="G60" s="87"/>
      <c r="H60" s="87"/>
    </row>
    <row r="61" spans="1:8" ht="102">
      <c r="A61" s="142" t="s">
        <v>2937</v>
      </c>
      <c r="B61" s="124" t="s">
        <v>2726</v>
      </c>
      <c r="C61" s="123" t="s">
        <v>1636</v>
      </c>
      <c r="D61" s="124" t="s">
        <v>2887</v>
      </c>
      <c r="E61" s="124" t="s">
        <v>2496</v>
      </c>
      <c r="F61" s="185" t="s">
        <v>2888</v>
      </c>
      <c r="G61" s="87"/>
      <c r="H61" s="87"/>
    </row>
    <row r="62" spans="1:8">
      <c r="A62" s="142" t="s">
        <v>2937</v>
      </c>
      <c r="B62" s="124" t="s">
        <v>2889</v>
      </c>
      <c r="C62" s="123" t="s">
        <v>2890</v>
      </c>
      <c r="D62" s="123" t="s">
        <v>601</v>
      </c>
      <c r="E62" s="124"/>
      <c r="F62" s="124" t="s">
        <v>786</v>
      </c>
      <c r="G62" s="87"/>
      <c r="H62" s="87"/>
    </row>
    <row r="63" spans="1:8">
      <c r="A63" s="142" t="s">
        <v>2937</v>
      </c>
      <c r="B63" s="124" t="s">
        <v>2891</v>
      </c>
      <c r="C63" s="123" t="s">
        <v>2892</v>
      </c>
      <c r="D63" s="124" t="s">
        <v>1018</v>
      </c>
      <c r="E63" s="124" t="s">
        <v>2938</v>
      </c>
      <c r="F63" s="124" t="s">
        <v>786</v>
      </c>
      <c r="G63" s="87"/>
      <c r="H63" s="87"/>
    </row>
    <row r="64" spans="1:8">
      <c r="A64" s="142" t="s">
        <v>2937</v>
      </c>
      <c r="B64" s="124" t="s">
        <v>2894</v>
      </c>
      <c r="C64" s="123" t="s">
        <v>2895</v>
      </c>
      <c r="D64" s="124" t="s">
        <v>725</v>
      </c>
      <c r="E64" s="124"/>
      <c r="F64" s="124" t="s">
        <v>725</v>
      </c>
      <c r="G64" s="87"/>
      <c r="H64" s="87"/>
    </row>
    <row r="65" spans="1:8">
      <c r="A65" s="142" t="s">
        <v>2937</v>
      </c>
      <c r="B65" s="124" t="s">
        <v>2896</v>
      </c>
      <c r="C65" s="123" t="s">
        <v>2897</v>
      </c>
      <c r="D65" s="124" t="s">
        <v>2898</v>
      </c>
      <c r="E65" s="124"/>
      <c r="F65" s="124" t="s">
        <v>786</v>
      </c>
      <c r="G65" s="87"/>
      <c r="H65" s="87"/>
    </row>
    <row r="66" spans="1:8">
      <c r="A66" s="142" t="s">
        <v>2937</v>
      </c>
      <c r="B66" s="124" t="s">
        <v>2899</v>
      </c>
      <c r="C66" s="123" t="s">
        <v>1205</v>
      </c>
      <c r="D66" s="123" t="s">
        <v>2939</v>
      </c>
      <c r="E66" s="124"/>
      <c r="F66" s="124" t="s">
        <v>786</v>
      </c>
      <c r="G66" s="87"/>
      <c r="H66" s="87"/>
    </row>
    <row r="67" spans="1:8">
      <c r="A67" s="142" t="s">
        <v>2937</v>
      </c>
      <c r="B67" s="124" t="s">
        <v>2900</v>
      </c>
      <c r="C67" s="123" t="s">
        <v>2901</v>
      </c>
      <c r="D67" s="123" t="s">
        <v>725</v>
      </c>
      <c r="E67" s="124"/>
      <c r="F67" s="124" t="s">
        <v>725</v>
      </c>
      <c r="G67" s="87"/>
      <c r="H67" s="87"/>
    </row>
    <row r="68" spans="1:8">
      <c r="A68" s="142" t="s">
        <v>2937</v>
      </c>
      <c r="B68" s="124" t="s">
        <v>797</v>
      </c>
      <c r="C68" s="123" t="s">
        <v>798</v>
      </c>
      <c r="D68" s="123" t="s">
        <v>725</v>
      </c>
      <c r="E68" s="124"/>
      <c r="F68" s="124" t="s">
        <v>725</v>
      </c>
      <c r="G68" s="87"/>
      <c r="H68" s="87"/>
    </row>
    <row r="69" spans="1:8">
      <c r="A69" s="142" t="s">
        <v>2937</v>
      </c>
      <c r="B69" s="124" t="s">
        <v>2902</v>
      </c>
      <c r="C69" s="123" t="s">
        <v>2903</v>
      </c>
      <c r="D69" s="123" t="s">
        <v>725</v>
      </c>
      <c r="E69" s="124"/>
      <c r="F69" s="124" t="s">
        <v>725</v>
      </c>
      <c r="G69" s="87"/>
      <c r="H69" s="87"/>
    </row>
    <row r="70" spans="1:8">
      <c r="A70" s="142" t="s">
        <v>2937</v>
      </c>
      <c r="B70" s="124" t="s">
        <v>2904</v>
      </c>
      <c r="C70" s="123" t="s">
        <v>2905</v>
      </c>
      <c r="D70" s="123" t="s">
        <v>725</v>
      </c>
      <c r="E70" s="124"/>
      <c r="F70" s="124" t="s">
        <v>725</v>
      </c>
      <c r="G70" s="87"/>
      <c r="H70" s="87"/>
    </row>
    <row r="71" spans="1:8">
      <c r="A71" s="142" t="s">
        <v>2937</v>
      </c>
      <c r="B71" s="124" t="s">
        <v>2906</v>
      </c>
      <c r="C71" s="123" t="s">
        <v>2907</v>
      </c>
      <c r="D71" s="123" t="s">
        <v>725</v>
      </c>
      <c r="E71" s="124"/>
      <c r="F71" s="124" t="s">
        <v>725</v>
      </c>
      <c r="G71" s="87"/>
      <c r="H71" s="87"/>
    </row>
    <row r="72" spans="1:8" ht="38.25">
      <c r="A72" s="142" t="s">
        <v>2937</v>
      </c>
      <c r="B72" s="124" t="s">
        <v>2908</v>
      </c>
      <c r="C72" s="123" t="s">
        <v>2909</v>
      </c>
      <c r="D72" s="92" t="s">
        <v>2666</v>
      </c>
      <c r="E72" s="91"/>
      <c r="F72" s="92" t="s">
        <v>804</v>
      </c>
      <c r="G72" s="87"/>
      <c r="H72" s="87"/>
    </row>
    <row r="73" spans="1:8">
      <c r="A73" s="142" t="s">
        <v>2937</v>
      </c>
      <c r="B73" s="124" t="s">
        <v>2910</v>
      </c>
      <c r="C73" s="123" t="s">
        <v>2911</v>
      </c>
      <c r="D73" s="123" t="s">
        <v>725</v>
      </c>
      <c r="E73" s="124"/>
      <c r="F73" s="124" t="s">
        <v>725</v>
      </c>
      <c r="G73" s="87"/>
      <c r="H73" s="87"/>
    </row>
    <row r="74" spans="1:8">
      <c r="A74" s="142" t="s">
        <v>2937</v>
      </c>
      <c r="B74" s="124" t="s">
        <v>2912</v>
      </c>
      <c r="C74" s="123" t="s">
        <v>2913</v>
      </c>
      <c r="D74" s="123" t="s">
        <v>725</v>
      </c>
      <c r="E74" s="124"/>
      <c r="F74" s="124" t="s">
        <v>725</v>
      </c>
      <c r="G74" s="87"/>
      <c r="H74" s="87"/>
    </row>
    <row r="75" spans="1:8">
      <c r="A75" s="142" t="s">
        <v>2937</v>
      </c>
      <c r="B75" s="124" t="s">
        <v>2914</v>
      </c>
      <c r="C75" s="123" t="s">
        <v>2915</v>
      </c>
      <c r="D75" s="123" t="s">
        <v>725</v>
      </c>
      <c r="E75" s="124"/>
      <c r="F75" s="124" t="s">
        <v>725</v>
      </c>
      <c r="G75" s="87"/>
      <c r="H75" s="87"/>
    </row>
    <row r="76" spans="1:8">
      <c r="A76" s="142" t="s">
        <v>2937</v>
      </c>
      <c r="B76" s="124" t="s">
        <v>2916</v>
      </c>
      <c r="C76" s="123" t="s">
        <v>2917</v>
      </c>
      <c r="D76" s="123" t="s">
        <v>725</v>
      </c>
      <c r="E76" s="124"/>
      <c r="F76" s="124" t="s">
        <v>725</v>
      </c>
      <c r="G76" s="87"/>
      <c r="H76" s="87"/>
    </row>
    <row r="77" spans="1:8">
      <c r="A77" s="142" t="s">
        <v>2937</v>
      </c>
      <c r="B77" s="124" t="s">
        <v>2918</v>
      </c>
      <c r="C77" s="123" t="s">
        <v>2919</v>
      </c>
      <c r="D77" s="123" t="s">
        <v>725</v>
      </c>
      <c r="E77" s="124"/>
      <c r="F77" s="124" t="s">
        <v>725</v>
      </c>
      <c r="G77" s="87"/>
      <c r="H77" s="87"/>
    </row>
    <row r="78" spans="1:8">
      <c r="A78" s="142" t="s">
        <v>2937</v>
      </c>
      <c r="B78" s="124" t="s">
        <v>2920</v>
      </c>
      <c r="C78" s="123" t="s">
        <v>2921</v>
      </c>
      <c r="D78" s="123" t="s">
        <v>725</v>
      </c>
      <c r="E78" s="124"/>
      <c r="F78" s="124" t="s">
        <v>725</v>
      </c>
      <c r="G78" s="87"/>
      <c r="H78" s="87"/>
    </row>
    <row r="79" spans="1:8">
      <c r="A79" s="142" t="s">
        <v>2937</v>
      </c>
      <c r="B79" s="124" t="s">
        <v>2630</v>
      </c>
      <c r="C79" s="123" t="s">
        <v>2684</v>
      </c>
      <c r="D79" s="123" t="s">
        <v>725</v>
      </c>
      <c r="E79" s="124"/>
      <c r="F79" s="124" t="s">
        <v>725</v>
      </c>
      <c r="G79" s="87"/>
      <c r="H79" s="87"/>
    </row>
    <row r="80" spans="1:8">
      <c r="A80" s="142" t="s">
        <v>2937</v>
      </c>
      <c r="B80" s="124" t="s">
        <v>2922</v>
      </c>
      <c r="C80" s="123" t="s">
        <v>2609</v>
      </c>
      <c r="D80" s="123" t="s">
        <v>725</v>
      </c>
      <c r="E80" s="124"/>
      <c r="F80" s="124" t="s">
        <v>725</v>
      </c>
      <c r="G80" s="87"/>
      <c r="H80" s="87"/>
    </row>
    <row r="81" spans="1:8">
      <c r="A81" s="142" t="s">
        <v>2937</v>
      </c>
      <c r="B81" s="124" t="s">
        <v>2923</v>
      </c>
      <c r="C81" s="123" t="s">
        <v>2924</v>
      </c>
      <c r="D81" s="123" t="s">
        <v>725</v>
      </c>
      <c r="E81" s="124"/>
      <c r="F81" s="124" t="s">
        <v>725</v>
      </c>
      <c r="G81" s="87"/>
      <c r="H81" s="87"/>
    </row>
    <row r="82" spans="1:8">
      <c r="A82" s="142" t="s">
        <v>2937</v>
      </c>
      <c r="B82" s="124" t="s">
        <v>805</v>
      </c>
      <c r="C82" s="123" t="s">
        <v>806</v>
      </c>
      <c r="D82" s="123" t="s">
        <v>725</v>
      </c>
      <c r="E82" s="124"/>
      <c r="F82" s="124" t="s">
        <v>725</v>
      </c>
      <c r="G82" s="87"/>
      <c r="H82" s="87"/>
    </row>
    <row r="83" spans="1:8">
      <c r="A83" s="142" t="s">
        <v>2937</v>
      </c>
      <c r="B83" s="124" t="s">
        <v>2807</v>
      </c>
      <c r="C83" s="123" t="s">
        <v>1753</v>
      </c>
      <c r="D83" s="123" t="s">
        <v>2808</v>
      </c>
      <c r="E83" s="124"/>
      <c r="F83" s="123" t="s">
        <v>786</v>
      </c>
      <c r="G83" s="87"/>
      <c r="H83" s="87"/>
    </row>
    <row r="84" spans="1:8">
      <c r="A84" s="142" t="s">
        <v>2937</v>
      </c>
      <c r="B84" s="124" t="s">
        <v>2925</v>
      </c>
      <c r="C84" s="123" t="s">
        <v>2926</v>
      </c>
      <c r="D84" s="123" t="s">
        <v>725</v>
      </c>
      <c r="E84" s="124"/>
      <c r="F84" s="124" t="s">
        <v>725</v>
      </c>
      <c r="G84" s="87"/>
      <c r="H84" s="87"/>
    </row>
    <row r="85" spans="1:8">
      <c r="A85" s="142" t="s">
        <v>2937</v>
      </c>
      <c r="B85" s="124" t="s">
        <v>2927</v>
      </c>
      <c r="C85" s="123" t="s">
        <v>2928</v>
      </c>
      <c r="D85" s="123" t="s">
        <v>725</v>
      </c>
      <c r="E85" s="124"/>
      <c r="F85" s="124" t="s">
        <v>725</v>
      </c>
      <c r="G85" s="87"/>
      <c r="H85" s="87"/>
    </row>
    <row r="86" spans="1:8">
      <c r="A86" s="142" t="s">
        <v>2937</v>
      </c>
      <c r="B86" s="124" t="s">
        <v>2929</v>
      </c>
      <c r="C86" s="123" t="s">
        <v>2930</v>
      </c>
      <c r="D86" s="124" t="s">
        <v>1018</v>
      </c>
      <c r="E86" s="124"/>
      <c r="F86" s="124" t="s">
        <v>786</v>
      </c>
      <c r="G86" s="87"/>
      <c r="H86" s="87"/>
    </row>
    <row r="87" spans="1:8">
      <c r="A87" s="142" t="s">
        <v>2937</v>
      </c>
      <c r="B87" s="124" t="s">
        <v>2931</v>
      </c>
      <c r="C87" s="123" t="s">
        <v>2932</v>
      </c>
      <c r="D87" s="123" t="s">
        <v>725</v>
      </c>
      <c r="E87" s="124"/>
      <c r="F87" s="124" t="s">
        <v>725</v>
      </c>
      <c r="G87" s="87"/>
      <c r="H87" s="87"/>
    </row>
    <row r="88" spans="1:8">
      <c r="A88" s="142" t="s">
        <v>2937</v>
      </c>
      <c r="B88" s="124" t="s">
        <v>2933</v>
      </c>
      <c r="C88" s="123" t="s">
        <v>2934</v>
      </c>
      <c r="D88" s="123" t="s">
        <v>725</v>
      </c>
      <c r="E88" s="124"/>
      <c r="F88" s="124" t="s">
        <v>725</v>
      </c>
      <c r="G88" s="87"/>
      <c r="H88" s="87"/>
    </row>
    <row r="89" spans="1:8">
      <c r="A89" s="142" t="s">
        <v>2940</v>
      </c>
      <c r="B89" s="124" t="s">
        <v>2941</v>
      </c>
      <c r="C89" s="123" t="s">
        <v>2942</v>
      </c>
      <c r="D89" s="123" t="s">
        <v>725</v>
      </c>
      <c r="E89" s="124"/>
      <c r="F89" s="124" t="s">
        <v>725</v>
      </c>
      <c r="G89" s="87"/>
      <c r="H89" s="87"/>
    </row>
    <row r="90" spans="1:8">
      <c r="A90" s="142" t="s">
        <v>2940</v>
      </c>
      <c r="B90" s="124" t="s">
        <v>2943</v>
      </c>
      <c r="C90" s="123" t="s">
        <v>2606</v>
      </c>
      <c r="D90" s="123" t="s">
        <v>2937</v>
      </c>
      <c r="E90" s="124"/>
      <c r="F90" s="124" t="s">
        <v>2936</v>
      </c>
      <c r="G90" s="142"/>
      <c r="H90" s="87"/>
    </row>
    <row r="91" spans="1:8">
      <c r="A91" s="142" t="s">
        <v>2940</v>
      </c>
      <c r="B91" s="124" t="s">
        <v>2726</v>
      </c>
      <c r="C91" s="123" t="s">
        <v>1636</v>
      </c>
      <c r="D91" s="123" t="s">
        <v>725</v>
      </c>
      <c r="E91" s="124"/>
      <c r="F91" s="124" t="s">
        <v>725</v>
      </c>
      <c r="G91" s="87"/>
      <c r="H91" s="87"/>
    </row>
    <row r="92" spans="1:8" ht="25.5">
      <c r="A92" s="142" t="s">
        <v>2940</v>
      </c>
      <c r="B92" s="124" t="s">
        <v>2944</v>
      </c>
      <c r="C92" s="123" t="s">
        <v>2945</v>
      </c>
      <c r="D92" s="124" t="s">
        <v>2946</v>
      </c>
      <c r="E92" s="124"/>
      <c r="F92" s="124" t="s">
        <v>2947</v>
      </c>
      <c r="G92" s="87"/>
      <c r="H92" s="87"/>
    </row>
    <row r="93" spans="1:8">
      <c r="A93" s="142" t="s">
        <v>2940</v>
      </c>
      <c r="B93" s="124" t="s">
        <v>2948</v>
      </c>
      <c r="C93" s="123" t="s">
        <v>2949</v>
      </c>
      <c r="D93" s="124" t="s">
        <v>1018</v>
      </c>
      <c r="E93" s="124"/>
      <c r="F93" s="124" t="s">
        <v>786</v>
      </c>
      <c r="G93" s="87"/>
      <c r="H93" s="87"/>
    </row>
    <row r="94" spans="1:8">
      <c r="A94" s="142" t="s">
        <v>2940</v>
      </c>
      <c r="B94" s="124" t="s">
        <v>2950</v>
      </c>
      <c r="C94" s="123" t="s">
        <v>2951</v>
      </c>
      <c r="D94" s="123" t="s">
        <v>725</v>
      </c>
      <c r="E94" s="124"/>
      <c r="F94" s="124" t="s">
        <v>725</v>
      </c>
      <c r="G94" s="87"/>
      <c r="H94" s="87"/>
    </row>
    <row r="95" spans="1:8">
      <c r="A95" s="142" t="s">
        <v>2940</v>
      </c>
      <c r="B95" s="124" t="s">
        <v>2723</v>
      </c>
      <c r="C95" s="123" t="s">
        <v>814</v>
      </c>
      <c r="D95" s="123" t="s">
        <v>2952</v>
      </c>
      <c r="E95" s="124"/>
      <c r="F95" s="124" t="s">
        <v>804</v>
      </c>
      <c r="G95" s="87"/>
      <c r="H95" s="87"/>
    </row>
    <row r="96" spans="1:8">
      <c r="A96" s="142" t="s">
        <v>2940</v>
      </c>
      <c r="B96" s="124" t="s">
        <v>2953</v>
      </c>
      <c r="C96" s="123" t="s">
        <v>2895</v>
      </c>
      <c r="D96" s="123" t="s">
        <v>725</v>
      </c>
      <c r="E96" s="124"/>
      <c r="F96" s="124" t="s">
        <v>725</v>
      </c>
      <c r="G96" s="87"/>
      <c r="H96" s="87"/>
    </row>
    <row r="97" spans="1:8">
      <c r="A97" s="142" t="s">
        <v>2940</v>
      </c>
      <c r="B97" s="124" t="s">
        <v>2954</v>
      </c>
      <c r="C97" s="123" t="s">
        <v>2955</v>
      </c>
      <c r="D97" s="123" t="s">
        <v>725</v>
      </c>
      <c r="E97" s="124"/>
      <c r="F97" s="124" t="s">
        <v>725</v>
      </c>
      <c r="G97" s="87"/>
      <c r="H97" s="87"/>
    </row>
    <row r="98" spans="1:8">
      <c r="A98" s="142" t="s">
        <v>2940</v>
      </c>
      <c r="B98" s="124" t="s">
        <v>2807</v>
      </c>
      <c r="C98" s="123" t="s">
        <v>1753</v>
      </c>
      <c r="D98" s="123" t="s">
        <v>2808</v>
      </c>
      <c r="E98" s="124"/>
      <c r="F98" s="123" t="s">
        <v>786</v>
      </c>
      <c r="G98" s="87"/>
      <c r="H98" s="87"/>
    </row>
    <row r="99" spans="1:8">
      <c r="A99" s="142" t="s">
        <v>2940</v>
      </c>
      <c r="B99" s="124" t="s">
        <v>857</v>
      </c>
      <c r="C99" s="123" t="s">
        <v>858</v>
      </c>
      <c r="D99" s="123" t="s">
        <v>725</v>
      </c>
      <c r="E99" s="124"/>
      <c r="F99" s="124" t="s">
        <v>725</v>
      </c>
      <c r="G99" s="87"/>
      <c r="H99" s="87"/>
    </row>
    <row r="100" spans="1:8">
      <c r="A100" s="142" t="s">
        <v>2940</v>
      </c>
      <c r="B100" s="124" t="s">
        <v>2956</v>
      </c>
      <c r="C100" s="123" t="s">
        <v>2957</v>
      </c>
      <c r="D100" s="123" t="s">
        <v>725</v>
      </c>
      <c r="E100" s="124"/>
      <c r="F100" s="124" t="s">
        <v>725</v>
      </c>
      <c r="G100" s="87"/>
      <c r="H100" s="87"/>
    </row>
    <row r="101" spans="1:8">
      <c r="A101" s="142" t="s">
        <v>2940</v>
      </c>
      <c r="B101" s="124" t="s">
        <v>2836</v>
      </c>
      <c r="C101" s="123" t="s">
        <v>2837</v>
      </c>
      <c r="D101" s="123" t="s">
        <v>725</v>
      </c>
      <c r="E101" s="124"/>
      <c r="F101" s="124" t="s">
        <v>725</v>
      </c>
      <c r="G101" s="87"/>
      <c r="H101" s="87"/>
    </row>
    <row r="102" spans="1:8">
      <c r="A102" s="142" t="s">
        <v>2940</v>
      </c>
      <c r="B102" s="124" t="s">
        <v>2958</v>
      </c>
      <c r="C102" s="123" t="s">
        <v>2959</v>
      </c>
      <c r="D102" s="123" t="s">
        <v>725</v>
      </c>
      <c r="E102" s="124"/>
      <c r="F102" s="124" t="s">
        <v>725</v>
      </c>
      <c r="G102" s="87"/>
      <c r="H102" s="87"/>
    </row>
    <row r="103" spans="1:8">
      <c r="A103" s="142" t="s">
        <v>2940</v>
      </c>
      <c r="B103" s="124" t="s">
        <v>2599</v>
      </c>
      <c r="C103" s="123" t="s">
        <v>2960</v>
      </c>
      <c r="D103" s="123" t="s">
        <v>725</v>
      </c>
      <c r="E103" s="124"/>
      <c r="F103" s="124" t="s">
        <v>725</v>
      </c>
      <c r="G103" s="87"/>
      <c r="H103" s="87"/>
    </row>
    <row r="104" spans="1:8">
      <c r="A104" s="142" t="s">
        <v>2940</v>
      </c>
      <c r="B104" s="124" t="s">
        <v>817</v>
      </c>
      <c r="C104" s="123" t="s">
        <v>818</v>
      </c>
      <c r="D104" s="123" t="s">
        <v>725</v>
      </c>
      <c r="E104" s="91"/>
      <c r="F104" s="123" t="s">
        <v>725</v>
      </c>
      <c r="G104" s="87"/>
      <c r="H104" s="87"/>
    </row>
    <row r="105" spans="1:8">
      <c r="A105" s="142" t="s">
        <v>2940</v>
      </c>
      <c r="B105" s="124" t="s">
        <v>820</v>
      </c>
      <c r="C105" s="123" t="s">
        <v>821</v>
      </c>
      <c r="D105" s="123" t="s">
        <v>725</v>
      </c>
      <c r="E105" s="91"/>
      <c r="F105" s="123" t="s">
        <v>725</v>
      </c>
      <c r="G105" s="87"/>
      <c r="H105" s="87"/>
    </row>
    <row r="106" spans="1:8">
      <c r="A106" s="142" t="s">
        <v>2940</v>
      </c>
      <c r="B106" s="124" t="s">
        <v>805</v>
      </c>
      <c r="C106" s="123" t="s">
        <v>806</v>
      </c>
      <c r="D106" s="123" t="s">
        <v>725</v>
      </c>
      <c r="E106" s="91"/>
      <c r="F106" s="123" t="s">
        <v>725</v>
      </c>
      <c r="G106" s="87"/>
      <c r="H106" s="87"/>
    </row>
    <row r="107" spans="1:8">
      <c r="A107" s="142" t="s">
        <v>2961</v>
      </c>
      <c r="B107" s="124" t="s">
        <v>2884</v>
      </c>
      <c r="C107" s="123" t="s">
        <v>2885</v>
      </c>
      <c r="D107" s="124" t="s">
        <v>2886</v>
      </c>
      <c r="E107" s="124"/>
      <c r="F107" s="124" t="s">
        <v>804</v>
      </c>
      <c r="G107" s="87"/>
      <c r="H107" s="87"/>
    </row>
    <row r="108" spans="1:8" ht="102">
      <c r="A108" s="142" t="s">
        <v>2961</v>
      </c>
      <c r="B108" s="124" t="s">
        <v>2726</v>
      </c>
      <c r="C108" s="123" t="s">
        <v>1636</v>
      </c>
      <c r="D108" s="124" t="s">
        <v>2887</v>
      </c>
      <c r="E108" s="124" t="s">
        <v>2496</v>
      </c>
      <c r="F108" s="185" t="s">
        <v>2888</v>
      </c>
      <c r="G108" s="87"/>
      <c r="H108" s="87"/>
    </row>
    <row r="109" spans="1:8">
      <c r="A109" s="142" t="s">
        <v>2961</v>
      </c>
      <c r="B109" s="124" t="s">
        <v>2889</v>
      </c>
      <c r="C109" s="123" t="s">
        <v>2890</v>
      </c>
      <c r="D109" s="123" t="s">
        <v>601</v>
      </c>
      <c r="E109" s="124"/>
      <c r="F109" s="124" t="s">
        <v>786</v>
      </c>
      <c r="G109" s="87"/>
      <c r="H109" s="87"/>
    </row>
    <row r="110" spans="1:8">
      <c r="A110" s="142" t="s">
        <v>2961</v>
      </c>
      <c r="B110" s="124" t="s">
        <v>2891</v>
      </c>
      <c r="C110" s="123" t="s">
        <v>2892</v>
      </c>
      <c r="D110" s="124" t="s">
        <v>1018</v>
      </c>
      <c r="E110" s="124" t="s">
        <v>2962</v>
      </c>
      <c r="F110" s="124" t="s">
        <v>786</v>
      </c>
      <c r="G110" s="87"/>
      <c r="H110" s="87"/>
    </row>
    <row r="111" spans="1:8">
      <c r="A111" s="142" t="s">
        <v>2961</v>
      </c>
      <c r="B111" s="124" t="s">
        <v>2894</v>
      </c>
      <c r="C111" s="123" t="s">
        <v>2895</v>
      </c>
      <c r="D111" s="124" t="s">
        <v>725</v>
      </c>
      <c r="E111" s="124"/>
      <c r="F111" s="124" t="s">
        <v>725</v>
      </c>
      <c r="G111" s="87"/>
      <c r="H111" s="87"/>
    </row>
    <row r="112" spans="1:8">
      <c r="A112" s="142" t="s">
        <v>2961</v>
      </c>
      <c r="B112" s="124" t="s">
        <v>2896</v>
      </c>
      <c r="C112" s="123" t="s">
        <v>2897</v>
      </c>
      <c r="D112" s="124" t="s">
        <v>2898</v>
      </c>
      <c r="E112" s="124"/>
      <c r="F112" s="124" t="s">
        <v>786</v>
      </c>
      <c r="G112" s="87"/>
      <c r="H112" s="87"/>
    </row>
    <row r="113" spans="1:8">
      <c r="A113" s="142" t="s">
        <v>2961</v>
      </c>
      <c r="B113" s="124" t="s">
        <v>2899</v>
      </c>
      <c r="C113" s="123" t="s">
        <v>1205</v>
      </c>
      <c r="D113" s="123" t="s">
        <v>2939</v>
      </c>
      <c r="E113" s="124"/>
      <c r="F113" s="124" t="s">
        <v>786</v>
      </c>
      <c r="G113" s="87"/>
      <c r="H113" s="87"/>
    </row>
    <row r="114" spans="1:8">
      <c r="A114" s="142" t="s">
        <v>2961</v>
      </c>
      <c r="B114" s="124" t="s">
        <v>2900</v>
      </c>
      <c r="C114" s="123" t="s">
        <v>2901</v>
      </c>
      <c r="D114" s="123" t="s">
        <v>725</v>
      </c>
      <c r="E114" s="124"/>
      <c r="F114" s="124" t="s">
        <v>725</v>
      </c>
      <c r="G114" s="87"/>
      <c r="H114" s="87"/>
    </row>
    <row r="115" spans="1:8">
      <c r="A115" s="142" t="s">
        <v>2961</v>
      </c>
      <c r="B115" s="124" t="s">
        <v>797</v>
      </c>
      <c r="C115" s="123" t="s">
        <v>798</v>
      </c>
      <c r="D115" s="123" t="s">
        <v>725</v>
      </c>
      <c r="E115" s="124"/>
      <c r="F115" s="124" t="s">
        <v>725</v>
      </c>
      <c r="G115" s="87"/>
      <c r="H115" s="87"/>
    </row>
    <row r="116" spans="1:8">
      <c r="A116" s="142" t="s">
        <v>2961</v>
      </c>
      <c r="B116" s="124" t="s">
        <v>2902</v>
      </c>
      <c r="C116" s="123" t="s">
        <v>2903</v>
      </c>
      <c r="D116" s="123" t="s">
        <v>725</v>
      </c>
      <c r="E116" s="124"/>
      <c r="F116" s="124" t="s">
        <v>725</v>
      </c>
      <c r="G116" s="87"/>
      <c r="H116" s="87"/>
    </row>
    <row r="117" spans="1:8">
      <c r="A117" s="142" t="s">
        <v>2961</v>
      </c>
      <c r="B117" s="124" t="s">
        <v>2904</v>
      </c>
      <c r="C117" s="123" t="s">
        <v>2905</v>
      </c>
      <c r="D117" s="123" t="s">
        <v>725</v>
      </c>
      <c r="E117" s="124"/>
      <c r="F117" s="124" t="s">
        <v>725</v>
      </c>
      <c r="G117" s="87"/>
      <c r="H117" s="87"/>
    </row>
    <row r="118" spans="1:8">
      <c r="A118" s="142" t="s">
        <v>2961</v>
      </c>
      <c r="B118" s="124" t="s">
        <v>2906</v>
      </c>
      <c r="C118" s="123" t="s">
        <v>2907</v>
      </c>
      <c r="D118" s="123" t="s">
        <v>725</v>
      </c>
      <c r="E118" s="124"/>
      <c r="F118" s="124" t="s">
        <v>725</v>
      </c>
      <c r="G118" s="87"/>
      <c r="H118" s="87"/>
    </row>
    <row r="119" spans="1:8" ht="38.25">
      <c r="A119" s="142" t="s">
        <v>2961</v>
      </c>
      <c r="B119" s="124" t="s">
        <v>2908</v>
      </c>
      <c r="C119" s="123" t="s">
        <v>2909</v>
      </c>
      <c r="D119" s="92" t="s">
        <v>2666</v>
      </c>
      <c r="E119" s="91"/>
      <c r="F119" s="92" t="s">
        <v>804</v>
      </c>
      <c r="G119" s="87"/>
      <c r="H119" s="87"/>
    </row>
    <row r="120" spans="1:8">
      <c r="A120" s="142" t="s">
        <v>2961</v>
      </c>
      <c r="B120" s="124" t="s">
        <v>2910</v>
      </c>
      <c r="C120" s="123" t="s">
        <v>2911</v>
      </c>
      <c r="D120" s="123" t="s">
        <v>725</v>
      </c>
      <c r="E120" s="124"/>
      <c r="F120" s="124" t="s">
        <v>725</v>
      </c>
      <c r="G120" s="87"/>
      <c r="H120" s="87"/>
    </row>
    <row r="121" spans="1:8">
      <c r="A121" s="142" t="s">
        <v>2961</v>
      </c>
      <c r="B121" s="124" t="s">
        <v>2912</v>
      </c>
      <c r="C121" s="123" t="s">
        <v>2913</v>
      </c>
      <c r="D121" s="123" t="s">
        <v>725</v>
      </c>
      <c r="E121" s="124"/>
      <c r="F121" s="124" t="s">
        <v>725</v>
      </c>
      <c r="G121" s="87"/>
      <c r="H121" s="87"/>
    </row>
    <row r="122" spans="1:8">
      <c r="A122" s="142" t="s">
        <v>2961</v>
      </c>
      <c r="B122" s="124" t="s">
        <v>2914</v>
      </c>
      <c r="C122" s="123" t="s">
        <v>2915</v>
      </c>
      <c r="D122" s="123" t="s">
        <v>725</v>
      </c>
      <c r="E122" s="124"/>
      <c r="F122" s="124" t="s">
        <v>725</v>
      </c>
      <c r="G122" s="87"/>
      <c r="H122" s="87"/>
    </row>
    <row r="123" spans="1:8">
      <c r="A123" s="142" t="s">
        <v>2961</v>
      </c>
      <c r="B123" s="124" t="s">
        <v>2916</v>
      </c>
      <c r="C123" s="123" t="s">
        <v>2917</v>
      </c>
      <c r="D123" s="123" t="s">
        <v>725</v>
      </c>
      <c r="E123" s="124"/>
      <c r="F123" s="124" t="s">
        <v>725</v>
      </c>
      <c r="G123" s="87"/>
      <c r="H123" s="87"/>
    </row>
    <row r="124" spans="1:8">
      <c r="A124" s="142" t="s">
        <v>2961</v>
      </c>
      <c r="B124" s="124" t="s">
        <v>2918</v>
      </c>
      <c r="C124" s="123" t="s">
        <v>2919</v>
      </c>
      <c r="D124" s="123" t="s">
        <v>725</v>
      </c>
      <c r="E124" s="124"/>
      <c r="F124" s="124" t="s">
        <v>725</v>
      </c>
      <c r="G124" s="87"/>
      <c r="H124" s="87"/>
    </row>
    <row r="125" spans="1:8">
      <c r="A125" s="142" t="s">
        <v>2961</v>
      </c>
      <c r="B125" s="124" t="s">
        <v>2920</v>
      </c>
      <c r="C125" s="123" t="s">
        <v>2921</v>
      </c>
      <c r="D125" s="123" t="s">
        <v>725</v>
      </c>
      <c r="E125" s="124"/>
      <c r="F125" s="124" t="s">
        <v>725</v>
      </c>
      <c r="G125" s="87"/>
      <c r="H125" s="87"/>
    </row>
    <row r="126" spans="1:8">
      <c r="A126" s="142" t="s">
        <v>2961</v>
      </c>
      <c r="B126" s="124" t="s">
        <v>2630</v>
      </c>
      <c r="C126" s="123" t="s">
        <v>2684</v>
      </c>
      <c r="D126" s="123" t="s">
        <v>725</v>
      </c>
      <c r="E126" s="124"/>
      <c r="F126" s="124" t="s">
        <v>725</v>
      </c>
      <c r="G126" s="87"/>
      <c r="H126" s="87"/>
    </row>
    <row r="127" spans="1:8">
      <c r="A127" s="142" t="s">
        <v>2961</v>
      </c>
      <c r="B127" s="124" t="s">
        <v>2922</v>
      </c>
      <c r="C127" s="123" t="s">
        <v>2609</v>
      </c>
      <c r="D127" s="123" t="s">
        <v>725</v>
      </c>
      <c r="E127" s="124"/>
      <c r="F127" s="124" t="s">
        <v>725</v>
      </c>
      <c r="G127" s="87"/>
      <c r="H127" s="87"/>
    </row>
    <row r="128" spans="1:8">
      <c r="A128" s="142" t="s">
        <v>2961</v>
      </c>
      <c r="B128" s="124" t="s">
        <v>2923</v>
      </c>
      <c r="C128" s="123" t="s">
        <v>2924</v>
      </c>
      <c r="D128" s="123" t="s">
        <v>725</v>
      </c>
      <c r="E128" s="124"/>
      <c r="F128" s="124" t="s">
        <v>725</v>
      </c>
      <c r="G128" s="87"/>
      <c r="H128" s="87"/>
    </row>
    <row r="129" spans="1:8">
      <c r="A129" s="142" t="s">
        <v>2961</v>
      </c>
      <c r="B129" s="124" t="s">
        <v>805</v>
      </c>
      <c r="C129" s="123" t="s">
        <v>806</v>
      </c>
      <c r="D129" s="123" t="s">
        <v>725</v>
      </c>
      <c r="E129" s="124"/>
      <c r="F129" s="124" t="s">
        <v>725</v>
      </c>
      <c r="G129" s="87"/>
      <c r="H129" s="87"/>
    </row>
    <row r="130" spans="1:8">
      <c r="A130" s="142" t="s">
        <v>2961</v>
      </c>
      <c r="B130" s="124" t="s">
        <v>2807</v>
      </c>
      <c r="C130" s="123" t="s">
        <v>1753</v>
      </c>
      <c r="D130" s="123" t="s">
        <v>2808</v>
      </c>
      <c r="E130" s="124"/>
      <c r="F130" s="123" t="s">
        <v>786</v>
      </c>
      <c r="G130" s="87"/>
      <c r="H130" s="87"/>
    </row>
    <row r="131" spans="1:8">
      <c r="A131" s="142" t="s">
        <v>2961</v>
      </c>
      <c r="B131" s="124" t="s">
        <v>2925</v>
      </c>
      <c r="C131" s="123" t="s">
        <v>2926</v>
      </c>
      <c r="D131" s="123" t="s">
        <v>725</v>
      </c>
      <c r="E131" s="124"/>
      <c r="F131" s="124" t="s">
        <v>725</v>
      </c>
      <c r="G131" s="87"/>
      <c r="H131" s="87"/>
    </row>
    <row r="132" spans="1:8">
      <c r="A132" s="142" t="s">
        <v>2961</v>
      </c>
      <c r="B132" s="124" t="s">
        <v>2927</v>
      </c>
      <c r="C132" s="123" t="s">
        <v>2928</v>
      </c>
      <c r="D132" s="123" t="s">
        <v>725</v>
      </c>
      <c r="E132" s="124"/>
      <c r="F132" s="124" t="s">
        <v>725</v>
      </c>
      <c r="G132" s="87"/>
      <c r="H132" s="87"/>
    </row>
    <row r="133" spans="1:8">
      <c r="A133" s="142" t="s">
        <v>2961</v>
      </c>
      <c r="B133" s="124" t="s">
        <v>2929</v>
      </c>
      <c r="C133" s="123" t="s">
        <v>2930</v>
      </c>
      <c r="D133" s="124" t="s">
        <v>1018</v>
      </c>
      <c r="E133" s="124"/>
      <c r="F133" s="124" t="s">
        <v>786</v>
      </c>
      <c r="G133" s="87"/>
      <c r="H133" s="87"/>
    </row>
    <row r="134" spans="1:8">
      <c r="A134" s="142" t="s">
        <v>2961</v>
      </c>
      <c r="B134" s="124" t="s">
        <v>2931</v>
      </c>
      <c r="C134" s="123" t="s">
        <v>2932</v>
      </c>
      <c r="D134" s="123" t="s">
        <v>725</v>
      </c>
      <c r="E134" s="124"/>
      <c r="F134" s="124" t="s">
        <v>725</v>
      </c>
      <c r="G134" s="87"/>
      <c r="H134" s="87"/>
    </row>
    <row r="135" spans="1:8">
      <c r="A135" s="142" t="s">
        <v>2961</v>
      </c>
      <c r="B135" s="124" t="s">
        <v>2933</v>
      </c>
      <c r="C135" s="123" t="s">
        <v>2934</v>
      </c>
      <c r="D135" s="123" t="s">
        <v>725</v>
      </c>
      <c r="E135" s="124"/>
      <c r="F135" s="124" t="s">
        <v>725</v>
      </c>
      <c r="G135" s="87"/>
      <c r="H135" s="87"/>
    </row>
    <row r="136" spans="1:8">
      <c r="A136" s="142" t="s">
        <v>2963</v>
      </c>
      <c r="B136" s="124" t="s">
        <v>2964</v>
      </c>
      <c r="C136" s="123" t="s">
        <v>2965</v>
      </c>
      <c r="D136" s="123" t="s">
        <v>2961</v>
      </c>
      <c r="E136" s="124"/>
      <c r="F136" s="124" t="s">
        <v>2936</v>
      </c>
      <c r="G136" s="87"/>
      <c r="H136" s="87"/>
    </row>
    <row r="137" spans="1:8">
      <c r="A137" s="142" t="s">
        <v>2963</v>
      </c>
      <c r="B137" s="124" t="s">
        <v>2807</v>
      </c>
      <c r="C137" s="123" t="s">
        <v>1753</v>
      </c>
      <c r="D137" s="123" t="s">
        <v>2808</v>
      </c>
      <c r="E137" s="124"/>
      <c r="F137" s="123" t="s">
        <v>786</v>
      </c>
      <c r="G137" s="87"/>
      <c r="H137" s="87"/>
    </row>
    <row r="138" spans="1:8">
      <c r="A138" s="142" t="s">
        <v>2963</v>
      </c>
      <c r="B138" s="124" t="s">
        <v>2966</v>
      </c>
      <c r="C138" s="123" t="s">
        <v>2967</v>
      </c>
      <c r="D138" s="123" t="s">
        <v>2961</v>
      </c>
      <c r="E138" s="124"/>
      <c r="F138" s="124" t="s">
        <v>2935</v>
      </c>
      <c r="G138" s="87"/>
      <c r="H138" s="87"/>
    </row>
    <row r="139" spans="1:8">
      <c r="A139" s="142" t="s">
        <v>2963</v>
      </c>
      <c r="B139" s="124" t="s">
        <v>2726</v>
      </c>
      <c r="C139" s="123" t="s">
        <v>1636</v>
      </c>
      <c r="D139" s="123" t="s">
        <v>725</v>
      </c>
      <c r="E139" s="91"/>
      <c r="F139" s="123" t="s">
        <v>725</v>
      </c>
      <c r="G139" s="87"/>
      <c r="H139" s="87"/>
    </row>
    <row r="140" spans="1:8">
      <c r="A140" s="142" t="s">
        <v>2963</v>
      </c>
      <c r="B140" s="124" t="s">
        <v>2968</v>
      </c>
      <c r="C140" s="123" t="s">
        <v>2969</v>
      </c>
      <c r="D140" s="123" t="s">
        <v>725</v>
      </c>
      <c r="E140" s="91"/>
      <c r="F140" s="123" t="s">
        <v>725</v>
      </c>
      <c r="G140" s="87"/>
      <c r="H140" s="87"/>
    </row>
    <row r="141" spans="1:8">
      <c r="A141" s="142" t="s">
        <v>2963</v>
      </c>
      <c r="B141" s="124" t="s">
        <v>805</v>
      </c>
      <c r="C141" s="123" t="s">
        <v>806</v>
      </c>
      <c r="D141" s="123" t="s">
        <v>725</v>
      </c>
      <c r="E141" s="91"/>
      <c r="F141" s="123" t="s">
        <v>725</v>
      </c>
      <c r="G141" s="142"/>
      <c r="H141" s="87"/>
    </row>
    <row r="142" spans="1:8" ht="51">
      <c r="A142" s="142" t="s">
        <v>2963</v>
      </c>
      <c r="B142" s="124" t="s">
        <v>2943</v>
      </c>
      <c r="C142" s="123" t="s">
        <v>2606</v>
      </c>
      <c r="D142" s="124" t="s">
        <v>2970</v>
      </c>
      <c r="E142" s="91"/>
      <c r="F142" s="123" t="s">
        <v>804</v>
      </c>
      <c r="G142" s="87"/>
      <c r="H142" s="87"/>
    </row>
    <row r="143" spans="1:8" ht="13.15" customHeight="1">
      <c r="A143" s="142" t="s">
        <v>2963</v>
      </c>
      <c r="B143" s="124" t="s">
        <v>2933</v>
      </c>
      <c r="C143" s="123" t="s">
        <v>2934</v>
      </c>
      <c r="D143" s="123" t="s">
        <v>725</v>
      </c>
      <c r="E143" s="124"/>
      <c r="F143" s="123" t="s">
        <v>725</v>
      </c>
      <c r="G143" s="142"/>
      <c r="H143" s="87"/>
    </row>
    <row r="144" spans="1:8" ht="13.15" customHeight="1">
      <c r="A144" s="142"/>
      <c r="B144" s="124"/>
      <c r="C144" s="123"/>
      <c r="D144" s="123"/>
      <c r="E144" s="124"/>
      <c r="F144" s="123"/>
      <c r="G144" s="142"/>
      <c r="H144" s="87"/>
    </row>
    <row r="145" spans="1:8" ht="38.25">
      <c r="A145" s="142" t="s">
        <v>2886</v>
      </c>
      <c r="B145" s="124" t="s">
        <v>2884</v>
      </c>
      <c r="C145" s="123" t="s">
        <v>2885</v>
      </c>
      <c r="D145" s="124" t="s">
        <v>2971</v>
      </c>
      <c r="E145" s="124"/>
      <c r="F145" s="124" t="s">
        <v>2972</v>
      </c>
      <c r="G145" s="142"/>
      <c r="H145" s="87"/>
    </row>
    <row r="146" spans="1:8">
      <c r="A146" s="142" t="s">
        <v>2886</v>
      </c>
      <c r="B146" s="124" t="s">
        <v>2973</v>
      </c>
      <c r="C146" s="123" t="s">
        <v>1038</v>
      </c>
      <c r="D146" s="123" t="s">
        <v>725</v>
      </c>
      <c r="E146" s="124"/>
      <c r="F146" s="123" t="s">
        <v>725</v>
      </c>
      <c r="G146" s="142"/>
      <c r="H146" s="87"/>
    </row>
    <row r="147" spans="1:8">
      <c r="A147" s="142" t="s">
        <v>2886</v>
      </c>
      <c r="B147" s="124" t="s">
        <v>2824</v>
      </c>
      <c r="C147" s="123" t="s">
        <v>2825</v>
      </c>
      <c r="D147" s="123" t="s">
        <v>2826</v>
      </c>
      <c r="E147" s="124"/>
      <c r="F147" s="123" t="s">
        <v>786</v>
      </c>
      <c r="G147" s="142"/>
      <c r="H147" s="87"/>
    </row>
    <row r="148" spans="1:8">
      <c r="A148" s="142" t="s">
        <v>2886</v>
      </c>
      <c r="B148" s="124" t="s">
        <v>1882</v>
      </c>
      <c r="C148" s="123" t="s">
        <v>1451</v>
      </c>
      <c r="D148" s="123" t="s">
        <v>2822</v>
      </c>
      <c r="E148" s="124"/>
      <c r="F148" s="123" t="s">
        <v>804</v>
      </c>
      <c r="G148" s="142"/>
      <c r="H148" s="87"/>
    </row>
    <row r="149" spans="1:8">
      <c r="A149" s="142" t="s">
        <v>2886</v>
      </c>
      <c r="B149" s="124" t="s">
        <v>2974</v>
      </c>
      <c r="C149" s="123" t="s">
        <v>2975</v>
      </c>
      <c r="D149" s="123" t="s">
        <v>725</v>
      </c>
      <c r="E149" s="124"/>
      <c r="F149" s="123" t="s">
        <v>725</v>
      </c>
      <c r="G149" s="142"/>
      <c r="H149" s="87"/>
    </row>
    <row r="150" spans="1:8">
      <c r="A150" s="142" t="s">
        <v>2886</v>
      </c>
      <c r="B150" s="124" t="s">
        <v>1884</v>
      </c>
      <c r="C150" s="123" t="s">
        <v>1453</v>
      </c>
      <c r="D150" s="123" t="s">
        <v>2823</v>
      </c>
      <c r="E150" s="124"/>
      <c r="F150" s="123" t="s">
        <v>804</v>
      </c>
      <c r="G150" s="142"/>
      <c r="H150" s="87"/>
    </row>
    <row r="151" spans="1:8">
      <c r="A151" s="142" t="s">
        <v>2886</v>
      </c>
      <c r="B151" s="124" t="s">
        <v>2976</v>
      </c>
      <c r="C151" s="123" t="s">
        <v>2977</v>
      </c>
      <c r="D151" s="123" t="s">
        <v>725</v>
      </c>
      <c r="E151" s="124"/>
      <c r="F151" s="123" t="s">
        <v>725</v>
      </c>
      <c r="G151" s="142"/>
      <c r="H151" s="87"/>
    </row>
    <row r="152" spans="1:8" ht="26.45" customHeight="1">
      <c r="A152" s="142" t="s">
        <v>2886</v>
      </c>
      <c r="B152" s="124" t="s">
        <v>805</v>
      </c>
      <c r="C152" s="123" t="s">
        <v>806</v>
      </c>
      <c r="D152" s="123" t="s">
        <v>725</v>
      </c>
      <c r="E152" s="124"/>
      <c r="F152" s="123" t="s">
        <v>725</v>
      </c>
      <c r="G152" s="142"/>
      <c r="H152" s="87"/>
    </row>
    <row r="153" spans="1:8">
      <c r="A153" s="142" t="s">
        <v>2886</v>
      </c>
      <c r="B153" s="124" t="s">
        <v>2978</v>
      </c>
      <c r="C153" s="123" t="s">
        <v>2979</v>
      </c>
      <c r="D153" s="123" t="s">
        <v>725</v>
      </c>
      <c r="E153" s="124"/>
      <c r="F153" s="123" t="s">
        <v>725</v>
      </c>
      <c r="G153" s="142"/>
      <c r="H153" s="87"/>
    </row>
    <row r="154" spans="1:8">
      <c r="A154" s="142" t="s">
        <v>2886</v>
      </c>
      <c r="B154" s="124" t="s">
        <v>2980</v>
      </c>
      <c r="C154" s="123" t="s">
        <v>2981</v>
      </c>
      <c r="D154" s="123" t="s">
        <v>725</v>
      </c>
      <c r="E154" s="124"/>
      <c r="F154" s="123" t="s">
        <v>725</v>
      </c>
      <c r="G154" s="142"/>
      <c r="H154" s="87"/>
    </row>
    <row r="155" spans="1:8" ht="38.25">
      <c r="A155" s="142" t="s">
        <v>2982</v>
      </c>
      <c r="B155" s="124" t="s">
        <v>2884</v>
      </c>
      <c r="C155" s="123" t="s">
        <v>2885</v>
      </c>
      <c r="D155" s="124" t="s">
        <v>2971</v>
      </c>
      <c r="E155" s="124"/>
      <c r="F155" s="124" t="s">
        <v>2983</v>
      </c>
      <c r="G155" s="142"/>
      <c r="H155" s="87"/>
    </row>
    <row r="156" spans="1:8">
      <c r="A156" s="142" t="s">
        <v>2982</v>
      </c>
      <c r="B156" s="124" t="s">
        <v>2700</v>
      </c>
      <c r="C156" s="123" t="s">
        <v>2701</v>
      </c>
      <c r="D156" s="123" t="s">
        <v>2702</v>
      </c>
      <c r="E156" s="124"/>
      <c r="F156" s="123" t="s">
        <v>786</v>
      </c>
      <c r="G156" s="142"/>
      <c r="H156" s="87"/>
    </row>
    <row r="157" spans="1:8">
      <c r="A157" s="142" t="s">
        <v>2982</v>
      </c>
      <c r="B157" s="124" t="s">
        <v>2711</v>
      </c>
      <c r="C157" s="123" t="s">
        <v>2712</v>
      </c>
      <c r="D157" s="123" t="s">
        <v>725</v>
      </c>
      <c r="E157" s="124"/>
      <c r="F157" s="123" t="s">
        <v>725</v>
      </c>
      <c r="G157" s="142"/>
      <c r="H157" s="87"/>
    </row>
    <row r="158" spans="1:8">
      <c r="A158" s="142" t="s">
        <v>2982</v>
      </c>
      <c r="B158" s="124" t="s">
        <v>2984</v>
      </c>
      <c r="C158" s="123" t="s">
        <v>1099</v>
      </c>
      <c r="D158" s="123" t="s">
        <v>2985</v>
      </c>
      <c r="E158" s="124"/>
      <c r="F158" s="123" t="s">
        <v>804</v>
      </c>
      <c r="G158" s="142"/>
      <c r="H158" s="87"/>
    </row>
    <row r="159" spans="1:8" ht="51">
      <c r="A159" s="142" t="s">
        <v>2982</v>
      </c>
      <c r="B159" s="124" t="s">
        <v>2943</v>
      </c>
      <c r="C159" s="123" t="s">
        <v>2606</v>
      </c>
      <c r="D159" s="124" t="s">
        <v>2970</v>
      </c>
      <c r="E159" s="91"/>
      <c r="F159" s="123" t="s">
        <v>804</v>
      </c>
      <c r="G159" s="142"/>
      <c r="H159" s="87"/>
    </row>
    <row r="160" spans="1:8">
      <c r="A160" s="142" t="s">
        <v>2982</v>
      </c>
      <c r="B160" s="124" t="s">
        <v>805</v>
      </c>
      <c r="C160" s="123" t="s">
        <v>806</v>
      </c>
      <c r="D160" s="123" t="s">
        <v>725</v>
      </c>
      <c r="E160" s="124"/>
      <c r="F160" s="123" t="s">
        <v>725</v>
      </c>
      <c r="G160" s="142"/>
      <c r="H160" s="87"/>
    </row>
    <row r="161" spans="1:8">
      <c r="A161" s="142" t="s">
        <v>2982</v>
      </c>
      <c r="B161" s="124" t="s">
        <v>2540</v>
      </c>
      <c r="C161" s="123" t="s">
        <v>1038</v>
      </c>
      <c r="D161" s="123" t="s">
        <v>725</v>
      </c>
      <c r="E161" s="124"/>
      <c r="F161" s="123" t="s">
        <v>725</v>
      </c>
      <c r="G161" s="142"/>
      <c r="H161" s="87"/>
    </row>
  </sheetData>
  <mergeCells count="2">
    <mergeCell ref="C2:I2"/>
    <mergeCell ref="C4:I4"/>
  </mergeCells>
  <hyperlinks>
    <hyperlink ref="B1" location="Summary!A1" display="Summary" xr:uid="{178B283F-A8E9-43B0-9901-06F23AD048D3}"/>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4210-5754-4245-99BA-120B3CD99009}">
  <dimension ref="A1:I107"/>
  <sheetViews>
    <sheetView topLeftCell="E1" zoomScaleNormal="100" workbookViewId="0">
      <selection activeCell="E7" sqref="E7"/>
    </sheetView>
  </sheetViews>
  <sheetFormatPr defaultColWidth="9.140625" defaultRowHeight="12.75"/>
  <cols>
    <col min="1" max="1" width="28.7109375" style="82" bestFit="1" customWidth="1"/>
    <col min="2" max="2" width="34" style="82" customWidth="1"/>
    <col min="3" max="3" width="49.140625" style="82" customWidth="1"/>
    <col min="4" max="4" width="42.140625" style="82" bestFit="1" customWidth="1"/>
    <col min="5" max="5" width="30.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2986</v>
      </c>
      <c r="C2" s="317"/>
      <c r="D2" s="317"/>
      <c r="E2" s="317"/>
      <c r="F2" s="317"/>
      <c r="G2" s="317"/>
      <c r="H2" s="317"/>
      <c r="I2" s="317"/>
    </row>
    <row r="3" spans="1:9">
      <c r="B3" s="107" t="s">
        <v>2629</v>
      </c>
      <c r="C3" s="138"/>
      <c r="D3" s="138"/>
      <c r="E3" s="138"/>
      <c r="F3" s="138"/>
      <c r="G3" s="138"/>
      <c r="H3" s="138"/>
      <c r="I3" s="138"/>
    </row>
    <row r="4" spans="1:9">
      <c r="B4" s="107" t="s">
        <v>571</v>
      </c>
      <c r="C4" s="318" t="str">
        <f>Summary!O293</f>
        <v>This table contains information for the Bill Errors/Exceptions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ht="102">
      <c r="A7" s="142" t="s">
        <v>2987</v>
      </c>
      <c r="B7" s="124" t="s">
        <v>1648</v>
      </c>
      <c r="C7" s="123" t="s">
        <v>1649</v>
      </c>
      <c r="D7" s="124" t="s">
        <v>2988</v>
      </c>
      <c r="E7" s="124" t="s">
        <v>2989</v>
      </c>
      <c r="F7" s="185" t="s">
        <v>2990</v>
      </c>
      <c r="G7" s="87"/>
      <c r="H7" s="87"/>
    </row>
    <row r="8" spans="1:9">
      <c r="A8" s="142" t="s">
        <v>2987</v>
      </c>
      <c r="B8" s="124" t="s">
        <v>1426</v>
      </c>
      <c r="C8" s="123" t="s">
        <v>1427</v>
      </c>
      <c r="D8" s="124" t="s">
        <v>725</v>
      </c>
      <c r="E8" s="124"/>
      <c r="F8" s="185"/>
      <c r="G8" s="87"/>
      <c r="H8" s="87"/>
    </row>
    <row r="9" spans="1:9">
      <c r="A9" s="142" t="s">
        <v>2987</v>
      </c>
      <c r="B9" s="124" t="s">
        <v>1429</v>
      </c>
      <c r="C9" s="123" t="s">
        <v>1430</v>
      </c>
      <c r="D9" s="123" t="s">
        <v>725</v>
      </c>
      <c r="E9" s="124"/>
      <c r="F9" s="124"/>
      <c r="G9" s="87"/>
      <c r="H9" s="87"/>
    </row>
    <row r="10" spans="1:9">
      <c r="A10" s="142" t="s">
        <v>2987</v>
      </c>
      <c r="B10" s="124" t="s">
        <v>2991</v>
      </c>
      <c r="C10" s="123" t="s">
        <v>2992</v>
      </c>
      <c r="D10" s="124" t="s">
        <v>1018</v>
      </c>
      <c r="E10" s="124"/>
      <c r="F10" s="124" t="s">
        <v>786</v>
      </c>
      <c r="G10" s="87"/>
      <c r="H10" s="87"/>
    </row>
    <row r="11" spans="1:9">
      <c r="A11" s="142" t="s">
        <v>2987</v>
      </c>
      <c r="B11" s="124" t="s">
        <v>2993</v>
      </c>
      <c r="C11" s="123" t="s">
        <v>2851</v>
      </c>
      <c r="D11" s="124" t="s">
        <v>725</v>
      </c>
      <c r="E11" s="124"/>
      <c r="F11" s="124"/>
      <c r="G11" s="87"/>
      <c r="H11" s="87"/>
    </row>
    <row r="12" spans="1:9">
      <c r="A12" s="142" t="s">
        <v>2987</v>
      </c>
      <c r="B12" s="124" t="s">
        <v>2994</v>
      </c>
      <c r="C12" s="123" t="s">
        <v>2854</v>
      </c>
      <c r="D12" s="124" t="s">
        <v>725</v>
      </c>
      <c r="E12" s="124"/>
      <c r="F12" s="124"/>
      <c r="G12" s="87"/>
      <c r="H12" s="87"/>
    </row>
    <row r="13" spans="1:9">
      <c r="A13" s="142" t="s">
        <v>2987</v>
      </c>
      <c r="B13" s="124" t="s">
        <v>2995</v>
      </c>
      <c r="C13" s="123" t="s">
        <v>2856</v>
      </c>
      <c r="D13" s="124" t="s">
        <v>725</v>
      </c>
      <c r="E13" s="124"/>
      <c r="F13" s="124"/>
      <c r="G13" s="87"/>
      <c r="H13" s="87"/>
    </row>
    <row r="14" spans="1:9">
      <c r="A14" s="142" t="s">
        <v>2987</v>
      </c>
      <c r="B14" s="124" t="s">
        <v>2996</v>
      </c>
      <c r="C14" s="123" t="s">
        <v>2858</v>
      </c>
      <c r="D14" s="124" t="s">
        <v>725</v>
      </c>
      <c r="E14" s="124"/>
      <c r="F14" s="124"/>
      <c r="G14" s="87"/>
      <c r="H14" s="87"/>
    </row>
    <row r="15" spans="1:9">
      <c r="A15" s="142" t="s">
        <v>2987</v>
      </c>
      <c r="B15" s="124" t="s">
        <v>2997</v>
      </c>
      <c r="C15" s="123" t="s">
        <v>2860</v>
      </c>
      <c r="D15" s="124" t="s">
        <v>725</v>
      </c>
      <c r="E15" s="124"/>
      <c r="F15" s="124"/>
      <c r="G15" s="87"/>
      <c r="H15" s="87"/>
    </row>
    <row r="16" spans="1:9">
      <c r="A16" s="142" t="s">
        <v>2987</v>
      </c>
      <c r="B16" s="124" t="s">
        <v>2998</v>
      </c>
      <c r="C16" s="123" t="s">
        <v>2862</v>
      </c>
      <c r="D16" s="124" t="s">
        <v>725</v>
      </c>
      <c r="E16" s="124"/>
      <c r="F16" s="124"/>
      <c r="G16" s="87"/>
      <c r="H16" s="87"/>
    </row>
    <row r="17" spans="1:8">
      <c r="A17" s="142" t="s">
        <v>2987</v>
      </c>
      <c r="B17" s="124" t="s">
        <v>2999</v>
      </c>
      <c r="C17" s="123" t="s">
        <v>2864</v>
      </c>
      <c r="D17" s="124" t="s">
        <v>725</v>
      </c>
      <c r="E17" s="124"/>
      <c r="F17" s="124"/>
      <c r="G17" s="87"/>
      <c r="H17" s="87"/>
    </row>
    <row r="18" spans="1:8">
      <c r="A18" s="142" t="s">
        <v>2987</v>
      </c>
      <c r="B18" s="124" t="s">
        <v>3000</v>
      </c>
      <c r="C18" s="123" t="s">
        <v>2866</v>
      </c>
      <c r="D18" s="124" t="s">
        <v>725</v>
      </c>
      <c r="E18" s="124"/>
      <c r="F18" s="124"/>
      <c r="G18" s="87"/>
      <c r="H18" s="87"/>
    </row>
    <row r="19" spans="1:8">
      <c r="A19" s="142" t="s">
        <v>2987</v>
      </c>
      <c r="B19" s="124" t="s">
        <v>3001</v>
      </c>
      <c r="C19" s="123" t="s">
        <v>2868</v>
      </c>
      <c r="D19" s="124" t="s">
        <v>725</v>
      </c>
      <c r="E19" s="91"/>
      <c r="F19" s="92"/>
      <c r="G19" s="87"/>
      <c r="H19" s="87"/>
    </row>
    <row r="20" spans="1:8">
      <c r="A20" s="142" t="s">
        <v>2987</v>
      </c>
      <c r="B20" s="124" t="s">
        <v>3002</v>
      </c>
      <c r="C20" s="123" t="s">
        <v>2870</v>
      </c>
      <c r="D20" s="124" t="s">
        <v>725</v>
      </c>
      <c r="E20" s="124"/>
      <c r="F20" s="124"/>
      <c r="G20" s="87"/>
      <c r="H20" s="87"/>
    </row>
    <row r="21" spans="1:8">
      <c r="A21" s="142" t="s">
        <v>2987</v>
      </c>
      <c r="B21" s="124" t="s">
        <v>3003</v>
      </c>
      <c r="C21" s="123" t="s">
        <v>2872</v>
      </c>
      <c r="D21" s="124" t="s">
        <v>725</v>
      </c>
      <c r="E21" s="124"/>
      <c r="F21" s="124"/>
      <c r="G21" s="87"/>
      <c r="H21" s="87"/>
    </row>
    <row r="22" spans="1:8" ht="38.25">
      <c r="A22" s="142" t="s">
        <v>2987</v>
      </c>
      <c r="B22" s="124" t="s">
        <v>1293</v>
      </c>
      <c r="C22" s="123" t="s">
        <v>1294</v>
      </c>
      <c r="D22" s="92" t="s">
        <v>2666</v>
      </c>
      <c r="E22" s="91"/>
      <c r="F22" s="92" t="s">
        <v>786</v>
      </c>
      <c r="G22" s="87"/>
      <c r="H22" s="87"/>
    </row>
    <row r="23" spans="1:8">
      <c r="A23" s="142" t="s">
        <v>2987</v>
      </c>
      <c r="B23" s="124" t="s">
        <v>933</v>
      </c>
      <c r="C23" s="123" t="s">
        <v>798</v>
      </c>
      <c r="D23" s="124" t="s">
        <v>725</v>
      </c>
      <c r="E23" s="124"/>
      <c r="F23" s="124"/>
      <c r="G23" s="87"/>
      <c r="H23" s="87"/>
    </row>
    <row r="24" spans="1:8">
      <c r="A24" s="142" t="s">
        <v>2987</v>
      </c>
      <c r="B24" s="124" t="s">
        <v>3004</v>
      </c>
      <c r="C24" s="123" t="s">
        <v>2874</v>
      </c>
      <c r="D24" s="124" t="s">
        <v>725</v>
      </c>
      <c r="E24" s="124"/>
      <c r="F24" s="124"/>
      <c r="G24" s="87"/>
      <c r="H24" s="87"/>
    </row>
    <row r="25" spans="1:8" ht="38.25">
      <c r="A25" s="142" t="s">
        <v>2987</v>
      </c>
      <c r="B25" s="124" t="s">
        <v>3005</v>
      </c>
      <c r="C25" s="123" t="s">
        <v>2876</v>
      </c>
      <c r="D25" s="92" t="s">
        <v>2666</v>
      </c>
      <c r="E25" s="91"/>
      <c r="F25" s="92" t="s">
        <v>804</v>
      </c>
      <c r="G25" s="87"/>
      <c r="H25" s="87"/>
    </row>
    <row r="26" spans="1:8">
      <c r="A26" s="142" t="s">
        <v>2987</v>
      </c>
      <c r="B26" s="124" t="s">
        <v>3006</v>
      </c>
      <c r="C26" s="123" t="s">
        <v>2878</v>
      </c>
      <c r="D26" s="124" t="s">
        <v>725</v>
      </c>
      <c r="E26" s="124"/>
      <c r="F26" s="124"/>
      <c r="G26" s="87"/>
      <c r="H26" s="87"/>
    </row>
    <row r="27" spans="1:8">
      <c r="A27" s="142" t="s">
        <v>2987</v>
      </c>
      <c r="B27" s="124" t="s">
        <v>946</v>
      </c>
      <c r="C27" s="123" t="s">
        <v>806</v>
      </c>
      <c r="D27" s="124" t="s">
        <v>725</v>
      </c>
      <c r="E27" s="124"/>
      <c r="F27" s="124"/>
      <c r="G27" s="87"/>
      <c r="H27" s="87"/>
    </row>
    <row r="28" spans="1:8">
      <c r="A28" s="142" t="s">
        <v>2987</v>
      </c>
      <c r="B28" s="124" t="s">
        <v>1499</v>
      </c>
      <c r="C28" s="123" t="s">
        <v>858</v>
      </c>
      <c r="D28" s="124" t="s">
        <v>725</v>
      </c>
      <c r="E28" s="124"/>
      <c r="F28" s="124"/>
      <c r="G28" s="87"/>
      <c r="H28" s="87"/>
    </row>
    <row r="29" spans="1:8">
      <c r="A29" s="142" t="s">
        <v>3007</v>
      </c>
      <c r="B29" s="124" t="s">
        <v>3008</v>
      </c>
      <c r="C29" s="123" t="s">
        <v>1551</v>
      </c>
      <c r="D29" s="123" t="s">
        <v>3009</v>
      </c>
      <c r="E29" s="124"/>
      <c r="F29" s="124" t="s">
        <v>786</v>
      </c>
      <c r="G29" s="87"/>
      <c r="H29" s="87"/>
    </row>
    <row r="30" spans="1:8">
      <c r="A30" s="142" t="s">
        <v>3007</v>
      </c>
      <c r="B30" s="124" t="s">
        <v>1859</v>
      </c>
      <c r="C30" s="123" t="s">
        <v>1038</v>
      </c>
      <c r="D30" s="124" t="s">
        <v>725</v>
      </c>
      <c r="E30" s="124"/>
      <c r="F30" s="123"/>
      <c r="G30" s="87"/>
      <c r="H30" s="87"/>
    </row>
    <row r="31" spans="1:8" ht="25.5">
      <c r="A31" s="142" t="s">
        <v>3007</v>
      </c>
      <c r="B31" s="124" t="s">
        <v>3010</v>
      </c>
      <c r="C31" s="123" t="s">
        <v>3011</v>
      </c>
      <c r="D31" s="123" t="s">
        <v>703</v>
      </c>
      <c r="E31" s="124"/>
      <c r="F31" s="124" t="s">
        <v>1887</v>
      </c>
      <c r="G31" s="142" t="s">
        <v>3012</v>
      </c>
      <c r="H31" s="87"/>
    </row>
    <row r="32" spans="1:8">
      <c r="A32" s="142" t="s">
        <v>3007</v>
      </c>
      <c r="B32" s="124" t="s">
        <v>946</v>
      </c>
      <c r="C32" s="123" t="s">
        <v>806</v>
      </c>
      <c r="D32" s="124" t="s">
        <v>725</v>
      </c>
      <c r="E32" s="124"/>
      <c r="F32" s="124"/>
      <c r="G32" s="87"/>
      <c r="H32" s="87"/>
    </row>
    <row r="33" spans="1:8" ht="25.5">
      <c r="A33" s="142" t="s">
        <v>211</v>
      </c>
      <c r="B33" s="124" t="s">
        <v>3008</v>
      </c>
      <c r="C33" s="123" t="s">
        <v>1551</v>
      </c>
      <c r="D33" s="124" t="s">
        <v>725</v>
      </c>
      <c r="E33" s="124"/>
      <c r="F33" s="124"/>
      <c r="G33" s="142" t="s">
        <v>3013</v>
      </c>
      <c r="H33" s="87"/>
    </row>
    <row r="34" spans="1:8">
      <c r="A34" s="142" t="s">
        <v>211</v>
      </c>
      <c r="B34" s="124" t="s">
        <v>3014</v>
      </c>
      <c r="C34" s="123" t="s">
        <v>2701</v>
      </c>
      <c r="D34" s="124" t="s">
        <v>725</v>
      </c>
      <c r="E34" s="124"/>
      <c r="F34" s="124"/>
      <c r="G34" s="87"/>
      <c r="H34" s="87"/>
    </row>
    <row r="35" spans="1:8">
      <c r="A35" s="142" t="s">
        <v>211</v>
      </c>
      <c r="B35" s="124" t="s">
        <v>3015</v>
      </c>
      <c r="C35" s="123" t="s">
        <v>2712</v>
      </c>
      <c r="D35" s="124" t="s">
        <v>725</v>
      </c>
      <c r="E35" s="124"/>
      <c r="F35" s="124"/>
      <c r="G35" s="87"/>
      <c r="H35" s="87"/>
    </row>
    <row r="36" spans="1:8">
      <c r="A36" s="142" t="s">
        <v>211</v>
      </c>
      <c r="B36" s="124" t="s">
        <v>1426</v>
      </c>
      <c r="C36" s="123" t="s">
        <v>1427</v>
      </c>
      <c r="D36" s="124" t="s">
        <v>725</v>
      </c>
      <c r="E36" s="124"/>
      <c r="F36" s="124"/>
      <c r="G36" s="87"/>
      <c r="H36" s="87"/>
    </row>
    <row r="37" spans="1:8">
      <c r="A37" s="142" t="s">
        <v>211</v>
      </c>
      <c r="B37" s="124" t="s">
        <v>1429</v>
      </c>
      <c r="C37" s="123" t="s">
        <v>1430</v>
      </c>
      <c r="D37" s="124" t="s">
        <v>725</v>
      </c>
      <c r="E37" s="124"/>
      <c r="F37" s="124"/>
      <c r="G37" s="142"/>
      <c r="H37" s="87"/>
    </row>
    <row r="38" spans="1:8" ht="38.25">
      <c r="A38" s="142" t="s">
        <v>211</v>
      </c>
      <c r="B38" s="124" t="s">
        <v>3016</v>
      </c>
      <c r="C38" s="123" t="s">
        <v>3017</v>
      </c>
      <c r="D38" s="92" t="s">
        <v>2666</v>
      </c>
      <c r="E38" s="91"/>
      <c r="F38" s="92" t="s">
        <v>804</v>
      </c>
      <c r="G38" s="87"/>
      <c r="H38" s="87"/>
    </row>
    <row r="39" spans="1:8">
      <c r="A39" s="142" t="s">
        <v>211</v>
      </c>
      <c r="B39" s="124" t="s">
        <v>3018</v>
      </c>
      <c r="C39" s="123" t="s">
        <v>1875</v>
      </c>
      <c r="D39" s="124" t="s">
        <v>3019</v>
      </c>
      <c r="E39" s="124"/>
      <c r="F39" s="124" t="s">
        <v>786</v>
      </c>
      <c r="G39" s="87"/>
      <c r="H39" s="87"/>
    </row>
    <row r="40" spans="1:8">
      <c r="A40" s="142" t="s">
        <v>211</v>
      </c>
      <c r="B40" s="124" t="s">
        <v>3020</v>
      </c>
      <c r="C40" s="123" t="s">
        <v>1878</v>
      </c>
      <c r="D40" s="124" t="s">
        <v>3021</v>
      </c>
      <c r="E40" s="124"/>
      <c r="F40" s="124" t="s">
        <v>786</v>
      </c>
      <c r="G40" s="87"/>
      <c r="H40" s="87"/>
    </row>
    <row r="41" spans="1:8">
      <c r="A41" s="142" t="s">
        <v>211</v>
      </c>
      <c r="B41" s="124" t="s">
        <v>3022</v>
      </c>
      <c r="C41" s="123" t="s">
        <v>564</v>
      </c>
      <c r="D41" s="124" t="s">
        <v>1018</v>
      </c>
      <c r="E41" s="124"/>
      <c r="F41" s="124" t="s">
        <v>786</v>
      </c>
      <c r="G41" s="87"/>
      <c r="H41" s="87"/>
    </row>
    <row r="42" spans="1:8">
      <c r="A42" s="142" t="s">
        <v>211</v>
      </c>
      <c r="B42" s="124" t="s">
        <v>946</v>
      </c>
      <c r="C42" s="123" t="s">
        <v>806</v>
      </c>
      <c r="D42" s="124" t="s">
        <v>725</v>
      </c>
      <c r="E42" s="124"/>
      <c r="F42" s="124"/>
      <c r="G42" s="87"/>
      <c r="H42" s="87"/>
    </row>
    <row r="43" spans="1:8">
      <c r="A43" s="142" t="s">
        <v>211</v>
      </c>
      <c r="B43" s="124" t="s">
        <v>933</v>
      </c>
      <c r="C43" s="123" t="s">
        <v>798</v>
      </c>
      <c r="D43" s="124" t="s">
        <v>725</v>
      </c>
      <c r="E43" s="124"/>
      <c r="F43" s="124"/>
      <c r="G43" s="87"/>
      <c r="H43" s="87"/>
    </row>
    <row r="44" spans="1:8">
      <c r="A44" s="142" t="s">
        <v>211</v>
      </c>
      <c r="B44" s="124" t="s">
        <v>3023</v>
      </c>
      <c r="C44" s="123" t="s">
        <v>3024</v>
      </c>
      <c r="D44" s="124" t="s">
        <v>725</v>
      </c>
      <c r="E44" s="124"/>
      <c r="F44" s="124"/>
      <c r="G44" s="87"/>
      <c r="H44" s="87"/>
    </row>
    <row r="45" spans="1:8">
      <c r="A45" s="142" t="s">
        <v>211</v>
      </c>
      <c r="B45" s="124" t="s">
        <v>3025</v>
      </c>
      <c r="C45" s="123" t="s">
        <v>2647</v>
      </c>
      <c r="D45" s="124" t="s">
        <v>725</v>
      </c>
      <c r="E45" s="124"/>
      <c r="F45" s="123"/>
      <c r="G45" s="87"/>
      <c r="H45" s="87"/>
    </row>
    <row r="46" spans="1:8" ht="38.25">
      <c r="A46" s="142" t="s">
        <v>211</v>
      </c>
      <c r="B46" s="124" t="s">
        <v>3026</v>
      </c>
      <c r="C46" s="123" t="s">
        <v>3027</v>
      </c>
      <c r="D46" s="124" t="s">
        <v>2666</v>
      </c>
      <c r="E46" s="124"/>
      <c r="F46" s="124"/>
      <c r="G46" s="87"/>
      <c r="H46" s="87"/>
    </row>
    <row r="47" spans="1:8" ht="38.25">
      <c r="A47" s="142" t="s">
        <v>211</v>
      </c>
      <c r="B47" s="124" t="s">
        <v>3028</v>
      </c>
      <c r="C47" s="123" t="s">
        <v>3029</v>
      </c>
      <c r="D47" s="92" t="s">
        <v>2666</v>
      </c>
      <c r="E47" s="91"/>
      <c r="F47" s="124"/>
      <c r="G47" s="87"/>
      <c r="H47" s="87"/>
    </row>
    <row r="48" spans="1:8">
      <c r="A48" s="142" t="s">
        <v>211</v>
      </c>
      <c r="B48" s="124" t="s">
        <v>1499</v>
      </c>
      <c r="C48" s="123" t="s">
        <v>858</v>
      </c>
      <c r="D48" s="124" t="s">
        <v>725</v>
      </c>
      <c r="E48" s="124"/>
      <c r="F48" s="124"/>
      <c r="G48" s="87"/>
      <c r="H48" s="87"/>
    </row>
    <row r="49" spans="1:8">
      <c r="A49" s="142" t="s">
        <v>211</v>
      </c>
      <c r="B49" s="124" t="s">
        <v>3030</v>
      </c>
      <c r="C49" s="123" t="s">
        <v>3031</v>
      </c>
      <c r="D49" s="124" t="s">
        <v>1018</v>
      </c>
      <c r="E49" s="124"/>
      <c r="F49" s="124" t="s">
        <v>786</v>
      </c>
      <c r="G49" s="87"/>
      <c r="H49" s="87"/>
    </row>
    <row r="50" spans="1:8">
      <c r="A50" s="142" t="s">
        <v>211</v>
      </c>
      <c r="B50" s="124" t="s">
        <v>940</v>
      </c>
      <c r="C50" s="123" t="s">
        <v>818</v>
      </c>
      <c r="D50" s="124" t="s">
        <v>725</v>
      </c>
      <c r="E50" s="124"/>
      <c r="F50" s="124"/>
      <c r="G50" s="87"/>
      <c r="H50" s="87"/>
    </row>
    <row r="51" spans="1:8">
      <c r="A51" s="142" t="s">
        <v>211</v>
      </c>
      <c r="B51" s="124" t="s">
        <v>939</v>
      </c>
      <c r="C51" s="123" t="s">
        <v>821</v>
      </c>
      <c r="D51" s="124" t="s">
        <v>725</v>
      </c>
      <c r="E51" s="91"/>
      <c r="F51" s="123"/>
      <c r="G51" s="87"/>
      <c r="H51" s="87"/>
    </row>
    <row r="52" spans="1:8">
      <c r="A52" s="142"/>
      <c r="B52" s="124"/>
      <c r="C52" s="123"/>
      <c r="D52" s="123"/>
      <c r="E52" s="91"/>
      <c r="F52" s="123"/>
      <c r="G52" s="87"/>
      <c r="H52" s="87"/>
    </row>
    <row r="53" spans="1:8">
      <c r="A53" s="142"/>
      <c r="B53" s="124"/>
      <c r="C53" s="123"/>
      <c r="D53" s="123"/>
      <c r="E53" s="91"/>
      <c r="F53" s="123"/>
      <c r="G53" s="87"/>
      <c r="H53" s="87"/>
    </row>
    <row r="54" spans="1:8">
      <c r="A54" s="142"/>
      <c r="B54" s="124"/>
      <c r="C54" s="123"/>
      <c r="D54" s="124"/>
      <c r="E54" s="124"/>
      <c r="F54" s="124"/>
      <c r="G54" s="87"/>
      <c r="H54" s="87"/>
    </row>
    <row r="55" spans="1:8">
      <c r="A55" s="142"/>
      <c r="B55" s="124"/>
      <c r="C55" s="123"/>
      <c r="D55" s="124"/>
      <c r="E55" s="124"/>
      <c r="F55" s="185"/>
      <c r="G55" s="87"/>
      <c r="H55" s="87"/>
    </row>
    <row r="56" spans="1:8">
      <c r="A56" s="142"/>
      <c r="B56" s="124"/>
      <c r="C56" s="123"/>
      <c r="D56" s="123"/>
      <c r="E56" s="124"/>
      <c r="F56" s="124"/>
      <c r="G56" s="87"/>
      <c r="H56" s="87"/>
    </row>
    <row r="57" spans="1:8">
      <c r="A57" s="142"/>
      <c r="B57" s="124"/>
      <c r="C57" s="123"/>
      <c r="D57" s="124"/>
      <c r="E57" s="124"/>
      <c r="F57" s="124"/>
      <c r="G57" s="87"/>
      <c r="H57" s="87"/>
    </row>
    <row r="58" spans="1:8">
      <c r="A58" s="142"/>
      <c r="B58" s="124"/>
      <c r="C58" s="123"/>
      <c r="D58" s="124"/>
      <c r="E58" s="124"/>
      <c r="F58" s="124"/>
      <c r="G58" s="87"/>
      <c r="H58" s="87"/>
    </row>
    <row r="59" spans="1:8">
      <c r="A59" s="142"/>
      <c r="B59" s="124"/>
      <c r="C59" s="123"/>
      <c r="D59" s="124"/>
      <c r="E59" s="124"/>
      <c r="F59" s="124"/>
      <c r="G59" s="87"/>
      <c r="H59" s="87"/>
    </row>
    <row r="60" spans="1:8">
      <c r="A60" s="142"/>
      <c r="B60" s="124"/>
      <c r="C60" s="123"/>
      <c r="D60" s="123"/>
      <c r="E60" s="124"/>
      <c r="F60" s="124"/>
      <c r="G60" s="87"/>
      <c r="H60" s="87"/>
    </row>
    <row r="61" spans="1:8">
      <c r="A61" s="142"/>
      <c r="B61" s="124"/>
      <c r="C61" s="123"/>
      <c r="D61" s="123"/>
      <c r="E61" s="124"/>
      <c r="F61" s="124"/>
      <c r="G61" s="87"/>
      <c r="H61" s="87"/>
    </row>
    <row r="62" spans="1:8">
      <c r="A62" s="142"/>
      <c r="B62" s="124"/>
      <c r="C62" s="123"/>
      <c r="D62" s="123"/>
      <c r="E62" s="124"/>
      <c r="F62" s="124"/>
      <c r="G62" s="87"/>
      <c r="H62" s="87"/>
    </row>
    <row r="63" spans="1:8">
      <c r="A63" s="142"/>
      <c r="B63" s="124"/>
      <c r="C63" s="123"/>
      <c r="D63" s="123"/>
      <c r="E63" s="124"/>
      <c r="F63" s="124"/>
      <c r="G63" s="87"/>
      <c r="H63" s="87"/>
    </row>
    <row r="64" spans="1:8">
      <c r="A64" s="142"/>
      <c r="B64" s="124"/>
      <c r="C64" s="123"/>
      <c r="D64" s="123"/>
      <c r="E64" s="124"/>
      <c r="F64" s="124"/>
      <c r="G64" s="87"/>
      <c r="H64" s="87"/>
    </row>
    <row r="65" spans="1:8">
      <c r="A65" s="142"/>
      <c r="B65" s="124"/>
      <c r="C65" s="123"/>
      <c r="D65" s="123"/>
      <c r="E65" s="124"/>
      <c r="F65" s="124"/>
      <c r="G65" s="87"/>
      <c r="H65" s="87"/>
    </row>
    <row r="66" spans="1:8">
      <c r="A66" s="142"/>
      <c r="B66" s="124"/>
      <c r="C66" s="123"/>
      <c r="D66" s="92"/>
      <c r="E66" s="91"/>
      <c r="F66" s="92"/>
      <c r="G66" s="87"/>
      <c r="H66" s="87"/>
    </row>
    <row r="67" spans="1:8">
      <c r="A67" s="142"/>
      <c r="B67" s="124"/>
      <c r="C67" s="123"/>
      <c r="D67" s="123"/>
      <c r="E67" s="124"/>
      <c r="F67" s="124"/>
      <c r="G67" s="87"/>
      <c r="H67" s="87"/>
    </row>
    <row r="68" spans="1:8">
      <c r="A68" s="142"/>
      <c r="B68" s="124"/>
      <c r="C68" s="123"/>
      <c r="D68" s="123"/>
      <c r="E68" s="124"/>
      <c r="F68" s="124"/>
      <c r="G68" s="87"/>
      <c r="H68" s="87"/>
    </row>
    <row r="69" spans="1:8">
      <c r="A69" s="142"/>
      <c r="B69" s="124"/>
      <c r="C69" s="123"/>
      <c r="D69" s="123"/>
      <c r="E69" s="124"/>
      <c r="F69" s="124"/>
      <c r="G69" s="87"/>
      <c r="H69" s="87"/>
    </row>
    <row r="70" spans="1:8">
      <c r="A70" s="142"/>
      <c r="B70" s="124"/>
      <c r="C70" s="123"/>
      <c r="D70" s="123"/>
      <c r="E70" s="124"/>
      <c r="F70" s="124"/>
      <c r="G70" s="87"/>
      <c r="H70" s="87"/>
    </row>
    <row r="71" spans="1:8">
      <c r="A71" s="142"/>
      <c r="B71" s="124"/>
      <c r="C71" s="123"/>
      <c r="D71" s="123"/>
      <c r="E71" s="124"/>
      <c r="F71" s="124"/>
      <c r="G71" s="87"/>
      <c r="H71" s="87"/>
    </row>
    <row r="72" spans="1:8">
      <c r="A72" s="142"/>
      <c r="B72" s="124"/>
      <c r="C72" s="123"/>
      <c r="D72" s="123"/>
      <c r="E72" s="124"/>
      <c r="F72" s="124"/>
      <c r="G72" s="87"/>
      <c r="H72" s="87"/>
    </row>
    <row r="73" spans="1:8">
      <c r="A73" s="142"/>
      <c r="B73" s="124"/>
      <c r="C73" s="123"/>
      <c r="D73" s="123"/>
      <c r="E73" s="124"/>
      <c r="F73" s="124"/>
      <c r="G73" s="87"/>
      <c r="H73" s="87"/>
    </row>
    <row r="74" spans="1:8">
      <c r="A74" s="142"/>
      <c r="B74" s="124"/>
      <c r="C74" s="123"/>
      <c r="D74" s="123"/>
      <c r="E74" s="124"/>
      <c r="F74" s="124"/>
      <c r="G74" s="87"/>
      <c r="H74" s="87"/>
    </row>
    <row r="75" spans="1:8">
      <c r="A75" s="142"/>
      <c r="B75" s="124"/>
      <c r="C75" s="123"/>
      <c r="D75" s="123"/>
      <c r="E75" s="124"/>
      <c r="F75" s="124"/>
      <c r="G75" s="87"/>
      <c r="H75" s="87"/>
    </row>
    <row r="76" spans="1:8">
      <c r="A76" s="142"/>
      <c r="B76" s="124"/>
      <c r="C76" s="123"/>
      <c r="D76" s="123"/>
      <c r="E76" s="124"/>
      <c r="F76" s="124"/>
      <c r="G76" s="87"/>
      <c r="H76" s="87"/>
    </row>
    <row r="77" spans="1:8">
      <c r="A77" s="142"/>
      <c r="B77" s="124"/>
      <c r="C77" s="123"/>
      <c r="D77" s="123"/>
      <c r="E77" s="124"/>
      <c r="F77" s="123"/>
      <c r="G77" s="87"/>
      <c r="H77" s="87"/>
    </row>
    <row r="78" spans="1:8">
      <c r="A78" s="142"/>
      <c r="B78" s="124"/>
      <c r="C78" s="123"/>
      <c r="D78" s="123"/>
      <c r="E78" s="124"/>
      <c r="F78" s="124"/>
      <c r="G78" s="87"/>
      <c r="H78" s="87"/>
    </row>
    <row r="79" spans="1:8">
      <c r="A79" s="142"/>
      <c r="B79" s="124"/>
      <c r="C79" s="123"/>
      <c r="D79" s="123"/>
      <c r="E79" s="124"/>
      <c r="F79" s="124"/>
      <c r="G79" s="87"/>
      <c r="H79" s="87"/>
    </row>
    <row r="80" spans="1:8">
      <c r="A80" s="142"/>
      <c r="B80" s="124"/>
      <c r="C80" s="123"/>
      <c r="D80" s="124"/>
      <c r="E80" s="124"/>
      <c r="F80" s="124"/>
      <c r="G80" s="87"/>
      <c r="H80" s="87"/>
    </row>
    <row r="81" spans="1:8">
      <c r="A81" s="142"/>
      <c r="B81" s="124"/>
      <c r="C81" s="123"/>
      <c r="D81" s="123"/>
      <c r="E81" s="124"/>
      <c r="F81" s="124"/>
      <c r="G81" s="87"/>
      <c r="H81" s="87"/>
    </row>
    <row r="82" spans="1:8">
      <c r="A82" s="142"/>
      <c r="B82" s="124"/>
      <c r="C82" s="123"/>
      <c r="D82" s="123"/>
      <c r="E82" s="124"/>
      <c r="F82" s="124"/>
      <c r="G82" s="87"/>
      <c r="H82" s="87"/>
    </row>
    <row r="83" spans="1:8">
      <c r="A83" s="142"/>
      <c r="B83" s="124"/>
      <c r="C83" s="123"/>
      <c r="D83" s="123"/>
      <c r="E83" s="124"/>
      <c r="F83" s="124"/>
      <c r="G83" s="87"/>
      <c r="H83" s="87"/>
    </row>
    <row r="84" spans="1:8">
      <c r="A84" s="142"/>
      <c r="B84" s="124"/>
      <c r="C84" s="123"/>
      <c r="D84" s="123"/>
      <c r="E84" s="124"/>
      <c r="F84" s="123"/>
      <c r="G84" s="87"/>
      <c r="H84" s="87"/>
    </row>
    <row r="85" spans="1:8">
      <c r="A85" s="142"/>
      <c r="B85" s="124"/>
      <c r="C85" s="123"/>
      <c r="D85" s="123"/>
      <c r="E85" s="124"/>
      <c r="F85" s="124"/>
      <c r="G85" s="87"/>
      <c r="H85" s="87"/>
    </row>
    <row r="86" spans="1:8">
      <c r="A86" s="142"/>
      <c r="B86" s="124"/>
      <c r="C86" s="123"/>
      <c r="D86" s="123"/>
      <c r="E86" s="91"/>
      <c r="F86" s="123"/>
      <c r="G86" s="87"/>
      <c r="H86" s="87"/>
    </row>
    <row r="87" spans="1:8">
      <c r="A87" s="142"/>
      <c r="B87" s="124"/>
      <c r="C87" s="123"/>
      <c r="D87" s="123"/>
      <c r="E87" s="91"/>
      <c r="F87" s="123"/>
      <c r="G87" s="87"/>
      <c r="H87" s="87"/>
    </row>
    <row r="88" spans="1:8">
      <c r="A88" s="142"/>
      <c r="B88" s="124"/>
      <c r="C88" s="123"/>
      <c r="D88" s="123"/>
      <c r="E88" s="91"/>
      <c r="F88" s="123"/>
      <c r="G88" s="142"/>
      <c r="H88" s="87"/>
    </row>
    <row r="89" spans="1:8">
      <c r="A89" s="142"/>
      <c r="B89" s="124"/>
      <c r="C89" s="123"/>
      <c r="D89" s="124"/>
      <c r="E89" s="91"/>
      <c r="F89" s="123"/>
      <c r="G89" s="87"/>
      <c r="H89" s="87"/>
    </row>
    <row r="90" spans="1:8" ht="13.15" customHeight="1">
      <c r="A90" s="142"/>
      <c r="B90" s="124"/>
      <c r="C90" s="123"/>
      <c r="D90" s="123"/>
      <c r="E90" s="124"/>
      <c r="F90" s="123"/>
      <c r="G90" s="142"/>
      <c r="H90" s="87"/>
    </row>
    <row r="91" spans="1:8">
      <c r="A91" s="142"/>
      <c r="B91" s="124"/>
      <c r="C91" s="123"/>
      <c r="D91" s="124"/>
      <c r="E91" s="124"/>
      <c r="F91" s="124"/>
      <c r="G91" s="142"/>
      <c r="H91" s="87"/>
    </row>
    <row r="92" spans="1:8">
      <c r="A92" s="142"/>
      <c r="B92" s="124"/>
      <c r="C92" s="123"/>
      <c r="D92" s="123"/>
      <c r="E92" s="124"/>
      <c r="F92" s="123"/>
      <c r="G92" s="142"/>
      <c r="H92" s="87"/>
    </row>
    <row r="93" spans="1:8">
      <c r="A93" s="142"/>
      <c r="B93" s="124"/>
      <c r="C93" s="123"/>
      <c r="D93" s="123"/>
      <c r="E93" s="124"/>
      <c r="F93" s="123"/>
      <c r="G93" s="142"/>
      <c r="H93" s="87"/>
    </row>
    <row r="94" spans="1:8">
      <c r="A94" s="142"/>
      <c r="B94" s="124"/>
      <c r="C94" s="123"/>
      <c r="D94" s="123"/>
      <c r="E94" s="124"/>
      <c r="F94" s="123"/>
      <c r="G94" s="142"/>
      <c r="H94" s="87"/>
    </row>
    <row r="95" spans="1:8">
      <c r="A95" s="142"/>
      <c r="B95" s="124"/>
      <c r="C95" s="123"/>
      <c r="D95" s="123"/>
      <c r="E95" s="124"/>
      <c r="F95" s="123"/>
      <c r="G95" s="142"/>
      <c r="H95" s="87"/>
    </row>
    <row r="96" spans="1:8">
      <c r="A96" s="142"/>
      <c r="B96" s="124"/>
      <c r="C96" s="123"/>
      <c r="D96" s="123"/>
      <c r="E96" s="124"/>
      <c r="F96" s="123"/>
      <c r="G96" s="142"/>
      <c r="H96" s="87"/>
    </row>
    <row r="97" spans="1:8">
      <c r="A97" s="142"/>
      <c r="B97" s="124"/>
      <c r="C97" s="123"/>
      <c r="D97" s="123"/>
      <c r="E97" s="124"/>
      <c r="F97" s="123"/>
      <c r="G97" s="142"/>
      <c r="H97" s="87"/>
    </row>
    <row r="98" spans="1:8" ht="26.45" customHeight="1">
      <c r="A98" s="142"/>
      <c r="B98" s="124"/>
      <c r="C98" s="123"/>
      <c r="D98" s="123"/>
      <c r="E98" s="124"/>
      <c r="F98" s="123"/>
      <c r="G98" s="142"/>
      <c r="H98" s="87"/>
    </row>
    <row r="99" spans="1:8">
      <c r="A99" s="142"/>
      <c r="B99" s="124"/>
      <c r="C99" s="123"/>
      <c r="D99" s="123"/>
      <c r="E99" s="124"/>
      <c r="F99" s="123"/>
      <c r="G99" s="142"/>
      <c r="H99" s="87"/>
    </row>
    <row r="100" spans="1:8">
      <c r="A100" s="142"/>
      <c r="B100" s="124"/>
      <c r="C100" s="123"/>
      <c r="D100" s="123"/>
      <c r="E100" s="124"/>
      <c r="F100" s="123"/>
      <c r="G100" s="142"/>
      <c r="H100" s="87"/>
    </row>
    <row r="101" spans="1:8">
      <c r="A101" s="142"/>
      <c r="B101" s="124"/>
      <c r="C101" s="123"/>
      <c r="D101" s="124"/>
      <c r="E101" s="124"/>
      <c r="F101" s="124"/>
      <c r="G101" s="142"/>
      <c r="H101" s="87"/>
    </row>
    <row r="102" spans="1:8">
      <c r="A102" s="142"/>
      <c r="B102" s="124"/>
      <c r="C102" s="123"/>
      <c r="D102" s="123"/>
      <c r="E102" s="124"/>
      <c r="F102" s="123"/>
      <c r="G102" s="142"/>
      <c r="H102" s="87"/>
    </row>
    <row r="103" spans="1:8">
      <c r="A103" s="142"/>
      <c r="B103" s="124"/>
      <c r="C103" s="123"/>
      <c r="D103" s="123"/>
      <c r="E103" s="124"/>
      <c r="F103" s="123"/>
      <c r="G103" s="142"/>
      <c r="H103" s="87"/>
    </row>
    <row r="104" spans="1:8">
      <c r="A104" s="142"/>
      <c r="B104" s="124"/>
      <c r="C104" s="123"/>
      <c r="D104" s="123"/>
      <c r="E104" s="124"/>
      <c r="F104" s="123"/>
      <c r="G104" s="142"/>
      <c r="H104" s="87"/>
    </row>
    <row r="105" spans="1:8">
      <c r="A105" s="142"/>
      <c r="B105" s="124"/>
      <c r="C105" s="123"/>
      <c r="D105" s="124"/>
      <c r="E105" s="91"/>
      <c r="F105" s="123"/>
      <c r="G105" s="142"/>
      <c r="H105" s="87"/>
    </row>
    <row r="106" spans="1:8">
      <c r="A106" s="142"/>
      <c r="B106" s="124"/>
      <c r="C106" s="123"/>
      <c r="D106" s="123"/>
      <c r="E106" s="124"/>
      <c r="F106" s="123"/>
      <c r="G106" s="142"/>
      <c r="H106" s="87"/>
    </row>
    <row r="107" spans="1:8">
      <c r="A107" s="142"/>
      <c r="B107" s="124"/>
      <c r="C107" s="123"/>
      <c r="D107" s="123"/>
      <c r="E107" s="124"/>
      <c r="F107" s="123"/>
      <c r="G107" s="142"/>
      <c r="H107" s="87"/>
    </row>
  </sheetData>
  <mergeCells count="2">
    <mergeCell ref="C2:I2"/>
    <mergeCell ref="C4:I4"/>
  </mergeCells>
  <hyperlinks>
    <hyperlink ref="B1" location="Summary!A1" display="Summary" xr:uid="{B6878B2F-4F73-46F8-859C-1B0CD3C2B641}"/>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E9563-9EAB-46BA-A924-628CAE2100EA}">
  <dimension ref="A1:I107"/>
  <sheetViews>
    <sheetView workbookViewId="0">
      <selection activeCell="B1" sqref="B1"/>
    </sheetView>
  </sheetViews>
  <sheetFormatPr defaultColWidth="9.140625" defaultRowHeight="12.75"/>
  <cols>
    <col min="1" max="1" width="28.7109375" style="82" bestFit="1" customWidth="1"/>
    <col min="2" max="2" width="34" style="82" customWidth="1"/>
    <col min="3" max="3" width="49.140625" style="82" customWidth="1"/>
    <col min="4" max="4" width="42.140625" style="82" bestFit="1" customWidth="1"/>
    <col min="5" max="5" width="30.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3032</v>
      </c>
      <c r="C2" s="317"/>
      <c r="D2" s="317"/>
      <c r="E2" s="317"/>
      <c r="F2" s="317"/>
      <c r="G2" s="317"/>
      <c r="H2" s="317"/>
      <c r="I2" s="317"/>
    </row>
    <row r="3" spans="1:9">
      <c r="B3" s="107" t="s">
        <v>2629</v>
      </c>
      <c r="C3" s="138"/>
      <c r="D3" s="138"/>
      <c r="E3" s="138"/>
      <c r="F3" s="138"/>
      <c r="G3" s="138"/>
      <c r="H3" s="138"/>
      <c r="I3" s="138"/>
    </row>
    <row r="4" spans="1:9">
      <c r="B4" s="107" t="s">
        <v>571</v>
      </c>
      <c r="C4" s="318" t="str">
        <f>Summary!O294</f>
        <v>This table contains information for the Bill Segment Errors/Exceptions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ht="114.75">
      <c r="A7" s="142" t="s">
        <v>3033</v>
      </c>
      <c r="B7" s="124" t="s">
        <v>1630</v>
      </c>
      <c r="C7" s="123" t="s">
        <v>1631</v>
      </c>
      <c r="D7" s="124" t="s">
        <v>3034</v>
      </c>
      <c r="E7" s="124" t="s">
        <v>3035</v>
      </c>
      <c r="F7" s="185" t="s">
        <v>3036</v>
      </c>
      <c r="G7" s="87"/>
      <c r="H7" s="87"/>
    </row>
    <row r="8" spans="1:9">
      <c r="A8" s="142" t="s">
        <v>3033</v>
      </c>
      <c r="B8" s="124" t="s">
        <v>1426</v>
      </c>
      <c r="C8" s="123" t="s">
        <v>1427</v>
      </c>
      <c r="D8" s="124" t="s">
        <v>725</v>
      </c>
      <c r="E8" s="124"/>
      <c r="F8" s="185"/>
      <c r="G8" s="87"/>
      <c r="H8" s="87"/>
    </row>
    <row r="9" spans="1:9">
      <c r="A9" s="142" t="s">
        <v>3033</v>
      </c>
      <c r="B9" s="124" t="s">
        <v>1429</v>
      </c>
      <c r="C9" s="123" t="s">
        <v>1430</v>
      </c>
      <c r="D9" s="123" t="s">
        <v>725</v>
      </c>
      <c r="E9" s="124"/>
      <c r="F9" s="124"/>
      <c r="G9" s="87"/>
      <c r="H9" s="87"/>
    </row>
    <row r="10" spans="1:9">
      <c r="A10" s="142" t="s">
        <v>3033</v>
      </c>
      <c r="B10" s="124" t="s">
        <v>3037</v>
      </c>
      <c r="C10" s="123" t="s">
        <v>2849</v>
      </c>
      <c r="D10" s="124" t="s">
        <v>1018</v>
      </c>
      <c r="E10" s="124"/>
      <c r="F10" s="124" t="s">
        <v>786</v>
      </c>
      <c r="G10" s="87"/>
      <c r="H10" s="87"/>
    </row>
    <row r="11" spans="1:9">
      <c r="A11" s="142" t="s">
        <v>3033</v>
      </c>
      <c r="B11" s="124" t="s">
        <v>2993</v>
      </c>
      <c r="C11" s="123" t="s">
        <v>2851</v>
      </c>
      <c r="D11" s="124" t="s">
        <v>725</v>
      </c>
      <c r="E11" s="124"/>
      <c r="F11" s="124"/>
      <c r="G11" s="87"/>
      <c r="H11" s="87"/>
    </row>
    <row r="12" spans="1:9">
      <c r="A12" s="142" t="s">
        <v>3033</v>
      </c>
      <c r="B12" s="124" t="s">
        <v>2994</v>
      </c>
      <c r="C12" s="123" t="s">
        <v>2854</v>
      </c>
      <c r="D12" s="124" t="s">
        <v>725</v>
      </c>
      <c r="E12" s="124"/>
      <c r="F12" s="124"/>
      <c r="G12" s="87"/>
      <c r="H12" s="87"/>
    </row>
    <row r="13" spans="1:9">
      <c r="A13" s="142" t="s">
        <v>3033</v>
      </c>
      <c r="B13" s="124" t="s">
        <v>2995</v>
      </c>
      <c r="C13" s="123" t="s">
        <v>2856</v>
      </c>
      <c r="D13" s="124" t="s">
        <v>725</v>
      </c>
      <c r="E13" s="124"/>
      <c r="F13" s="124"/>
      <c r="G13" s="87"/>
      <c r="H13" s="87"/>
    </row>
    <row r="14" spans="1:9">
      <c r="A14" s="142" t="s">
        <v>3033</v>
      </c>
      <c r="B14" s="124" t="s">
        <v>2996</v>
      </c>
      <c r="C14" s="123" t="s">
        <v>2858</v>
      </c>
      <c r="D14" s="124" t="s">
        <v>725</v>
      </c>
      <c r="E14" s="124"/>
      <c r="F14" s="124"/>
      <c r="G14" s="87"/>
      <c r="H14" s="87"/>
    </row>
    <row r="15" spans="1:9">
      <c r="A15" s="142" t="s">
        <v>3033</v>
      </c>
      <c r="B15" s="124" t="s">
        <v>2997</v>
      </c>
      <c r="C15" s="123" t="s">
        <v>2860</v>
      </c>
      <c r="D15" s="124" t="s">
        <v>725</v>
      </c>
      <c r="E15" s="124"/>
      <c r="F15" s="124"/>
      <c r="G15" s="87"/>
      <c r="H15" s="87"/>
    </row>
    <row r="16" spans="1:9">
      <c r="A16" s="142" t="s">
        <v>3033</v>
      </c>
      <c r="B16" s="124" t="s">
        <v>2998</v>
      </c>
      <c r="C16" s="123" t="s">
        <v>2862</v>
      </c>
      <c r="D16" s="124" t="s">
        <v>725</v>
      </c>
      <c r="E16" s="124"/>
      <c r="F16" s="124"/>
      <c r="G16" s="87"/>
      <c r="H16" s="87"/>
    </row>
    <row r="17" spans="1:8">
      <c r="A17" s="142" t="s">
        <v>3033</v>
      </c>
      <c r="B17" s="124" t="s">
        <v>2999</v>
      </c>
      <c r="C17" s="123" t="s">
        <v>2864</v>
      </c>
      <c r="D17" s="124" t="s">
        <v>725</v>
      </c>
      <c r="E17" s="124"/>
      <c r="F17" s="124"/>
      <c r="G17" s="87"/>
      <c r="H17" s="87"/>
    </row>
    <row r="18" spans="1:8">
      <c r="A18" s="142" t="s">
        <v>3033</v>
      </c>
      <c r="B18" s="124" t="s">
        <v>3000</v>
      </c>
      <c r="C18" s="123" t="s">
        <v>2866</v>
      </c>
      <c r="D18" s="124" t="s">
        <v>725</v>
      </c>
      <c r="E18" s="124"/>
      <c r="F18" s="124"/>
      <c r="G18" s="87"/>
      <c r="H18" s="87"/>
    </row>
    <row r="19" spans="1:8">
      <c r="A19" s="142" t="s">
        <v>3033</v>
      </c>
      <c r="B19" s="124" t="s">
        <v>3001</v>
      </c>
      <c r="C19" s="123" t="s">
        <v>2868</v>
      </c>
      <c r="D19" s="124" t="s">
        <v>725</v>
      </c>
      <c r="E19" s="91"/>
      <c r="F19" s="92"/>
      <c r="G19" s="87"/>
      <c r="H19" s="87"/>
    </row>
    <row r="20" spans="1:8">
      <c r="A20" s="142" t="s">
        <v>3033</v>
      </c>
      <c r="B20" s="124" t="s">
        <v>3002</v>
      </c>
      <c r="C20" s="123" t="s">
        <v>2870</v>
      </c>
      <c r="D20" s="124" t="s">
        <v>725</v>
      </c>
      <c r="E20" s="124"/>
      <c r="F20" s="124"/>
      <c r="G20" s="87"/>
      <c r="H20" s="87"/>
    </row>
    <row r="21" spans="1:8">
      <c r="A21" s="142" t="s">
        <v>3033</v>
      </c>
      <c r="B21" s="124" t="s">
        <v>3003</v>
      </c>
      <c r="C21" s="123" t="s">
        <v>2872</v>
      </c>
      <c r="D21" s="124" t="s">
        <v>725</v>
      </c>
      <c r="E21" s="124"/>
      <c r="F21" s="124"/>
      <c r="G21" s="87"/>
      <c r="H21" s="87"/>
    </row>
    <row r="22" spans="1:8" ht="38.25">
      <c r="A22" s="142" t="s">
        <v>3033</v>
      </c>
      <c r="B22" s="124" t="s">
        <v>1293</v>
      </c>
      <c r="C22" s="123" t="s">
        <v>1294</v>
      </c>
      <c r="D22" s="92" t="s">
        <v>2666</v>
      </c>
      <c r="E22" s="91"/>
      <c r="F22" s="92" t="s">
        <v>786</v>
      </c>
      <c r="G22" s="87"/>
      <c r="H22" s="87"/>
    </row>
    <row r="23" spans="1:8">
      <c r="A23" s="142" t="s">
        <v>3033</v>
      </c>
      <c r="B23" s="124" t="s">
        <v>933</v>
      </c>
      <c r="C23" s="123" t="s">
        <v>798</v>
      </c>
      <c r="D23" s="124" t="s">
        <v>725</v>
      </c>
      <c r="E23" s="124"/>
      <c r="F23" s="124"/>
      <c r="G23" s="87"/>
      <c r="H23" s="87"/>
    </row>
    <row r="24" spans="1:8">
      <c r="A24" s="142" t="s">
        <v>3033</v>
      </c>
      <c r="B24" s="124" t="s">
        <v>3004</v>
      </c>
      <c r="C24" s="123" t="s">
        <v>2874</v>
      </c>
      <c r="D24" s="124" t="s">
        <v>725</v>
      </c>
      <c r="E24" s="124"/>
      <c r="F24" s="124"/>
      <c r="G24" s="87"/>
      <c r="H24" s="87"/>
    </row>
    <row r="25" spans="1:8" ht="38.25">
      <c r="A25" s="142" t="s">
        <v>3033</v>
      </c>
      <c r="B25" s="124" t="s">
        <v>3005</v>
      </c>
      <c r="C25" s="123" t="s">
        <v>2876</v>
      </c>
      <c r="D25" s="92" t="s">
        <v>2666</v>
      </c>
      <c r="E25" s="91"/>
      <c r="F25" s="92" t="s">
        <v>804</v>
      </c>
      <c r="G25" s="87"/>
      <c r="H25" s="87"/>
    </row>
    <row r="26" spans="1:8">
      <c r="A26" s="142" t="s">
        <v>3033</v>
      </c>
      <c r="B26" s="124" t="s">
        <v>3006</v>
      </c>
      <c r="C26" s="123" t="s">
        <v>2878</v>
      </c>
      <c r="D26" s="124" t="s">
        <v>725</v>
      </c>
      <c r="E26" s="124"/>
      <c r="F26" s="124"/>
      <c r="G26" s="87"/>
      <c r="H26" s="87"/>
    </row>
    <row r="27" spans="1:8">
      <c r="A27" s="142" t="s">
        <v>3033</v>
      </c>
      <c r="B27" s="124" t="s">
        <v>1499</v>
      </c>
      <c r="C27" s="123" t="s">
        <v>858</v>
      </c>
      <c r="D27" s="124" t="s">
        <v>725</v>
      </c>
      <c r="E27" s="124"/>
      <c r="F27" s="124"/>
      <c r="G27" s="87"/>
      <c r="H27" s="87"/>
    </row>
    <row r="28" spans="1:8">
      <c r="A28" s="142" t="s">
        <v>3033</v>
      </c>
      <c r="B28" s="124" t="s">
        <v>946</v>
      </c>
      <c r="C28" s="123" t="s">
        <v>806</v>
      </c>
      <c r="D28" s="124" t="s">
        <v>725</v>
      </c>
      <c r="E28" s="124"/>
      <c r="F28" s="124"/>
      <c r="G28" s="87"/>
      <c r="H28" s="87"/>
    </row>
    <row r="29" spans="1:8">
      <c r="A29" s="142" t="s">
        <v>3007</v>
      </c>
      <c r="B29" s="124" t="s">
        <v>3008</v>
      </c>
      <c r="C29" s="123" t="s">
        <v>1551</v>
      </c>
      <c r="D29" s="123" t="s">
        <v>3009</v>
      </c>
      <c r="E29" s="124"/>
      <c r="F29" s="124" t="s">
        <v>786</v>
      </c>
      <c r="G29" s="87"/>
      <c r="H29" s="87"/>
    </row>
    <row r="30" spans="1:8">
      <c r="A30" s="142" t="s">
        <v>3007</v>
      </c>
      <c r="B30" s="124" t="s">
        <v>1859</v>
      </c>
      <c r="C30" s="123" t="s">
        <v>1038</v>
      </c>
      <c r="D30" s="124" t="s">
        <v>725</v>
      </c>
      <c r="E30" s="124"/>
      <c r="F30" s="123"/>
      <c r="G30" s="87"/>
      <c r="H30" s="87"/>
    </row>
    <row r="31" spans="1:8" ht="25.5">
      <c r="A31" s="142" t="s">
        <v>3007</v>
      </c>
      <c r="B31" s="124" t="s">
        <v>3010</v>
      </c>
      <c r="C31" s="123" t="s">
        <v>3011</v>
      </c>
      <c r="D31" s="123" t="s">
        <v>706</v>
      </c>
      <c r="E31" s="124"/>
      <c r="F31" s="124" t="s">
        <v>1887</v>
      </c>
      <c r="G31" s="142" t="s">
        <v>3038</v>
      </c>
      <c r="H31" s="87"/>
    </row>
    <row r="32" spans="1:8">
      <c r="A32" s="142" t="s">
        <v>3007</v>
      </c>
      <c r="B32" s="124" t="s">
        <v>946</v>
      </c>
      <c r="C32" s="123" t="s">
        <v>806</v>
      </c>
      <c r="D32" s="124" t="s">
        <v>725</v>
      </c>
      <c r="E32" s="124"/>
      <c r="F32" s="124"/>
      <c r="G32" s="87"/>
      <c r="H32" s="87"/>
    </row>
    <row r="33" spans="1:8" ht="25.5">
      <c r="A33" s="142" t="s">
        <v>211</v>
      </c>
      <c r="B33" s="124" t="s">
        <v>3008</v>
      </c>
      <c r="C33" s="123" t="s">
        <v>1551</v>
      </c>
      <c r="D33" s="124" t="s">
        <v>725</v>
      </c>
      <c r="E33" s="124"/>
      <c r="F33" s="124"/>
      <c r="G33" s="142" t="s">
        <v>3013</v>
      </c>
      <c r="H33" s="87"/>
    </row>
    <row r="34" spans="1:8">
      <c r="A34" s="142" t="s">
        <v>211</v>
      </c>
      <c r="B34" s="124" t="s">
        <v>3014</v>
      </c>
      <c r="C34" s="123" t="s">
        <v>2701</v>
      </c>
      <c r="D34" s="124" t="s">
        <v>725</v>
      </c>
      <c r="E34" s="124"/>
      <c r="F34" s="124"/>
      <c r="G34" s="87"/>
      <c r="H34" s="87"/>
    </row>
    <row r="35" spans="1:8">
      <c r="A35" s="142" t="s">
        <v>211</v>
      </c>
      <c r="B35" s="124" t="s">
        <v>3015</v>
      </c>
      <c r="C35" s="123" t="s">
        <v>2712</v>
      </c>
      <c r="D35" s="124" t="s">
        <v>725</v>
      </c>
      <c r="E35" s="124"/>
      <c r="F35" s="124"/>
      <c r="G35" s="87"/>
      <c r="H35" s="87"/>
    </row>
    <row r="36" spans="1:8">
      <c r="A36" s="142" t="s">
        <v>211</v>
      </c>
      <c r="B36" s="124" t="s">
        <v>1426</v>
      </c>
      <c r="C36" s="123" t="s">
        <v>1427</v>
      </c>
      <c r="D36" s="124" t="s">
        <v>725</v>
      </c>
      <c r="E36" s="124"/>
      <c r="F36" s="124"/>
      <c r="G36" s="87"/>
      <c r="H36" s="87"/>
    </row>
    <row r="37" spans="1:8">
      <c r="A37" s="142" t="s">
        <v>211</v>
      </c>
      <c r="B37" s="124" t="s">
        <v>1429</v>
      </c>
      <c r="C37" s="123" t="s">
        <v>1430</v>
      </c>
      <c r="D37" s="124" t="s">
        <v>725</v>
      </c>
      <c r="E37" s="124"/>
      <c r="F37" s="124"/>
      <c r="G37" s="142"/>
      <c r="H37" s="87"/>
    </row>
    <row r="38" spans="1:8" ht="38.25">
      <c r="A38" s="142" t="s">
        <v>211</v>
      </c>
      <c r="B38" s="124" t="s">
        <v>3016</v>
      </c>
      <c r="C38" s="123" t="s">
        <v>3017</v>
      </c>
      <c r="D38" s="92" t="s">
        <v>2666</v>
      </c>
      <c r="E38" s="91"/>
      <c r="F38" s="92" t="s">
        <v>804</v>
      </c>
      <c r="G38" s="87"/>
      <c r="H38" s="87"/>
    </row>
    <row r="39" spans="1:8">
      <c r="A39" s="142" t="s">
        <v>211</v>
      </c>
      <c r="B39" s="124" t="s">
        <v>3018</v>
      </c>
      <c r="C39" s="123" t="s">
        <v>1875</v>
      </c>
      <c r="D39" s="124" t="s">
        <v>3019</v>
      </c>
      <c r="E39" s="124"/>
      <c r="F39" s="124" t="s">
        <v>786</v>
      </c>
      <c r="G39" s="87"/>
      <c r="H39" s="87"/>
    </row>
    <row r="40" spans="1:8">
      <c r="A40" s="142" t="s">
        <v>211</v>
      </c>
      <c r="B40" s="124" t="s">
        <v>3020</v>
      </c>
      <c r="C40" s="123" t="s">
        <v>1878</v>
      </c>
      <c r="D40" s="124" t="s">
        <v>3021</v>
      </c>
      <c r="E40" s="124"/>
      <c r="F40" s="124" t="s">
        <v>786</v>
      </c>
      <c r="G40" s="87"/>
      <c r="H40" s="87"/>
    </row>
    <row r="41" spans="1:8">
      <c r="A41" s="142" t="s">
        <v>211</v>
      </c>
      <c r="B41" s="124" t="s">
        <v>3022</v>
      </c>
      <c r="C41" s="123" t="s">
        <v>564</v>
      </c>
      <c r="D41" s="124" t="s">
        <v>1018</v>
      </c>
      <c r="E41" s="124"/>
      <c r="F41" s="124" t="s">
        <v>786</v>
      </c>
      <c r="G41" s="87"/>
      <c r="H41" s="87"/>
    </row>
    <row r="42" spans="1:8">
      <c r="A42" s="142" t="s">
        <v>211</v>
      </c>
      <c r="B42" s="124" t="s">
        <v>946</v>
      </c>
      <c r="C42" s="123" t="s">
        <v>806</v>
      </c>
      <c r="D42" s="124" t="s">
        <v>725</v>
      </c>
      <c r="E42" s="124"/>
      <c r="F42" s="124"/>
      <c r="G42" s="87"/>
      <c r="H42" s="87"/>
    </row>
    <row r="43" spans="1:8">
      <c r="A43" s="142" t="s">
        <v>211</v>
      </c>
      <c r="B43" s="124" t="s">
        <v>933</v>
      </c>
      <c r="C43" s="123" t="s">
        <v>798</v>
      </c>
      <c r="D43" s="124" t="s">
        <v>725</v>
      </c>
      <c r="E43" s="124"/>
      <c r="F43" s="124"/>
      <c r="G43" s="87"/>
      <c r="H43" s="87"/>
    </row>
    <row r="44" spans="1:8">
      <c r="A44" s="142" t="s">
        <v>211</v>
      </c>
      <c r="B44" s="124" t="s">
        <v>3023</v>
      </c>
      <c r="C44" s="123" t="s">
        <v>3024</v>
      </c>
      <c r="D44" s="124" t="s">
        <v>725</v>
      </c>
      <c r="E44" s="124"/>
      <c r="F44" s="124"/>
      <c r="G44" s="87"/>
      <c r="H44" s="87"/>
    </row>
    <row r="45" spans="1:8">
      <c r="A45" s="142" t="s">
        <v>211</v>
      </c>
      <c r="B45" s="124" t="s">
        <v>3025</v>
      </c>
      <c r="C45" s="123" t="s">
        <v>2647</v>
      </c>
      <c r="D45" s="124" t="s">
        <v>725</v>
      </c>
      <c r="E45" s="124"/>
      <c r="F45" s="123"/>
      <c r="G45" s="87"/>
      <c r="H45" s="87"/>
    </row>
    <row r="46" spans="1:8">
      <c r="A46" s="142" t="s">
        <v>211</v>
      </c>
      <c r="B46" s="124" t="s">
        <v>3026</v>
      </c>
      <c r="C46" s="123" t="s">
        <v>3027</v>
      </c>
      <c r="D46" s="124" t="s">
        <v>725</v>
      </c>
      <c r="E46" s="124"/>
      <c r="F46" s="124"/>
      <c r="G46" s="87"/>
      <c r="H46" s="87"/>
    </row>
    <row r="47" spans="1:8" ht="38.25">
      <c r="A47" s="142" t="s">
        <v>211</v>
      </c>
      <c r="B47" s="124" t="s">
        <v>3028</v>
      </c>
      <c r="C47" s="123" t="s">
        <v>3029</v>
      </c>
      <c r="D47" s="92" t="s">
        <v>2666</v>
      </c>
      <c r="E47" s="91"/>
      <c r="F47" s="124"/>
      <c r="G47" s="87"/>
      <c r="H47" s="87"/>
    </row>
    <row r="48" spans="1:8">
      <c r="A48" s="142" t="s">
        <v>211</v>
      </c>
      <c r="B48" s="124" t="s">
        <v>1499</v>
      </c>
      <c r="C48" s="123" t="s">
        <v>858</v>
      </c>
      <c r="D48" s="124" t="s">
        <v>725</v>
      </c>
      <c r="E48" s="124"/>
      <c r="F48" s="124"/>
      <c r="G48" s="87"/>
      <c r="H48" s="87"/>
    </row>
    <row r="49" spans="1:8">
      <c r="A49" s="142" t="s">
        <v>211</v>
      </c>
      <c r="B49" s="124" t="s">
        <v>3030</v>
      </c>
      <c r="C49" s="123" t="s">
        <v>3031</v>
      </c>
      <c r="D49" s="124" t="s">
        <v>1018</v>
      </c>
      <c r="E49" s="124"/>
      <c r="F49" s="124" t="s">
        <v>786</v>
      </c>
      <c r="G49" s="87"/>
      <c r="H49" s="87"/>
    </row>
    <row r="50" spans="1:8">
      <c r="A50" s="142" t="s">
        <v>211</v>
      </c>
      <c r="B50" s="124" t="s">
        <v>940</v>
      </c>
      <c r="C50" s="123" t="s">
        <v>818</v>
      </c>
      <c r="D50" s="124" t="s">
        <v>725</v>
      </c>
      <c r="E50" s="124"/>
      <c r="F50" s="124"/>
      <c r="G50" s="87"/>
      <c r="H50" s="87"/>
    </row>
    <row r="51" spans="1:8">
      <c r="A51" s="142" t="s">
        <v>211</v>
      </c>
      <c r="B51" s="124" t="s">
        <v>939</v>
      </c>
      <c r="C51" s="123" t="s">
        <v>821</v>
      </c>
      <c r="D51" s="124" t="s">
        <v>725</v>
      </c>
      <c r="E51" s="91"/>
      <c r="F51" s="123"/>
      <c r="G51" s="87"/>
      <c r="H51" s="87"/>
    </row>
    <row r="52" spans="1:8">
      <c r="A52" s="142"/>
      <c r="B52" s="124"/>
      <c r="C52" s="123"/>
      <c r="D52" s="123"/>
      <c r="E52" s="91"/>
      <c r="F52" s="123"/>
      <c r="G52" s="87"/>
      <c r="H52" s="87"/>
    </row>
    <row r="53" spans="1:8">
      <c r="A53" s="142"/>
      <c r="B53" s="124"/>
      <c r="C53" s="123"/>
      <c r="D53" s="123"/>
      <c r="E53" s="91"/>
      <c r="F53" s="123"/>
      <c r="G53" s="87"/>
      <c r="H53" s="87"/>
    </row>
    <row r="54" spans="1:8">
      <c r="A54" s="142"/>
      <c r="B54" s="124"/>
      <c r="C54" s="123"/>
      <c r="D54" s="124"/>
      <c r="E54" s="124"/>
      <c r="F54" s="124"/>
      <c r="G54" s="87"/>
      <c r="H54" s="87"/>
    </row>
    <row r="55" spans="1:8">
      <c r="A55" s="142"/>
      <c r="B55" s="124"/>
      <c r="C55" s="123"/>
      <c r="D55" s="124"/>
      <c r="E55" s="124"/>
      <c r="F55" s="185"/>
      <c r="G55" s="87"/>
      <c r="H55" s="87"/>
    </row>
    <row r="56" spans="1:8">
      <c r="A56" s="142"/>
      <c r="B56" s="124"/>
      <c r="C56" s="123"/>
      <c r="D56" s="123"/>
      <c r="E56" s="124"/>
      <c r="F56" s="124"/>
      <c r="G56" s="87"/>
      <c r="H56" s="87"/>
    </row>
    <row r="57" spans="1:8">
      <c r="A57" s="142"/>
      <c r="B57" s="124"/>
      <c r="C57" s="123"/>
      <c r="D57" s="124"/>
      <c r="E57" s="124"/>
      <c r="F57" s="124"/>
      <c r="G57" s="87"/>
      <c r="H57" s="87"/>
    </row>
    <row r="58" spans="1:8">
      <c r="A58" s="142"/>
      <c r="B58" s="124"/>
      <c r="C58" s="123"/>
      <c r="D58" s="124"/>
      <c r="E58" s="124"/>
      <c r="F58" s="124"/>
      <c r="G58" s="87"/>
      <c r="H58" s="87"/>
    </row>
    <row r="59" spans="1:8">
      <c r="A59" s="142"/>
      <c r="B59" s="124"/>
      <c r="C59" s="123"/>
      <c r="D59" s="124"/>
      <c r="E59" s="124"/>
      <c r="F59" s="124"/>
      <c r="G59" s="87"/>
      <c r="H59" s="87"/>
    </row>
    <row r="60" spans="1:8">
      <c r="A60" s="142"/>
      <c r="B60" s="124"/>
      <c r="C60" s="123"/>
      <c r="D60" s="123"/>
      <c r="E60" s="124"/>
      <c r="F60" s="124"/>
      <c r="G60" s="87"/>
      <c r="H60" s="87"/>
    </row>
    <row r="61" spans="1:8">
      <c r="A61" s="142"/>
      <c r="B61" s="124"/>
      <c r="C61" s="123"/>
      <c r="D61" s="123"/>
      <c r="E61" s="124"/>
      <c r="F61" s="124"/>
      <c r="G61" s="87"/>
      <c r="H61" s="87"/>
    </row>
    <row r="62" spans="1:8">
      <c r="A62" s="142"/>
      <c r="B62" s="124"/>
      <c r="C62" s="123"/>
      <c r="D62" s="123"/>
      <c r="E62" s="124"/>
      <c r="F62" s="124"/>
      <c r="G62" s="87"/>
      <c r="H62" s="87"/>
    </row>
    <row r="63" spans="1:8">
      <c r="A63" s="142"/>
      <c r="B63" s="124"/>
      <c r="C63" s="123"/>
      <c r="D63" s="123"/>
      <c r="E63" s="124"/>
      <c r="F63" s="124"/>
      <c r="G63" s="87"/>
      <c r="H63" s="87"/>
    </row>
    <row r="64" spans="1:8">
      <c r="A64" s="142"/>
      <c r="B64" s="124"/>
      <c r="C64" s="123"/>
      <c r="D64" s="123"/>
      <c r="E64" s="124"/>
      <c r="F64" s="124"/>
      <c r="G64" s="87"/>
      <c r="H64" s="87"/>
    </row>
    <row r="65" spans="1:8">
      <c r="A65" s="142"/>
      <c r="B65" s="124"/>
      <c r="C65" s="123"/>
      <c r="D65" s="123"/>
      <c r="E65" s="124"/>
      <c r="F65" s="124"/>
      <c r="G65" s="87"/>
      <c r="H65" s="87"/>
    </row>
    <row r="66" spans="1:8">
      <c r="A66" s="142"/>
      <c r="B66" s="124"/>
      <c r="C66" s="123"/>
      <c r="D66" s="92"/>
      <c r="E66" s="91"/>
      <c r="F66" s="92"/>
      <c r="G66" s="87"/>
      <c r="H66" s="87"/>
    </row>
    <row r="67" spans="1:8">
      <c r="A67" s="142"/>
      <c r="B67" s="124"/>
      <c r="C67" s="123"/>
      <c r="D67" s="123"/>
      <c r="E67" s="124"/>
      <c r="F67" s="124"/>
      <c r="G67" s="87"/>
      <c r="H67" s="87"/>
    </row>
    <row r="68" spans="1:8">
      <c r="A68" s="142"/>
      <c r="B68" s="124"/>
      <c r="C68" s="123"/>
      <c r="D68" s="123"/>
      <c r="E68" s="124"/>
      <c r="F68" s="124"/>
      <c r="G68" s="87"/>
      <c r="H68" s="87"/>
    </row>
    <row r="69" spans="1:8">
      <c r="A69" s="142"/>
      <c r="B69" s="124"/>
      <c r="C69" s="123"/>
      <c r="D69" s="123"/>
      <c r="E69" s="124"/>
      <c r="F69" s="124"/>
      <c r="G69" s="87"/>
      <c r="H69" s="87"/>
    </row>
    <row r="70" spans="1:8">
      <c r="A70" s="142"/>
      <c r="B70" s="124"/>
      <c r="C70" s="123"/>
      <c r="D70" s="123"/>
      <c r="E70" s="124"/>
      <c r="F70" s="124"/>
      <c r="G70" s="87"/>
      <c r="H70" s="87"/>
    </row>
    <row r="71" spans="1:8">
      <c r="A71" s="142"/>
      <c r="B71" s="124"/>
      <c r="C71" s="123"/>
      <c r="D71" s="123"/>
      <c r="E71" s="124"/>
      <c r="F71" s="124"/>
      <c r="G71" s="87"/>
      <c r="H71" s="87"/>
    </row>
    <row r="72" spans="1:8">
      <c r="A72" s="142"/>
      <c r="B72" s="124"/>
      <c r="C72" s="123"/>
      <c r="D72" s="123"/>
      <c r="E72" s="124"/>
      <c r="F72" s="124"/>
      <c r="G72" s="87"/>
      <c r="H72" s="87"/>
    </row>
    <row r="73" spans="1:8">
      <c r="A73" s="142"/>
      <c r="B73" s="124"/>
      <c r="C73" s="123"/>
      <c r="D73" s="123"/>
      <c r="E73" s="124"/>
      <c r="F73" s="124"/>
      <c r="G73" s="87"/>
      <c r="H73" s="87"/>
    </row>
    <row r="74" spans="1:8">
      <c r="A74" s="142"/>
      <c r="B74" s="124"/>
      <c r="C74" s="123"/>
      <c r="D74" s="123"/>
      <c r="E74" s="124"/>
      <c r="F74" s="124"/>
      <c r="G74" s="87"/>
      <c r="H74" s="87"/>
    </row>
    <row r="75" spans="1:8">
      <c r="A75" s="142"/>
      <c r="B75" s="124"/>
      <c r="C75" s="123"/>
      <c r="D75" s="123"/>
      <c r="E75" s="124"/>
      <c r="F75" s="124"/>
      <c r="G75" s="87"/>
      <c r="H75" s="87"/>
    </row>
    <row r="76" spans="1:8">
      <c r="A76" s="142"/>
      <c r="B76" s="124"/>
      <c r="C76" s="123"/>
      <c r="D76" s="123"/>
      <c r="E76" s="124"/>
      <c r="F76" s="124"/>
      <c r="G76" s="87"/>
      <c r="H76" s="87"/>
    </row>
    <row r="77" spans="1:8">
      <c r="A77" s="142"/>
      <c r="B77" s="124"/>
      <c r="C77" s="123"/>
      <c r="D77" s="123"/>
      <c r="E77" s="124"/>
      <c r="F77" s="123"/>
      <c r="G77" s="87"/>
      <c r="H77" s="87"/>
    </row>
    <row r="78" spans="1:8">
      <c r="A78" s="142"/>
      <c r="B78" s="124"/>
      <c r="C78" s="123"/>
      <c r="D78" s="123"/>
      <c r="E78" s="124"/>
      <c r="F78" s="124"/>
      <c r="G78" s="87"/>
      <c r="H78" s="87"/>
    </row>
    <row r="79" spans="1:8">
      <c r="A79" s="142"/>
      <c r="B79" s="124"/>
      <c r="C79" s="123"/>
      <c r="D79" s="123"/>
      <c r="E79" s="124"/>
      <c r="F79" s="124"/>
      <c r="G79" s="87"/>
      <c r="H79" s="87"/>
    </row>
    <row r="80" spans="1:8">
      <c r="A80" s="142"/>
      <c r="B80" s="124"/>
      <c r="C80" s="123"/>
      <c r="D80" s="124"/>
      <c r="E80" s="124"/>
      <c r="F80" s="124"/>
      <c r="G80" s="87"/>
      <c r="H80" s="87"/>
    </row>
    <row r="81" spans="1:8">
      <c r="A81" s="142"/>
      <c r="B81" s="124"/>
      <c r="C81" s="123"/>
      <c r="D81" s="123"/>
      <c r="E81" s="124"/>
      <c r="F81" s="124"/>
      <c r="G81" s="87"/>
      <c r="H81" s="87"/>
    </row>
    <row r="82" spans="1:8">
      <c r="A82" s="142"/>
      <c r="B82" s="124"/>
      <c r="C82" s="123"/>
      <c r="D82" s="123"/>
      <c r="E82" s="124"/>
      <c r="F82" s="124"/>
      <c r="G82" s="87"/>
      <c r="H82" s="87"/>
    </row>
    <row r="83" spans="1:8">
      <c r="A83" s="142"/>
      <c r="B83" s="124"/>
      <c r="C83" s="123"/>
      <c r="D83" s="123"/>
      <c r="E83" s="124"/>
      <c r="F83" s="124"/>
      <c r="G83" s="87"/>
      <c r="H83" s="87"/>
    </row>
    <row r="84" spans="1:8">
      <c r="A84" s="142"/>
      <c r="B84" s="124"/>
      <c r="C84" s="123"/>
      <c r="D84" s="123"/>
      <c r="E84" s="124"/>
      <c r="F84" s="123"/>
      <c r="G84" s="87"/>
      <c r="H84" s="87"/>
    </row>
    <row r="85" spans="1:8">
      <c r="A85" s="142"/>
      <c r="B85" s="124"/>
      <c r="C85" s="123"/>
      <c r="D85" s="123"/>
      <c r="E85" s="124"/>
      <c r="F85" s="124"/>
      <c r="G85" s="87"/>
      <c r="H85" s="87"/>
    </row>
    <row r="86" spans="1:8">
      <c r="A86" s="142"/>
      <c r="B86" s="124"/>
      <c r="C86" s="123"/>
      <c r="D86" s="123"/>
      <c r="E86" s="91"/>
      <c r="F86" s="123"/>
      <c r="G86" s="87"/>
      <c r="H86" s="87"/>
    </row>
    <row r="87" spans="1:8">
      <c r="A87" s="142"/>
      <c r="B87" s="124"/>
      <c r="C87" s="123"/>
      <c r="D87" s="123"/>
      <c r="E87" s="91"/>
      <c r="F87" s="123"/>
      <c r="G87" s="87"/>
      <c r="H87" s="87"/>
    </row>
    <row r="88" spans="1:8">
      <c r="A88" s="142"/>
      <c r="B88" s="124"/>
      <c r="C88" s="123"/>
      <c r="D88" s="123"/>
      <c r="E88" s="91"/>
      <c r="F88" s="123"/>
      <c r="G88" s="142"/>
      <c r="H88" s="87"/>
    </row>
    <row r="89" spans="1:8">
      <c r="A89" s="142"/>
      <c r="B89" s="124"/>
      <c r="C89" s="123"/>
      <c r="D89" s="124"/>
      <c r="E89" s="91"/>
      <c r="F89" s="123"/>
      <c r="G89" s="87"/>
      <c r="H89" s="87"/>
    </row>
    <row r="90" spans="1:8" ht="13.15" customHeight="1">
      <c r="A90" s="142"/>
      <c r="B90" s="124"/>
      <c r="C90" s="123"/>
      <c r="D90" s="123"/>
      <c r="E90" s="124"/>
      <c r="F90" s="123"/>
      <c r="G90" s="142"/>
      <c r="H90" s="87"/>
    </row>
    <row r="91" spans="1:8">
      <c r="A91" s="142"/>
      <c r="B91" s="124"/>
      <c r="C91" s="123"/>
      <c r="D91" s="124"/>
      <c r="E91" s="124"/>
      <c r="F91" s="124"/>
      <c r="G91" s="142"/>
      <c r="H91" s="87"/>
    </row>
    <row r="92" spans="1:8">
      <c r="A92" s="142"/>
      <c r="B92" s="124"/>
      <c r="C92" s="123"/>
      <c r="D92" s="123"/>
      <c r="E92" s="124"/>
      <c r="F92" s="123"/>
      <c r="G92" s="142"/>
      <c r="H92" s="87"/>
    </row>
    <row r="93" spans="1:8">
      <c r="A93" s="142"/>
      <c r="B93" s="124"/>
      <c r="C93" s="123"/>
      <c r="D93" s="123"/>
      <c r="E93" s="124"/>
      <c r="F93" s="123"/>
      <c r="G93" s="142"/>
      <c r="H93" s="87"/>
    </row>
    <row r="94" spans="1:8">
      <c r="A94" s="142"/>
      <c r="B94" s="124"/>
      <c r="C94" s="123"/>
      <c r="D94" s="123"/>
      <c r="E94" s="124"/>
      <c r="F94" s="123"/>
      <c r="G94" s="142"/>
      <c r="H94" s="87"/>
    </row>
    <row r="95" spans="1:8">
      <c r="A95" s="142"/>
      <c r="B95" s="124"/>
      <c r="C95" s="123"/>
      <c r="D95" s="123"/>
      <c r="E95" s="124"/>
      <c r="F95" s="123"/>
      <c r="G95" s="142"/>
      <c r="H95" s="87"/>
    </row>
    <row r="96" spans="1:8">
      <c r="A96" s="142"/>
      <c r="B96" s="124"/>
      <c r="C96" s="123"/>
      <c r="D96" s="123"/>
      <c r="E96" s="124"/>
      <c r="F96" s="123"/>
      <c r="G96" s="142"/>
      <c r="H96" s="87"/>
    </row>
    <row r="97" spans="1:8">
      <c r="A97" s="142"/>
      <c r="B97" s="124"/>
      <c r="C97" s="123"/>
      <c r="D97" s="123"/>
      <c r="E97" s="124"/>
      <c r="F97" s="123"/>
      <c r="G97" s="142"/>
      <c r="H97" s="87"/>
    </row>
    <row r="98" spans="1:8" ht="26.45" customHeight="1">
      <c r="A98" s="142"/>
      <c r="B98" s="124"/>
      <c r="C98" s="123"/>
      <c r="D98" s="123"/>
      <c r="E98" s="124"/>
      <c r="F98" s="123"/>
      <c r="G98" s="142"/>
      <c r="H98" s="87"/>
    </row>
    <row r="99" spans="1:8">
      <c r="A99" s="142"/>
      <c r="B99" s="124"/>
      <c r="C99" s="123"/>
      <c r="D99" s="123"/>
      <c r="E99" s="124"/>
      <c r="F99" s="123"/>
      <c r="G99" s="142"/>
      <c r="H99" s="87"/>
    </row>
    <row r="100" spans="1:8">
      <c r="A100" s="142"/>
      <c r="B100" s="124"/>
      <c r="C100" s="123"/>
      <c r="D100" s="123"/>
      <c r="E100" s="124"/>
      <c r="F100" s="123"/>
      <c r="G100" s="142"/>
      <c r="H100" s="87"/>
    </row>
    <row r="101" spans="1:8">
      <c r="A101" s="142"/>
      <c r="B101" s="124"/>
      <c r="C101" s="123"/>
      <c r="D101" s="124"/>
      <c r="E101" s="124"/>
      <c r="F101" s="124"/>
      <c r="G101" s="142"/>
      <c r="H101" s="87"/>
    </row>
    <row r="102" spans="1:8">
      <c r="A102" s="142"/>
      <c r="B102" s="124"/>
      <c r="C102" s="123"/>
      <c r="D102" s="123"/>
      <c r="E102" s="124"/>
      <c r="F102" s="123"/>
      <c r="G102" s="142"/>
      <c r="H102" s="87"/>
    </row>
    <row r="103" spans="1:8">
      <c r="A103" s="142"/>
      <c r="B103" s="124"/>
      <c r="C103" s="123"/>
      <c r="D103" s="123"/>
      <c r="E103" s="124"/>
      <c r="F103" s="123"/>
      <c r="G103" s="142"/>
      <c r="H103" s="87"/>
    </row>
    <row r="104" spans="1:8">
      <c r="A104" s="142"/>
      <c r="B104" s="124"/>
      <c r="C104" s="123"/>
      <c r="D104" s="123"/>
      <c r="E104" s="124"/>
      <c r="F104" s="123"/>
      <c r="G104" s="142"/>
      <c r="H104" s="87"/>
    </row>
    <row r="105" spans="1:8">
      <c r="A105" s="142"/>
      <c r="B105" s="124"/>
      <c r="C105" s="123"/>
      <c r="D105" s="124"/>
      <c r="E105" s="91"/>
      <c r="F105" s="123"/>
      <c r="G105" s="142"/>
      <c r="H105" s="87"/>
    </row>
    <row r="106" spans="1:8">
      <c r="A106" s="142"/>
      <c r="B106" s="124"/>
      <c r="C106" s="123"/>
      <c r="D106" s="123"/>
      <c r="E106" s="124"/>
      <c r="F106" s="123"/>
      <c r="G106" s="142"/>
      <c r="H106" s="87"/>
    </row>
    <row r="107" spans="1:8">
      <c r="A107" s="142"/>
      <c r="B107" s="124"/>
      <c r="C107" s="123"/>
      <c r="D107" s="123"/>
      <c r="E107" s="124"/>
      <c r="F107" s="123"/>
      <c r="G107" s="142"/>
      <c r="H107" s="87"/>
    </row>
  </sheetData>
  <mergeCells count="2">
    <mergeCell ref="C2:I2"/>
    <mergeCell ref="C4:I4"/>
  </mergeCells>
  <hyperlinks>
    <hyperlink ref="B1" location="Summary!A1" display="Summary" xr:uid="{A992E3F5-B0A4-4562-BCD4-528B43C69B27}"/>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D073-8466-4C7E-9DF1-79A26C83CD3F}">
  <dimension ref="A1:I107"/>
  <sheetViews>
    <sheetView workbookViewId="0"/>
  </sheetViews>
  <sheetFormatPr defaultColWidth="9.140625" defaultRowHeight="12.75"/>
  <cols>
    <col min="1" max="1" width="28.7109375" style="82" bestFit="1" customWidth="1"/>
    <col min="2" max="2" width="34" style="82" customWidth="1"/>
    <col min="3" max="3" width="49.140625" style="82" customWidth="1"/>
    <col min="4" max="4" width="42.140625" style="82" bestFit="1" customWidth="1"/>
    <col min="5" max="5" width="60.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3039</v>
      </c>
      <c r="C2" s="317"/>
      <c r="D2" s="317"/>
      <c r="E2" s="317"/>
      <c r="F2" s="317"/>
      <c r="G2" s="317"/>
      <c r="H2" s="317"/>
      <c r="I2" s="317"/>
    </row>
    <row r="3" spans="1:9">
      <c r="B3" s="107" t="s">
        <v>2629</v>
      </c>
      <c r="C3" s="138"/>
      <c r="D3" s="138"/>
      <c r="E3" s="138"/>
      <c r="F3" s="138"/>
      <c r="G3" s="138"/>
      <c r="H3" s="138"/>
      <c r="I3" s="138"/>
    </row>
    <row r="4" spans="1:9">
      <c r="B4" s="107" t="s">
        <v>571</v>
      </c>
      <c r="C4" s="318" t="str">
        <f>Summary!O298</f>
        <v>This table contains information for the Payment Event Errors/Exceptions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ht="127.5">
      <c r="A7" s="142" t="s">
        <v>716</v>
      </c>
      <c r="B7" s="124" t="s">
        <v>3040</v>
      </c>
      <c r="C7" s="123" t="s">
        <v>3041</v>
      </c>
      <c r="D7" s="124" t="s">
        <v>3042</v>
      </c>
      <c r="E7" s="124" t="s">
        <v>3043</v>
      </c>
      <c r="F7" s="185" t="s">
        <v>3044</v>
      </c>
      <c r="G7" s="87"/>
      <c r="H7" s="87"/>
    </row>
    <row r="8" spans="1:9">
      <c r="A8" s="142" t="s">
        <v>716</v>
      </c>
      <c r="B8" s="124" t="s">
        <v>1426</v>
      </c>
      <c r="C8" s="123" t="s">
        <v>1427</v>
      </c>
      <c r="D8" s="124" t="s">
        <v>725</v>
      </c>
      <c r="E8" s="124"/>
      <c r="F8" s="185"/>
      <c r="G8" s="87"/>
      <c r="H8" s="87"/>
    </row>
    <row r="9" spans="1:9">
      <c r="A9" s="142" t="s">
        <v>716</v>
      </c>
      <c r="B9" s="124" t="s">
        <v>1429</v>
      </c>
      <c r="C9" s="123" t="s">
        <v>1430</v>
      </c>
      <c r="D9" s="123" t="s">
        <v>725</v>
      </c>
      <c r="E9" s="124"/>
      <c r="F9" s="124"/>
      <c r="G9" s="87"/>
      <c r="H9" s="87"/>
    </row>
    <row r="10" spans="1:9" ht="38.25">
      <c r="A10" s="142" t="s">
        <v>716</v>
      </c>
      <c r="B10" s="124" t="s">
        <v>1293</v>
      </c>
      <c r="C10" s="123" t="s">
        <v>1294</v>
      </c>
      <c r="D10" s="92" t="s">
        <v>2666</v>
      </c>
      <c r="E10" s="91"/>
      <c r="F10" s="92" t="s">
        <v>786</v>
      </c>
      <c r="G10" s="87"/>
      <c r="H10" s="87"/>
    </row>
    <row r="11" spans="1:9">
      <c r="A11" s="142" t="s">
        <v>716</v>
      </c>
      <c r="B11" s="124" t="s">
        <v>3045</v>
      </c>
      <c r="C11" s="123" t="s">
        <v>3046</v>
      </c>
      <c r="D11" s="124" t="s">
        <v>1018</v>
      </c>
      <c r="E11" s="124"/>
      <c r="F11" s="124" t="s">
        <v>786</v>
      </c>
      <c r="G11" s="87"/>
      <c r="H11" s="87"/>
    </row>
    <row r="12" spans="1:9">
      <c r="A12" s="142" t="s">
        <v>716</v>
      </c>
      <c r="B12" s="124" t="s">
        <v>2993</v>
      </c>
      <c r="C12" s="123" t="s">
        <v>2851</v>
      </c>
      <c r="D12" s="124" t="s">
        <v>725</v>
      </c>
      <c r="E12" s="124"/>
      <c r="F12" s="124"/>
      <c r="G12" s="87"/>
      <c r="H12" s="87"/>
    </row>
    <row r="13" spans="1:9">
      <c r="A13" s="142" t="s">
        <v>716</v>
      </c>
      <c r="B13" s="124" t="s">
        <v>2994</v>
      </c>
      <c r="C13" s="123" t="s">
        <v>2854</v>
      </c>
      <c r="D13" s="124" t="s">
        <v>725</v>
      </c>
      <c r="E13" s="124"/>
      <c r="F13" s="124"/>
      <c r="G13" s="87"/>
      <c r="H13" s="87"/>
    </row>
    <row r="14" spans="1:9">
      <c r="A14" s="142" t="s">
        <v>716</v>
      </c>
      <c r="B14" s="124" t="s">
        <v>2995</v>
      </c>
      <c r="C14" s="123" t="s">
        <v>2856</v>
      </c>
      <c r="D14" s="124" t="s">
        <v>725</v>
      </c>
      <c r="E14" s="124"/>
      <c r="F14" s="124"/>
      <c r="G14" s="87"/>
      <c r="H14" s="87"/>
    </row>
    <row r="15" spans="1:9">
      <c r="A15" s="142" t="s">
        <v>716</v>
      </c>
      <c r="B15" s="124" t="s">
        <v>2996</v>
      </c>
      <c r="C15" s="123" t="s">
        <v>2858</v>
      </c>
      <c r="D15" s="124" t="s">
        <v>725</v>
      </c>
      <c r="E15" s="124"/>
      <c r="F15" s="124"/>
      <c r="G15" s="87"/>
      <c r="H15" s="87"/>
    </row>
    <row r="16" spans="1:9">
      <c r="A16" s="142" t="s">
        <v>716</v>
      </c>
      <c r="B16" s="124" t="s">
        <v>2997</v>
      </c>
      <c r="C16" s="123" t="s">
        <v>2860</v>
      </c>
      <c r="D16" s="124" t="s">
        <v>725</v>
      </c>
      <c r="E16" s="124"/>
      <c r="F16" s="124"/>
      <c r="G16" s="87"/>
      <c r="H16" s="87"/>
    </row>
    <row r="17" spans="1:8">
      <c r="A17" s="142" t="s">
        <v>716</v>
      </c>
      <c r="B17" s="124" t="s">
        <v>2998</v>
      </c>
      <c r="C17" s="123" t="s">
        <v>2862</v>
      </c>
      <c r="D17" s="124" t="s">
        <v>725</v>
      </c>
      <c r="E17" s="124"/>
      <c r="F17" s="124"/>
      <c r="G17" s="87"/>
      <c r="H17" s="87"/>
    </row>
    <row r="18" spans="1:8">
      <c r="A18" s="142" t="s">
        <v>716</v>
      </c>
      <c r="B18" s="124" t="s">
        <v>2999</v>
      </c>
      <c r="C18" s="123" t="s">
        <v>2864</v>
      </c>
      <c r="D18" s="124" t="s">
        <v>725</v>
      </c>
      <c r="E18" s="124"/>
      <c r="F18" s="124"/>
      <c r="G18" s="87"/>
      <c r="H18" s="87"/>
    </row>
    <row r="19" spans="1:8">
      <c r="A19" s="142" t="s">
        <v>716</v>
      </c>
      <c r="B19" s="124" t="s">
        <v>3000</v>
      </c>
      <c r="C19" s="123" t="s">
        <v>2866</v>
      </c>
      <c r="D19" s="124" t="s">
        <v>725</v>
      </c>
      <c r="E19" s="91"/>
      <c r="F19" s="92"/>
      <c r="G19" s="87"/>
      <c r="H19" s="87"/>
    </row>
    <row r="20" spans="1:8">
      <c r="A20" s="142" t="s">
        <v>716</v>
      </c>
      <c r="B20" s="124" t="s">
        <v>3001</v>
      </c>
      <c r="C20" s="123" t="s">
        <v>2868</v>
      </c>
      <c r="D20" s="124" t="s">
        <v>725</v>
      </c>
      <c r="E20" s="124"/>
      <c r="F20" s="124"/>
      <c r="G20" s="87"/>
      <c r="H20" s="87"/>
    </row>
    <row r="21" spans="1:8">
      <c r="A21" s="142" t="s">
        <v>716</v>
      </c>
      <c r="B21" s="124" t="s">
        <v>3002</v>
      </c>
      <c r="C21" s="123" t="s">
        <v>2870</v>
      </c>
      <c r="D21" s="124" t="s">
        <v>725</v>
      </c>
      <c r="E21" s="124"/>
      <c r="F21" s="124"/>
      <c r="G21" s="87"/>
      <c r="H21" s="87"/>
    </row>
    <row r="22" spans="1:8">
      <c r="A22" s="142" t="s">
        <v>716</v>
      </c>
      <c r="B22" s="124" t="s">
        <v>3003</v>
      </c>
      <c r="C22" s="123" t="s">
        <v>2872</v>
      </c>
      <c r="D22" s="124" t="s">
        <v>725</v>
      </c>
      <c r="E22" s="91"/>
      <c r="F22" s="124"/>
      <c r="G22" s="87"/>
      <c r="H22" s="87"/>
    </row>
    <row r="23" spans="1:8">
      <c r="A23" s="142" t="s">
        <v>716</v>
      </c>
      <c r="B23" s="124" t="s">
        <v>933</v>
      </c>
      <c r="C23" s="123" t="s">
        <v>798</v>
      </c>
      <c r="D23" s="124" t="s">
        <v>725</v>
      </c>
      <c r="E23" s="124"/>
      <c r="F23" s="124"/>
      <c r="G23" s="87"/>
      <c r="H23" s="87"/>
    </row>
    <row r="24" spans="1:8">
      <c r="A24" s="142" t="s">
        <v>716</v>
      </c>
      <c r="B24" s="124" t="s">
        <v>3004</v>
      </c>
      <c r="C24" s="123" t="s">
        <v>2874</v>
      </c>
      <c r="D24" s="124" t="s">
        <v>725</v>
      </c>
      <c r="E24" s="124"/>
      <c r="F24" s="124"/>
      <c r="G24" s="87"/>
      <c r="H24" s="87"/>
    </row>
    <row r="25" spans="1:8" ht="38.25">
      <c r="A25" s="142" t="s">
        <v>716</v>
      </c>
      <c r="B25" s="124" t="s">
        <v>3005</v>
      </c>
      <c r="C25" s="123" t="s">
        <v>2876</v>
      </c>
      <c r="D25" s="92" t="s">
        <v>2666</v>
      </c>
      <c r="E25" s="91"/>
      <c r="F25" s="92" t="s">
        <v>804</v>
      </c>
      <c r="G25" s="87"/>
      <c r="H25" s="87"/>
    </row>
    <row r="26" spans="1:8">
      <c r="A26" s="142" t="s">
        <v>716</v>
      </c>
      <c r="B26" s="124" t="s">
        <v>3006</v>
      </c>
      <c r="C26" s="123" t="s">
        <v>2878</v>
      </c>
      <c r="D26" s="124" t="s">
        <v>725</v>
      </c>
      <c r="E26" s="124"/>
      <c r="F26" s="124"/>
      <c r="G26" s="87"/>
      <c r="H26" s="87"/>
    </row>
    <row r="27" spans="1:8">
      <c r="A27" s="142" t="s">
        <v>716</v>
      </c>
      <c r="B27" s="124" t="s">
        <v>1499</v>
      </c>
      <c r="C27" s="123" t="s">
        <v>858</v>
      </c>
      <c r="D27" s="124" t="s">
        <v>725</v>
      </c>
      <c r="E27" s="124"/>
      <c r="F27" s="124"/>
      <c r="G27" s="87"/>
      <c r="H27" s="87"/>
    </row>
    <row r="28" spans="1:8">
      <c r="A28" s="142" t="s">
        <v>716</v>
      </c>
      <c r="B28" s="124" t="s">
        <v>946</v>
      </c>
      <c r="C28" s="123" t="s">
        <v>806</v>
      </c>
      <c r="D28" s="124" t="s">
        <v>725</v>
      </c>
      <c r="E28" s="124"/>
      <c r="F28" s="124"/>
      <c r="G28" s="87"/>
      <c r="H28" s="87"/>
    </row>
    <row r="29" spans="1:8">
      <c r="A29" s="142" t="s">
        <v>3007</v>
      </c>
      <c r="B29" s="124" t="s">
        <v>3008</v>
      </c>
      <c r="C29" s="123" t="s">
        <v>1551</v>
      </c>
      <c r="D29" s="123" t="s">
        <v>3009</v>
      </c>
      <c r="E29" s="124"/>
      <c r="F29" s="124" t="s">
        <v>786</v>
      </c>
      <c r="G29" s="87"/>
      <c r="H29" s="87"/>
    </row>
    <row r="30" spans="1:8">
      <c r="A30" s="142" t="s">
        <v>3007</v>
      </c>
      <c r="B30" s="124" t="s">
        <v>1859</v>
      </c>
      <c r="C30" s="123" t="s">
        <v>1038</v>
      </c>
      <c r="D30" s="124" t="s">
        <v>3047</v>
      </c>
      <c r="E30" s="124"/>
      <c r="F30" s="124" t="s">
        <v>786</v>
      </c>
      <c r="G30" s="87"/>
      <c r="H30" s="87"/>
    </row>
    <row r="31" spans="1:8" ht="25.5">
      <c r="A31" s="142" t="s">
        <v>3007</v>
      </c>
      <c r="B31" s="124" t="s">
        <v>3010</v>
      </c>
      <c r="C31" s="123" t="s">
        <v>3011</v>
      </c>
      <c r="D31" s="123" t="s">
        <v>716</v>
      </c>
      <c r="E31" s="124"/>
      <c r="F31" s="124" t="s">
        <v>1887</v>
      </c>
      <c r="G31" s="142" t="s">
        <v>3048</v>
      </c>
      <c r="H31" s="87"/>
    </row>
    <row r="32" spans="1:8">
      <c r="A32" s="142" t="s">
        <v>3007</v>
      </c>
      <c r="B32" s="124" t="s">
        <v>946</v>
      </c>
      <c r="C32" s="123" t="s">
        <v>806</v>
      </c>
      <c r="D32" s="124" t="s">
        <v>725</v>
      </c>
      <c r="E32" s="124"/>
      <c r="F32" s="124"/>
      <c r="G32" s="87"/>
      <c r="H32" s="87"/>
    </row>
    <row r="33" spans="1:8" ht="25.5">
      <c r="A33" s="142" t="s">
        <v>211</v>
      </c>
      <c r="B33" s="124" t="s">
        <v>3008</v>
      </c>
      <c r="C33" s="123" t="s">
        <v>1551</v>
      </c>
      <c r="D33" s="124" t="s">
        <v>725</v>
      </c>
      <c r="E33" s="124"/>
      <c r="F33" s="124"/>
      <c r="G33" s="142" t="s">
        <v>3013</v>
      </c>
      <c r="H33" s="87"/>
    </row>
    <row r="34" spans="1:8">
      <c r="A34" s="142" t="s">
        <v>211</v>
      </c>
      <c r="B34" s="124" t="s">
        <v>3014</v>
      </c>
      <c r="C34" s="123" t="s">
        <v>2701</v>
      </c>
      <c r="D34" s="124" t="s">
        <v>725</v>
      </c>
      <c r="E34" s="124"/>
      <c r="F34" s="124"/>
      <c r="G34" s="87"/>
      <c r="H34" s="87"/>
    </row>
    <row r="35" spans="1:8">
      <c r="A35" s="142" t="s">
        <v>211</v>
      </c>
      <c r="B35" s="124" t="s">
        <v>3015</v>
      </c>
      <c r="C35" s="123" t="s">
        <v>2712</v>
      </c>
      <c r="D35" s="124" t="s">
        <v>725</v>
      </c>
      <c r="E35" s="124"/>
      <c r="F35" s="124"/>
      <c r="G35" s="87"/>
      <c r="H35" s="87"/>
    </row>
    <row r="36" spans="1:8">
      <c r="A36" s="142" t="s">
        <v>211</v>
      </c>
      <c r="B36" s="124" t="s">
        <v>1426</v>
      </c>
      <c r="C36" s="123" t="s">
        <v>1427</v>
      </c>
      <c r="D36" s="124" t="s">
        <v>725</v>
      </c>
      <c r="E36" s="124"/>
      <c r="F36" s="124"/>
      <c r="G36" s="87"/>
      <c r="H36" s="87"/>
    </row>
    <row r="37" spans="1:8">
      <c r="A37" s="142" t="s">
        <v>211</v>
      </c>
      <c r="B37" s="124" t="s">
        <v>1429</v>
      </c>
      <c r="C37" s="123" t="s">
        <v>1430</v>
      </c>
      <c r="D37" s="124" t="s">
        <v>725</v>
      </c>
      <c r="E37" s="124"/>
      <c r="F37" s="124"/>
      <c r="G37" s="142"/>
      <c r="H37" s="87"/>
    </row>
    <row r="38" spans="1:8" ht="38.25">
      <c r="A38" s="142" t="s">
        <v>211</v>
      </c>
      <c r="B38" s="124" t="s">
        <v>3016</v>
      </c>
      <c r="C38" s="123" t="s">
        <v>3017</v>
      </c>
      <c r="D38" s="92" t="s">
        <v>2666</v>
      </c>
      <c r="E38" s="91"/>
      <c r="F38" s="92" t="s">
        <v>804</v>
      </c>
      <c r="G38" s="87"/>
      <c r="H38" s="87"/>
    </row>
    <row r="39" spans="1:8" ht="25.5">
      <c r="A39" s="142" t="s">
        <v>211</v>
      </c>
      <c r="B39" s="124" t="s">
        <v>3018</v>
      </c>
      <c r="C39" s="123" t="s">
        <v>1875</v>
      </c>
      <c r="D39" s="124" t="s">
        <v>3049</v>
      </c>
      <c r="E39" s="124"/>
      <c r="F39" s="124" t="s">
        <v>786</v>
      </c>
      <c r="G39" s="87"/>
      <c r="H39" s="87"/>
    </row>
    <row r="40" spans="1:8">
      <c r="A40" s="142" t="s">
        <v>211</v>
      </c>
      <c r="B40" s="124" t="s">
        <v>3020</v>
      </c>
      <c r="C40" s="123" t="s">
        <v>1878</v>
      </c>
      <c r="D40" s="124" t="s">
        <v>3021</v>
      </c>
      <c r="E40" s="124"/>
      <c r="F40" s="124" t="s">
        <v>786</v>
      </c>
      <c r="G40" s="87"/>
      <c r="H40" s="87"/>
    </row>
    <row r="41" spans="1:8">
      <c r="A41" s="142" t="s">
        <v>211</v>
      </c>
      <c r="B41" s="124" t="s">
        <v>3022</v>
      </c>
      <c r="C41" s="123" t="s">
        <v>564</v>
      </c>
      <c r="D41" s="124" t="s">
        <v>1018</v>
      </c>
      <c r="E41" s="124"/>
      <c r="F41" s="124" t="s">
        <v>786</v>
      </c>
      <c r="G41" s="87"/>
      <c r="H41" s="87"/>
    </row>
    <row r="42" spans="1:8">
      <c r="A42" s="142" t="s">
        <v>211</v>
      </c>
      <c r="B42" s="124" t="s">
        <v>946</v>
      </c>
      <c r="C42" s="123" t="s">
        <v>806</v>
      </c>
      <c r="D42" s="124" t="s">
        <v>725</v>
      </c>
      <c r="E42" s="124"/>
      <c r="F42" s="124"/>
      <c r="G42" s="87"/>
      <c r="H42" s="87"/>
    </row>
    <row r="43" spans="1:8">
      <c r="A43" s="142" t="s">
        <v>211</v>
      </c>
      <c r="B43" s="124" t="s">
        <v>933</v>
      </c>
      <c r="C43" s="123" t="s">
        <v>798</v>
      </c>
      <c r="D43" s="124" t="s">
        <v>725</v>
      </c>
      <c r="E43" s="124"/>
      <c r="F43" s="124"/>
      <c r="G43" s="87"/>
      <c r="H43" s="87"/>
    </row>
    <row r="44" spans="1:8">
      <c r="A44" s="142" t="s">
        <v>211</v>
      </c>
      <c r="B44" s="124" t="s">
        <v>3023</v>
      </c>
      <c r="C44" s="123" t="s">
        <v>3024</v>
      </c>
      <c r="D44" s="124" t="s">
        <v>725</v>
      </c>
      <c r="E44" s="124"/>
      <c r="F44" s="124"/>
      <c r="G44" s="87"/>
      <c r="H44" s="87"/>
    </row>
    <row r="45" spans="1:8">
      <c r="A45" s="142" t="s">
        <v>211</v>
      </c>
      <c r="B45" s="124" t="s">
        <v>3025</v>
      </c>
      <c r="C45" s="123" t="s">
        <v>2647</v>
      </c>
      <c r="D45" s="124" t="s">
        <v>725</v>
      </c>
      <c r="E45" s="124"/>
      <c r="F45" s="123"/>
      <c r="G45" s="87"/>
      <c r="H45" s="87"/>
    </row>
    <row r="46" spans="1:8">
      <c r="A46" s="142" t="s">
        <v>211</v>
      </c>
      <c r="B46" s="124" t="s">
        <v>3026</v>
      </c>
      <c r="C46" s="123" t="s">
        <v>3027</v>
      </c>
      <c r="D46" s="124" t="s">
        <v>725</v>
      </c>
      <c r="E46" s="124"/>
      <c r="F46" s="124"/>
      <c r="G46" s="87"/>
      <c r="H46" s="87"/>
    </row>
    <row r="47" spans="1:8" ht="38.25">
      <c r="A47" s="142" t="s">
        <v>211</v>
      </c>
      <c r="B47" s="124" t="s">
        <v>3028</v>
      </c>
      <c r="C47" s="123" t="s">
        <v>3029</v>
      </c>
      <c r="D47" s="92" t="s">
        <v>2666</v>
      </c>
      <c r="E47" s="91"/>
      <c r="F47" s="124"/>
      <c r="G47" s="87"/>
      <c r="H47" s="87"/>
    </row>
    <row r="48" spans="1:8">
      <c r="A48" s="142" t="s">
        <v>211</v>
      </c>
      <c r="B48" s="124" t="s">
        <v>1499</v>
      </c>
      <c r="C48" s="123" t="s">
        <v>858</v>
      </c>
      <c r="D48" s="124" t="s">
        <v>725</v>
      </c>
      <c r="E48" s="124"/>
      <c r="F48" s="124"/>
      <c r="G48" s="87"/>
      <c r="H48" s="87"/>
    </row>
    <row r="49" spans="1:8">
      <c r="A49" s="142" t="s">
        <v>211</v>
      </c>
      <c r="B49" s="124" t="s">
        <v>3030</v>
      </c>
      <c r="C49" s="123" t="s">
        <v>3031</v>
      </c>
      <c r="D49" s="124" t="s">
        <v>1018</v>
      </c>
      <c r="E49" s="124"/>
      <c r="F49" s="124" t="s">
        <v>786</v>
      </c>
      <c r="G49" s="87"/>
      <c r="H49" s="87"/>
    </row>
    <row r="50" spans="1:8">
      <c r="A50" s="142" t="s">
        <v>211</v>
      </c>
      <c r="B50" s="124" t="s">
        <v>940</v>
      </c>
      <c r="C50" s="123" t="s">
        <v>818</v>
      </c>
      <c r="D50" s="124" t="s">
        <v>725</v>
      </c>
      <c r="E50" s="124"/>
      <c r="F50" s="124"/>
      <c r="G50" s="87"/>
      <c r="H50" s="87"/>
    </row>
    <row r="51" spans="1:8">
      <c r="A51" s="142" t="s">
        <v>211</v>
      </c>
      <c r="B51" s="124" t="s">
        <v>939</v>
      </c>
      <c r="C51" s="123" t="s">
        <v>821</v>
      </c>
      <c r="D51" s="124" t="s">
        <v>725</v>
      </c>
      <c r="E51" s="91"/>
      <c r="F51" s="123"/>
      <c r="G51" s="87"/>
      <c r="H51" s="87"/>
    </row>
    <row r="52" spans="1:8" ht="25.5">
      <c r="A52" s="142" t="s">
        <v>3047</v>
      </c>
      <c r="B52" s="124" t="s">
        <v>3018</v>
      </c>
      <c r="C52" s="123" t="s">
        <v>1875</v>
      </c>
      <c r="D52" s="123"/>
      <c r="E52" s="91"/>
      <c r="F52" s="123"/>
      <c r="G52" s="142" t="s">
        <v>3050</v>
      </c>
      <c r="H52" s="87"/>
    </row>
    <row r="53" spans="1:8" ht="25.5">
      <c r="A53" s="142" t="s">
        <v>3047</v>
      </c>
      <c r="B53" s="124" t="s">
        <v>3051</v>
      </c>
      <c r="C53" s="123" t="s">
        <v>744</v>
      </c>
      <c r="D53" s="123"/>
      <c r="E53" s="92" t="s">
        <v>3052</v>
      </c>
      <c r="F53" s="123"/>
      <c r="G53" s="87"/>
      <c r="H53" s="87"/>
    </row>
    <row r="54" spans="1:8">
      <c r="A54" s="142" t="s">
        <v>3047</v>
      </c>
      <c r="B54" s="124" t="s">
        <v>3053</v>
      </c>
      <c r="C54" s="123" t="s">
        <v>743</v>
      </c>
      <c r="D54" s="124"/>
      <c r="E54" s="124"/>
      <c r="F54" s="124"/>
      <c r="G54" s="87"/>
      <c r="H54" s="87"/>
    </row>
    <row r="55" spans="1:8">
      <c r="A55" s="142" t="s">
        <v>3047</v>
      </c>
      <c r="B55" s="124" t="s">
        <v>946</v>
      </c>
      <c r="C55" s="123" t="s">
        <v>806</v>
      </c>
      <c r="D55" s="124"/>
      <c r="E55" s="124"/>
      <c r="F55" s="185"/>
      <c r="G55" s="87"/>
      <c r="H55" s="87"/>
    </row>
    <row r="56" spans="1:8" ht="25.5">
      <c r="A56" s="142" t="s">
        <v>3047</v>
      </c>
      <c r="B56" s="124" t="s">
        <v>1859</v>
      </c>
      <c r="C56" s="123" t="s">
        <v>1038</v>
      </c>
      <c r="D56" s="123"/>
      <c r="E56" s="124"/>
      <c r="F56" s="124"/>
      <c r="G56" s="142" t="s">
        <v>3054</v>
      </c>
      <c r="H56" s="87"/>
    </row>
    <row r="57" spans="1:8">
      <c r="A57" s="142" t="s">
        <v>3047</v>
      </c>
      <c r="B57" s="124" t="s">
        <v>3055</v>
      </c>
      <c r="C57" s="123" t="s">
        <v>3056</v>
      </c>
      <c r="D57" s="124"/>
      <c r="E57" s="124"/>
      <c r="F57" s="124"/>
      <c r="G57" s="87"/>
      <c r="H57" s="87"/>
    </row>
    <row r="58" spans="1:8">
      <c r="A58" s="142"/>
      <c r="B58" s="124"/>
      <c r="C58" s="123"/>
      <c r="D58" s="124"/>
      <c r="E58" s="124"/>
      <c r="F58" s="124"/>
      <c r="G58" s="87"/>
      <c r="H58" s="87"/>
    </row>
    <row r="59" spans="1:8">
      <c r="A59" s="142"/>
      <c r="B59" s="124"/>
      <c r="C59" s="123"/>
      <c r="D59" s="124"/>
      <c r="E59" s="124"/>
      <c r="F59" s="124"/>
      <c r="G59" s="87"/>
      <c r="H59" s="87"/>
    </row>
    <row r="60" spans="1:8">
      <c r="A60" s="142"/>
      <c r="B60" s="124"/>
      <c r="C60" s="123"/>
      <c r="D60" s="123"/>
      <c r="E60" s="124"/>
      <c r="F60" s="124"/>
      <c r="G60" s="87"/>
      <c r="H60" s="87"/>
    </row>
    <row r="61" spans="1:8">
      <c r="A61" s="142"/>
      <c r="B61" s="124"/>
      <c r="C61" s="123"/>
      <c r="D61" s="123"/>
      <c r="E61" s="124"/>
      <c r="F61" s="124"/>
      <c r="G61" s="87"/>
      <c r="H61" s="87"/>
    </row>
    <row r="62" spans="1:8">
      <c r="A62" s="142"/>
      <c r="B62" s="124"/>
      <c r="C62" s="123"/>
      <c r="D62" s="123"/>
      <c r="E62" s="124"/>
      <c r="F62" s="124"/>
      <c r="G62" s="87"/>
      <c r="H62" s="87"/>
    </row>
    <row r="63" spans="1:8">
      <c r="A63" s="142"/>
      <c r="B63" s="124"/>
      <c r="C63" s="123"/>
      <c r="D63" s="123"/>
      <c r="E63" s="124"/>
      <c r="F63" s="124"/>
      <c r="G63" s="87"/>
      <c r="H63" s="87"/>
    </row>
    <row r="64" spans="1:8">
      <c r="A64" s="142"/>
      <c r="B64" s="124"/>
      <c r="C64" s="123"/>
      <c r="D64" s="123"/>
      <c r="E64" s="124"/>
      <c r="F64" s="124"/>
      <c r="G64" s="87"/>
      <c r="H64" s="87"/>
    </row>
    <row r="65" spans="1:8">
      <c r="A65" s="142"/>
      <c r="B65" s="124"/>
      <c r="C65" s="123"/>
      <c r="D65" s="123"/>
      <c r="E65" s="124"/>
      <c r="F65" s="124"/>
      <c r="G65" s="87"/>
      <c r="H65" s="87"/>
    </row>
    <row r="66" spans="1:8">
      <c r="A66" s="142"/>
      <c r="B66" s="124"/>
      <c r="C66" s="123"/>
      <c r="D66" s="92"/>
      <c r="E66" s="91"/>
      <c r="F66" s="92"/>
      <c r="G66" s="87"/>
      <c r="H66" s="87"/>
    </row>
    <row r="67" spans="1:8">
      <c r="A67" s="142"/>
      <c r="B67" s="124"/>
      <c r="C67" s="123"/>
      <c r="D67" s="123"/>
      <c r="E67" s="124"/>
      <c r="F67" s="124"/>
      <c r="G67" s="87"/>
      <c r="H67" s="87"/>
    </row>
    <row r="68" spans="1:8">
      <c r="A68" s="142"/>
      <c r="B68" s="124"/>
      <c r="C68" s="123"/>
      <c r="D68" s="123"/>
      <c r="E68" s="124"/>
      <c r="F68" s="124"/>
      <c r="G68" s="87"/>
      <c r="H68" s="87"/>
    </row>
    <row r="69" spans="1:8">
      <c r="A69" s="142"/>
      <c r="B69" s="124"/>
      <c r="C69" s="123"/>
      <c r="D69" s="123"/>
      <c r="E69" s="124"/>
      <c r="F69" s="124"/>
      <c r="G69" s="87"/>
      <c r="H69" s="87"/>
    </row>
    <row r="70" spans="1:8">
      <c r="A70" s="142"/>
      <c r="B70" s="124"/>
      <c r="C70" s="123"/>
      <c r="D70" s="123"/>
      <c r="E70" s="124"/>
      <c r="F70" s="124"/>
      <c r="G70" s="87"/>
      <c r="H70" s="87"/>
    </row>
    <row r="71" spans="1:8">
      <c r="A71" s="142"/>
      <c r="B71" s="124"/>
      <c r="C71" s="123"/>
      <c r="D71" s="123"/>
      <c r="E71" s="124"/>
      <c r="F71" s="124"/>
      <c r="G71" s="87"/>
      <c r="H71" s="87"/>
    </row>
    <row r="72" spans="1:8">
      <c r="A72" s="142"/>
      <c r="B72" s="124"/>
      <c r="C72" s="123"/>
      <c r="D72" s="123"/>
      <c r="E72" s="124"/>
      <c r="F72" s="124"/>
      <c r="G72" s="87"/>
      <c r="H72" s="87"/>
    </row>
    <row r="73" spans="1:8">
      <c r="A73" s="142"/>
      <c r="B73" s="124"/>
      <c r="C73" s="123"/>
      <c r="D73" s="123"/>
      <c r="E73" s="124"/>
      <c r="F73" s="124"/>
      <c r="G73" s="87"/>
      <c r="H73" s="87"/>
    </row>
    <row r="74" spans="1:8">
      <c r="A74" s="142"/>
      <c r="B74" s="124"/>
      <c r="C74" s="123"/>
      <c r="D74" s="123"/>
      <c r="E74" s="124"/>
      <c r="F74" s="124"/>
      <c r="G74" s="87"/>
      <c r="H74" s="87"/>
    </row>
    <row r="75" spans="1:8">
      <c r="A75" s="142"/>
      <c r="B75" s="124"/>
      <c r="C75" s="123"/>
      <c r="D75" s="123"/>
      <c r="E75" s="124"/>
      <c r="F75" s="124"/>
      <c r="G75" s="87"/>
      <c r="H75" s="87"/>
    </row>
    <row r="76" spans="1:8">
      <c r="A76" s="142"/>
      <c r="B76" s="124"/>
      <c r="C76" s="123"/>
      <c r="D76" s="123"/>
      <c r="E76" s="124"/>
      <c r="F76" s="124"/>
      <c r="G76" s="87"/>
      <c r="H76" s="87"/>
    </row>
    <row r="77" spans="1:8">
      <c r="A77" s="142"/>
      <c r="B77" s="124"/>
      <c r="C77" s="123"/>
      <c r="D77" s="123"/>
      <c r="E77" s="124"/>
      <c r="F77" s="123"/>
      <c r="G77" s="87"/>
      <c r="H77" s="87"/>
    </row>
    <row r="78" spans="1:8">
      <c r="A78" s="142"/>
      <c r="B78" s="124"/>
      <c r="C78" s="123"/>
      <c r="D78" s="123"/>
      <c r="E78" s="124"/>
      <c r="F78" s="124"/>
      <c r="G78" s="87"/>
      <c r="H78" s="87"/>
    </row>
    <row r="79" spans="1:8">
      <c r="A79" s="142"/>
      <c r="B79" s="124"/>
      <c r="C79" s="123"/>
      <c r="D79" s="123"/>
      <c r="E79" s="124"/>
      <c r="F79" s="124"/>
      <c r="G79" s="87"/>
      <c r="H79" s="87"/>
    </row>
    <row r="80" spans="1:8">
      <c r="A80" s="142"/>
      <c r="B80" s="124"/>
      <c r="C80" s="123"/>
      <c r="D80" s="124"/>
      <c r="E80" s="124"/>
      <c r="F80" s="124"/>
      <c r="G80" s="87"/>
      <c r="H80" s="87"/>
    </row>
    <row r="81" spans="1:8">
      <c r="A81" s="142"/>
      <c r="B81" s="124"/>
      <c r="C81" s="123"/>
      <c r="D81" s="123"/>
      <c r="E81" s="124"/>
      <c r="F81" s="124"/>
      <c r="G81" s="87"/>
      <c r="H81" s="87"/>
    </row>
    <row r="82" spans="1:8">
      <c r="A82" s="142"/>
      <c r="B82" s="124"/>
      <c r="C82" s="123"/>
      <c r="D82" s="123"/>
      <c r="E82" s="124"/>
      <c r="F82" s="124"/>
      <c r="G82" s="87"/>
      <c r="H82" s="87"/>
    </row>
    <row r="83" spans="1:8">
      <c r="A83" s="142"/>
      <c r="B83" s="124"/>
      <c r="C83" s="123"/>
      <c r="D83" s="123"/>
      <c r="E83" s="124"/>
      <c r="F83" s="124"/>
      <c r="G83" s="87"/>
      <c r="H83" s="87"/>
    </row>
    <row r="84" spans="1:8">
      <c r="A84" s="142"/>
      <c r="B84" s="124"/>
      <c r="C84" s="123"/>
      <c r="D84" s="123"/>
      <c r="E84" s="124"/>
      <c r="F84" s="123"/>
      <c r="G84" s="87"/>
      <c r="H84" s="87"/>
    </row>
    <row r="85" spans="1:8">
      <c r="A85" s="142"/>
      <c r="B85" s="124"/>
      <c r="C85" s="123"/>
      <c r="D85" s="123"/>
      <c r="E85" s="124"/>
      <c r="F85" s="124"/>
      <c r="G85" s="87"/>
      <c r="H85" s="87"/>
    </row>
    <row r="86" spans="1:8">
      <c r="A86" s="142"/>
      <c r="B86" s="124"/>
      <c r="C86" s="123"/>
      <c r="D86" s="123"/>
      <c r="E86" s="91"/>
      <c r="F86" s="123"/>
      <c r="G86" s="87"/>
      <c r="H86" s="87"/>
    </row>
    <row r="87" spans="1:8">
      <c r="A87" s="142"/>
      <c r="B87" s="124"/>
      <c r="C87" s="123"/>
      <c r="D87" s="123"/>
      <c r="E87" s="91"/>
      <c r="F87" s="123"/>
      <c r="G87" s="87"/>
      <c r="H87" s="87"/>
    </row>
    <row r="88" spans="1:8">
      <c r="A88" s="142"/>
      <c r="B88" s="124"/>
      <c r="C88" s="123"/>
      <c r="D88" s="123"/>
      <c r="E88" s="91"/>
      <c r="F88" s="123"/>
      <c r="G88" s="142"/>
      <c r="H88" s="87"/>
    </row>
    <row r="89" spans="1:8">
      <c r="A89" s="142"/>
      <c r="B89" s="124"/>
      <c r="C89" s="123"/>
      <c r="D89" s="124"/>
      <c r="E89" s="91"/>
      <c r="F89" s="123"/>
      <c r="G89" s="87"/>
      <c r="H89" s="87"/>
    </row>
    <row r="90" spans="1:8">
      <c r="A90" s="142"/>
      <c r="B90" s="124"/>
      <c r="C90" s="123"/>
      <c r="D90" s="123"/>
      <c r="E90" s="124"/>
      <c r="F90" s="123"/>
      <c r="G90" s="142"/>
      <c r="H90" s="87"/>
    </row>
    <row r="91" spans="1:8">
      <c r="A91" s="142"/>
      <c r="B91" s="124"/>
      <c r="C91" s="123"/>
      <c r="D91" s="124"/>
      <c r="E91" s="124"/>
      <c r="F91" s="124"/>
      <c r="G91" s="142"/>
      <c r="H91" s="87"/>
    </row>
    <row r="92" spans="1:8">
      <c r="A92" s="142"/>
      <c r="B92" s="124"/>
      <c r="C92" s="123"/>
      <c r="D92" s="123"/>
      <c r="E92" s="124"/>
      <c r="F92" s="123"/>
      <c r="G92" s="142"/>
      <c r="H92" s="87"/>
    </row>
    <row r="93" spans="1:8">
      <c r="A93" s="142"/>
      <c r="B93" s="124"/>
      <c r="C93" s="123"/>
      <c r="D93" s="123"/>
      <c r="E93" s="124"/>
      <c r="F93" s="123"/>
      <c r="G93" s="142"/>
      <c r="H93" s="87"/>
    </row>
    <row r="94" spans="1:8">
      <c r="A94" s="142"/>
      <c r="B94" s="124"/>
      <c r="C94" s="123"/>
      <c r="D94" s="123"/>
      <c r="E94" s="124"/>
      <c r="F94" s="123"/>
      <c r="G94" s="142"/>
      <c r="H94" s="87"/>
    </row>
    <row r="95" spans="1:8">
      <c r="A95" s="142"/>
      <c r="B95" s="124"/>
      <c r="C95" s="123"/>
      <c r="D95" s="123"/>
      <c r="E95" s="124"/>
      <c r="F95" s="123"/>
      <c r="G95" s="142"/>
      <c r="H95" s="87"/>
    </row>
    <row r="96" spans="1:8">
      <c r="A96" s="142"/>
      <c r="B96" s="124"/>
      <c r="C96" s="123"/>
      <c r="D96" s="123"/>
      <c r="E96" s="124"/>
      <c r="F96" s="123"/>
      <c r="G96" s="142"/>
      <c r="H96" s="87"/>
    </row>
    <row r="97" spans="1:8">
      <c r="A97" s="142"/>
      <c r="B97" s="124"/>
      <c r="C97" s="123"/>
      <c r="D97" s="123"/>
      <c r="E97" s="124"/>
      <c r="F97" s="123"/>
      <c r="G97" s="142"/>
      <c r="H97" s="87"/>
    </row>
    <row r="98" spans="1:8">
      <c r="A98" s="142"/>
      <c r="B98" s="124"/>
      <c r="C98" s="123"/>
      <c r="D98" s="123"/>
      <c r="E98" s="124"/>
      <c r="F98" s="123"/>
      <c r="G98" s="142"/>
      <c r="H98" s="87"/>
    </row>
    <row r="99" spans="1:8">
      <c r="A99" s="142"/>
      <c r="B99" s="124"/>
      <c r="C99" s="123"/>
      <c r="D99" s="123"/>
      <c r="E99" s="124"/>
      <c r="F99" s="123"/>
      <c r="G99" s="142"/>
      <c r="H99" s="87"/>
    </row>
    <row r="100" spans="1:8">
      <c r="A100" s="142"/>
      <c r="B100" s="124"/>
      <c r="C100" s="123"/>
      <c r="D100" s="123"/>
      <c r="E100" s="124"/>
      <c r="F100" s="123"/>
      <c r="G100" s="142"/>
      <c r="H100" s="87"/>
    </row>
    <row r="101" spans="1:8">
      <c r="A101" s="142"/>
      <c r="B101" s="124"/>
      <c r="C101" s="123"/>
      <c r="D101" s="124"/>
      <c r="E101" s="124"/>
      <c r="F101" s="124"/>
      <c r="G101" s="142"/>
      <c r="H101" s="87"/>
    </row>
    <row r="102" spans="1:8">
      <c r="A102" s="142"/>
      <c r="B102" s="124"/>
      <c r="C102" s="123"/>
      <c r="D102" s="123"/>
      <c r="E102" s="124"/>
      <c r="F102" s="123"/>
      <c r="G102" s="142"/>
      <c r="H102" s="87"/>
    </row>
    <row r="103" spans="1:8">
      <c r="A103" s="142"/>
      <c r="B103" s="124"/>
      <c r="C103" s="123"/>
      <c r="D103" s="123"/>
      <c r="E103" s="124"/>
      <c r="F103" s="123"/>
      <c r="G103" s="142"/>
      <c r="H103" s="87"/>
    </row>
    <row r="104" spans="1:8">
      <c r="A104" s="142"/>
      <c r="B104" s="124"/>
      <c r="C104" s="123"/>
      <c r="D104" s="123"/>
      <c r="E104" s="124"/>
      <c r="F104" s="123"/>
      <c r="G104" s="142"/>
      <c r="H104" s="87"/>
    </row>
    <row r="105" spans="1:8">
      <c r="A105" s="142"/>
      <c r="B105" s="124"/>
      <c r="C105" s="123"/>
      <c r="D105" s="124"/>
      <c r="E105" s="91"/>
      <c r="F105" s="123"/>
      <c r="G105" s="142"/>
      <c r="H105" s="87"/>
    </row>
    <row r="106" spans="1:8">
      <c r="A106" s="142"/>
      <c r="B106" s="124"/>
      <c r="C106" s="123"/>
      <c r="D106" s="123"/>
      <c r="E106" s="124"/>
      <c r="F106" s="123"/>
      <c r="G106" s="142"/>
      <c r="H106" s="87"/>
    </row>
    <row r="107" spans="1:8">
      <c r="A107" s="142"/>
      <c r="B107" s="124"/>
      <c r="C107" s="123"/>
      <c r="D107" s="123"/>
      <c r="E107" s="124"/>
      <c r="F107" s="123"/>
      <c r="G107" s="142"/>
      <c r="H107" s="87"/>
    </row>
  </sheetData>
  <mergeCells count="2">
    <mergeCell ref="C2:I2"/>
    <mergeCell ref="C4:I4"/>
  </mergeCells>
  <hyperlinks>
    <hyperlink ref="B1" location="Summary!A1" display="Summary" xr:uid="{6ADEDA31-9A0C-4F59-B3BD-F5E27EBFCA3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3145F-D68E-4C3D-B4EB-92E271A928CC}">
  <dimension ref="A1:I107"/>
  <sheetViews>
    <sheetView topLeftCell="B1" workbookViewId="0"/>
  </sheetViews>
  <sheetFormatPr defaultColWidth="9.140625" defaultRowHeight="12.75"/>
  <cols>
    <col min="1" max="1" width="28.7109375" style="82" bestFit="1" customWidth="1"/>
    <col min="2" max="2" width="34" style="82" customWidth="1"/>
    <col min="3" max="3" width="49.140625" style="82" customWidth="1"/>
    <col min="4" max="4" width="42.140625" style="82" bestFit="1" customWidth="1"/>
    <col min="5" max="5" width="60.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3057</v>
      </c>
      <c r="C2" s="317"/>
      <c r="D2" s="317"/>
      <c r="E2" s="317"/>
      <c r="F2" s="317"/>
      <c r="G2" s="317"/>
      <c r="H2" s="317"/>
      <c r="I2" s="317"/>
    </row>
    <row r="3" spans="1:9">
      <c r="B3" s="107" t="s">
        <v>2629</v>
      </c>
      <c r="C3" s="138"/>
      <c r="D3" s="138"/>
      <c r="E3" s="138"/>
      <c r="F3" s="138"/>
      <c r="G3" s="138"/>
      <c r="H3" s="138"/>
      <c r="I3" s="138"/>
    </row>
    <row r="4" spans="1:9">
      <c r="B4" s="107" t="s">
        <v>571</v>
      </c>
      <c r="C4" s="318" t="str">
        <f>Summary!O299</f>
        <v>This table contains information for the Payment Errors/Exceptions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ht="114.75">
      <c r="A7" s="142" t="s">
        <v>719</v>
      </c>
      <c r="B7" s="124" t="s">
        <v>3058</v>
      </c>
      <c r="C7" s="123" t="s">
        <v>2967</v>
      </c>
      <c r="D7" s="124" t="s">
        <v>3059</v>
      </c>
      <c r="E7" s="124" t="s">
        <v>3060</v>
      </c>
      <c r="F7" s="185" t="s">
        <v>3061</v>
      </c>
      <c r="G7" s="87"/>
      <c r="H7" s="87"/>
    </row>
    <row r="8" spans="1:9">
      <c r="A8" s="142" t="s">
        <v>719</v>
      </c>
      <c r="B8" s="124" t="s">
        <v>1426</v>
      </c>
      <c r="C8" s="123" t="s">
        <v>1427</v>
      </c>
      <c r="D8" s="124" t="s">
        <v>725</v>
      </c>
      <c r="E8" s="124"/>
      <c r="F8" s="185"/>
      <c r="G8" s="87"/>
      <c r="H8" s="87"/>
    </row>
    <row r="9" spans="1:9">
      <c r="A9" s="142" t="s">
        <v>719</v>
      </c>
      <c r="B9" s="124" t="s">
        <v>1429</v>
      </c>
      <c r="C9" s="123" t="s">
        <v>1430</v>
      </c>
      <c r="D9" s="123" t="s">
        <v>725</v>
      </c>
      <c r="E9" s="124"/>
      <c r="F9" s="124"/>
      <c r="G9" s="87"/>
      <c r="H9" s="87"/>
    </row>
    <row r="10" spans="1:9">
      <c r="A10" s="142" t="s">
        <v>719</v>
      </c>
      <c r="B10" s="124" t="s">
        <v>3062</v>
      </c>
      <c r="C10" s="123" t="s">
        <v>3063</v>
      </c>
      <c r="D10" s="124" t="s">
        <v>1018</v>
      </c>
      <c r="E10" s="124"/>
      <c r="F10" s="124" t="s">
        <v>786</v>
      </c>
      <c r="G10" s="87"/>
      <c r="H10" s="87"/>
    </row>
    <row r="11" spans="1:9">
      <c r="A11" s="142" t="s">
        <v>719</v>
      </c>
      <c r="B11" s="124" t="s">
        <v>2993</v>
      </c>
      <c r="C11" s="123" t="s">
        <v>2851</v>
      </c>
      <c r="D11" s="124" t="s">
        <v>725</v>
      </c>
      <c r="E11" s="124"/>
      <c r="F11" s="124"/>
      <c r="G11" s="87"/>
      <c r="H11" s="87"/>
    </row>
    <row r="12" spans="1:9">
      <c r="A12" s="142" t="s">
        <v>719</v>
      </c>
      <c r="B12" s="124" t="s">
        <v>2994</v>
      </c>
      <c r="C12" s="123" t="s">
        <v>2854</v>
      </c>
      <c r="D12" s="124" t="s">
        <v>725</v>
      </c>
      <c r="E12" s="124"/>
      <c r="F12" s="124"/>
      <c r="G12" s="87"/>
      <c r="H12" s="87"/>
    </row>
    <row r="13" spans="1:9">
      <c r="A13" s="142" t="s">
        <v>719</v>
      </c>
      <c r="B13" s="124" t="s">
        <v>2995</v>
      </c>
      <c r="C13" s="123" t="s">
        <v>2856</v>
      </c>
      <c r="D13" s="124" t="s">
        <v>725</v>
      </c>
      <c r="E13" s="124"/>
      <c r="F13" s="124"/>
      <c r="G13" s="87"/>
      <c r="H13" s="87"/>
    </row>
    <row r="14" spans="1:9">
      <c r="A14" s="142" t="s">
        <v>719</v>
      </c>
      <c r="B14" s="124" t="s">
        <v>2996</v>
      </c>
      <c r="C14" s="123" t="s">
        <v>2858</v>
      </c>
      <c r="D14" s="124" t="s">
        <v>725</v>
      </c>
      <c r="E14" s="124"/>
      <c r="F14" s="124"/>
      <c r="G14" s="87"/>
      <c r="H14" s="87"/>
    </row>
    <row r="15" spans="1:9">
      <c r="A15" s="142" t="s">
        <v>719</v>
      </c>
      <c r="B15" s="124" t="s">
        <v>2997</v>
      </c>
      <c r="C15" s="123" t="s">
        <v>2860</v>
      </c>
      <c r="D15" s="124" t="s">
        <v>725</v>
      </c>
      <c r="E15" s="124"/>
      <c r="F15" s="124"/>
      <c r="G15" s="87"/>
      <c r="H15" s="87"/>
    </row>
    <row r="16" spans="1:9">
      <c r="A16" s="142" t="s">
        <v>719</v>
      </c>
      <c r="B16" s="124" t="s">
        <v>2998</v>
      </c>
      <c r="C16" s="123" t="s">
        <v>2862</v>
      </c>
      <c r="D16" s="124" t="s">
        <v>725</v>
      </c>
      <c r="E16" s="124"/>
      <c r="F16" s="124"/>
      <c r="G16" s="87"/>
      <c r="H16" s="87"/>
    </row>
    <row r="17" spans="1:8">
      <c r="A17" s="142" t="s">
        <v>719</v>
      </c>
      <c r="B17" s="124" t="s">
        <v>2999</v>
      </c>
      <c r="C17" s="123" t="s">
        <v>2864</v>
      </c>
      <c r="D17" s="124" t="s">
        <v>725</v>
      </c>
      <c r="E17" s="124"/>
      <c r="F17" s="124"/>
      <c r="G17" s="87"/>
      <c r="H17" s="87"/>
    </row>
    <row r="18" spans="1:8">
      <c r="A18" s="142" t="s">
        <v>719</v>
      </c>
      <c r="B18" s="124" t="s">
        <v>3000</v>
      </c>
      <c r="C18" s="123" t="s">
        <v>2866</v>
      </c>
      <c r="D18" s="124" t="s">
        <v>725</v>
      </c>
      <c r="E18" s="124"/>
      <c r="F18" s="124"/>
      <c r="G18" s="87"/>
      <c r="H18" s="87"/>
    </row>
    <row r="19" spans="1:8">
      <c r="A19" s="142" t="s">
        <v>719</v>
      </c>
      <c r="B19" s="124" t="s">
        <v>3001</v>
      </c>
      <c r="C19" s="123" t="s">
        <v>2868</v>
      </c>
      <c r="D19" s="124" t="s">
        <v>725</v>
      </c>
      <c r="E19" s="91"/>
      <c r="F19" s="92"/>
      <c r="G19" s="87"/>
      <c r="H19" s="87"/>
    </row>
    <row r="20" spans="1:8">
      <c r="A20" s="142" t="s">
        <v>719</v>
      </c>
      <c r="B20" s="124" t="s">
        <v>3002</v>
      </c>
      <c r="C20" s="123" t="s">
        <v>2870</v>
      </c>
      <c r="D20" s="124" t="s">
        <v>725</v>
      </c>
      <c r="E20" s="124"/>
      <c r="F20" s="124"/>
      <c r="G20" s="87"/>
      <c r="H20" s="87"/>
    </row>
    <row r="21" spans="1:8">
      <c r="A21" s="142" t="s">
        <v>719</v>
      </c>
      <c r="B21" s="124" t="s">
        <v>3003</v>
      </c>
      <c r="C21" s="123" t="s">
        <v>2872</v>
      </c>
      <c r="D21" s="124" t="s">
        <v>725</v>
      </c>
      <c r="E21" s="124"/>
      <c r="F21" s="124"/>
      <c r="G21" s="87"/>
      <c r="H21" s="87"/>
    </row>
    <row r="22" spans="1:8" ht="38.25">
      <c r="A22" s="142" t="s">
        <v>719</v>
      </c>
      <c r="B22" s="124" t="s">
        <v>1293</v>
      </c>
      <c r="C22" s="123" t="s">
        <v>1294</v>
      </c>
      <c r="D22" s="92" t="s">
        <v>2666</v>
      </c>
      <c r="E22" s="91"/>
      <c r="F22" s="92" t="s">
        <v>786</v>
      </c>
      <c r="G22" s="87"/>
      <c r="H22" s="87"/>
    </row>
    <row r="23" spans="1:8">
      <c r="A23" s="142" t="s">
        <v>719</v>
      </c>
      <c r="B23" s="124" t="s">
        <v>3004</v>
      </c>
      <c r="C23" s="123" t="s">
        <v>2874</v>
      </c>
      <c r="D23" s="124" t="s">
        <v>725</v>
      </c>
      <c r="E23" s="124"/>
      <c r="F23" s="124"/>
      <c r="G23" s="87"/>
      <c r="H23" s="87"/>
    </row>
    <row r="24" spans="1:8" ht="38.25">
      <c r="A24" s="142" t="s">
        <v>719</v>
      </c>
      <c r="B24" s="124" t="s">
        <v>3005</v>
      </c>
      <c r="C24" s="123" t="s">
        <v>2876</v>
      </c>
      <c r="D24" s="92" t="s">
        <v>2666</v>
      </c>
      <c r="E24" s="91"/>
      <c r="F24" s="92" t="s">
        <v>804</v>
      </c>
      <c r="G24" s="87"/>
      <c r="H24" s="87"/>
    </row>
    <row r="25" spans="1:8">
      <c r="A25" s="142" t="s">
        <v>719</v>
      </c>
      <c r="B25" s="124" t="s">
        <v>3006</v>
      </c>
      <c r="C25" s="123" t="s">
        <v>2878</v>
      </c>
      <c r="D25" s="124" t="s">
        <v>725</v>
      </c>
      <c r="E25" s="91"/>
      <c r="F25" s="92"/>
      <c r="G25" s="87"/>
      <c r="H25" s="87"/>
    </row>
    <row r="26" spans="1:8">
      <c r="A26" s="142" t="s">
        <v>719</v>
      </c>
      <c r="B26" s="124" t="s">
        <v>1499</v>
      </c>
      <c r="C26" s="123" t="s">
        <v>858</v>
      </c>
      <c r="D26" s="124" t="s">
        <v>725</v>
      </c>
      <c r="E26" s="124"/>
      <c r="F26" s="124"/>
      <c r="G26" s="87"/>
      <c r="H26" s="87"/>
    </row>
    <row r="27" spans="1:8">
      <c r="A27" s="142" t="s">
        <v>719</v>
      </c>
      <c r="B27" s="124" t="s">
        <v>933</v>
      </c>
      <c r="C27" s="123" t="s">
        <v>798</v>
      </c>
      <c r="D27" s="124" t="s">
        <v>725</v>
      </c>
      <c r="E27" s="124"/>
      <c r="F27" s="124"/>
      <c r="G27" s="87"/>
      <c r="H27" s="87"/>
    </row>
    <row r="28" spans="1:8">
      <c r="A28" s="142" t="s">
        <v>719</v>
      </c>
      <c r="B28" s="124" t="s">
        <v>946</v>
      </c>
      <c r="C28" s="123" t="s">
        <v>806</v>
      </c>
      <c r="D28" s="124" t="s">
        <v>725</v>
      </c>
      <c r="E28" s="124"/>
      <c r="F28" s="124"/>
      <c r="G28" s="87"/>
      <c r="H28" s="87"/>
    </row>
    <row r="29" spans="1:8">
      <c r="A29" s="142" t="s">
        <v>3007</v>
      </c>
      <c r="B29" s="124" t="s">
        <v>3008</v>
      </c>
      <c r="C29" s="123" t="s">
        <v>1551</v>
      </c>
      <c r="D29" s="123" t="s">
        <v>3009</v>
      </c>
      <c r="E29" s="124"/>
      <c r="F29" s="124" t="s">
        <v>786</v>
      </c>
      <c r="G29" s="87"/>
      <c r="H29" s="87"/>
    </row>
    <row r="30" spans="1:8">
      <c r="A30" s="142" t="s">
        <v>3007</v>
      </c>
      <c r="B30" s="124" t="s">
        <v>1859</v>
      </c>
      <c r="C30" s="123" t="s">
        <v>1038</v>
      </c>
      <c r="D30" s="124" t="s">
        <v>3047</v>
      </c>
      <c r="E30" s="124"/>
      <c r="F30" s="124" t="s">
        <v>786</v>
      </c>
      <c r="G30" s="87"/>
      <c r="H30" s="87"/>
    </row>
    <row r="31" spans="1:8" ht="25.5">
      <c r="A31" s="142" t="s">
        <v>3007</v>
      </c>
      <c r="B31" s="124" t="s">
        <v>3010</v>
      </c>
      <c r="C31" s="123" t="s">
        <v>3011</v>
      </c>
      <c r="D31" s="123" t="s">
        <v>719</v>
      </c>
      <c r="E31" s="124"/>
      <c r="F31" s="124" t="s">
        <v>1887</v>
      </c>
      <c r="G31" s="142" t="s">
        <v>3064</v>
      </c>
      <c r="H31" s="87"/>
    </row>
    <row r="32" spans="1:8">
      <c r="A32" s="142" t="s">
        <v>3007</v>
      </c>
      <c r="B32" s="124" t="s">
        <v>946</v>
      </c>
      <c r="C32" s="123" t="s">
        <v>806</v>
      </c>
      <c r="D32" s="124" t="s">
        <v>725</v>
      </c>
      <c r="E32" s="124"/>
      <c r="F32" s="124"/>
      <c r="G32" s="87"/>
      <c r="H32" s="87"/>
    </row>
    <row r="33" spans="1:8" ht="25.5">
      <c r="A33" s="142" t="s">
        <v>211</v>
      </c>
      <c r="B33" s="124" t="s">
        <v>3008</v>
      </c>
      <c r="C33" s="123" t="s">
        <v>1551</v>
      </c>
      <c r="D33" s="124" t="s">
        <v>725</v>
      </c>
      <c r="E33" s="124"/>
      <c r="F33" s="124"/>
      <c r="G33" s="142" t="s">
        <v>3013</v>
      </c>
      <c r="H33" s="87"/>
    </row>
    <row r="34" spans="1:8">
      <c r="A34" s="142" t="s">
        <v>211</v>
      </c>
      <c r="B34" s="124" t="s">
        <v>3014</v>
      </c>
      <c r="C34" s="123" t="s">
        <v>2701</v>
      </c>
      <c r="D34" s="124" t="s">
        <v>725</v>
      </c>
      <c r="E34" s="124"/>
      <c r="F34" s="124"/>
      <c r="G34" s="87"/>
      <c r="H34" s="87"/>
    </row>
    <row r="35" spans="1:8">
      <c r="A35" s="142" t="s">
        <v>211</v>
      </c>
      <c r="B35" s="124" t="s">
        <v>3015</v>
      </c>
      <c r="C35" s="123" t="s">
        <v>2712</v>
      </c>
      <c r="D35" s="124" t="s">
        <v>725</v>
      </c>
      <c r="E35" s="124"/>
      <c r="F35" s="124"/>
      <c r="G35" s="87"/>
      <c r="H35" s="87"/>
    </row>
    <row r="36" spans="1:8">
      <c r="A36" s="142" t="s">
        <v>211</v>
      </c>
      <c r="B36" s="124" t="s">
        <v>1426</v>
      </c>
      <c r="C36" s="123" t="s">
        <v>1427</v>
      </c>
      <c r="D36" s="124" t="s">
        <v>725</v>
      </c>
      <c r="E36" s="124"/>
      <c r="F36" s="124"/>
      <c r="G36" s="87"/>
      <c r="H36" s="87"/>
    </row>
    <row r="37" spans="1:8">
      <c r="A37" s="142" t="s">
        <v>211</v>
      </c>
      <c r="B37" s="124" t="s">
        <v>1429</v>
      </c>
      <c r="C37" s="123" t="s">
        <v>1430</v>
      </c>
      <c r="D37" s="124" t="s">
        <v>725</v>
      </c>
      <c r="E37" s="124"/>
      <c r="F37" s="124"/>
      <c r="G37" s="142"/>
      <c r="H37" s="87"/>
    </row>
    <row r="38" spans="1:8" ht="38.25">
      <c r="A38" s="142" t="s">
        <v>211</v>
      </c>
      <c r="B38" s="124" t="s">
        <v>3016</v>
      </c>
      <c r="C38" s="123" t="s">
        <v>3017</v>
      </c>
      <c r="D38" s="92" t="s">
        <v>2666</v>
      </c>
      <c r="E38" s="91"/>
      <c r="F38" s="92" t="s">
        <v>804</v>
      </c>
      <c r="G38" s="87"/>
      <c r="H38" s="87"/>
    </row>
    <row r="39" spans="1:8" ht="25.5">
      <c r="A39" s="142" t="s">
        <v>211</v>
      </c>
      <c r="B39" s="124" t="s">
        <v>3018</v>
      </c>
      <c r="C39" s="123" t="s">
        <v>1875</v>
      </c>
      <c r="D39" s="124" t="s">
        <v>3049</v>
      </c>
      <c r="E39" s="124"/>
      <c r="F39" s="124" t="s">
        <v>786</v>
      </c>
      <c r="G39" s="87"/>
      <c r="H39" s="87"/>
    </row>
    <row r="40" spans="1:8">
      <c r="A40" s="142" t="s">
        <v>211</v>
      </c>
      <c r="B40" s="124" t="s">
        <v>3020</v>
      </c>
      <c r="C40" s="123" t="s">
        <v>1878</v>
      </c>
      <c r="D40" s="124" t="s">
        <v>3021</v>
      </c>
      <c r="E40" s="124"/>
      <c r="F40" s="124" t="s">
        <v>786</v>
      </c>
      <c r="G40" s="87"/>
      <c r="H40" s="87"/>
    </row>
    <row r="41" spans="1:8">
      <c r="A41" s="142" t="s">
        <v>211</v>
      </c>
      <c r="B41" s="124" t="s">
        <v>3022</v>
      </c>
      <c r="C41" s="123" t="s">
        <v>564</v>
      </c>
      <c r="D41" s="124" t="s">
        <v>1018</v>
      </c>
      <c r="E41" s="124"/>
      <c r="F41" s="124" t="s">
        <v>786</v>
      </c>
      <c r="G41" s="87"/>
      <c r="H41" s="87"/>
    </row>
    <row r="42" spans="1:8">
      <c r="A42" s="142" t="s">
        <v>211</v>
      </c>
      <c r="B42" s="124" t="s">
        <v>946</v>
      </c>
      <c r="C42" s="123" t="s">
        <v>806</v>
      </c>
      <c r="D42" s="124" t="s">
        <v>725</v>
      </c>
      <c r="E42" s="124"/>
      <c r="F42" s="124"/>
      <c r="G42" s="87"/>
      <c r="H42" s="87"/>
    </row>
    <row r="43" spans="1:8">
      <c r="A43" s="142" t="s">
        <v>211</v>
      </c>
      <c r="B43" s="124" t="s">
        <v>933</v>
      </c>
      <c r="C43" s="123" t="s">
        <v>798</v>
      </c>
      <c r="D43" s="124" t="s">
        <v>725</v>
      </c>
      <c r="E43" s="124"/>
      <c r="F43" s="124"/>
      <c r="G43" s="87"/>
      <c r="H43" s="87"/>
    </row>
    <row r="44" spans="1:8">
      <c r="A44" s="142" t="s">
        <v>211</v>
      </c>
      <c r="B44" s="124" t="s">
        <v>3023</v>
      </c>
      <c r="C44" s="123" t="s">
        <v>3024</v>
      </c>
      <c r="D44" s="124" t="s">
        <v>725</v>
      </c>
      <c r="E44" s="124"/>
      <c r="F44" s="124"/>
      <c r="G44" s="87"/>
      <c r="H44" s="87"/>
    </row>
    <row r="45" spans="1:8">
      <c r="A45" s="142" t="s">
        <v>211</v>
      </c>
      <c r="B45" s="124" t="s">
        <v>3025</v>
      </c>
      <c r="C45" s="123" t="s">
        <v>2647</v>
      </c>
      <c r="D45" s="124" t="s">
        <v>725</v>
      </c>
      <c r="E45" s="124"/>
      <c r="F45" s="123"/>
      <c r="G45" s="87"/>
      <c r="H45" s="87"/>
    </row>
    <row r="46" spans="1:8">
      <c r="A46" s="142" t="s">
        <v>211</v>
      </c>
      <c r="B46" s="124" t="s">
        <v>3026</v>
      </c>
      <c r="C46" s="123" t="s">
        <v>3027</v>
      </c>
      <c r="D46" s="124" t="s">
        <v>725</v>
      </c>
      <c r="E46" s="124"/>
      <c r="F46" s="124"/>
      <c r="G46" s="87"/>
      <c r="H46" s="87"/>
    </row>
    <row r="47" spans="1:8" ht="38.25">
      <c r="A47" s="142" t="s">
        <v>211</v>
      </c>
      <c r="B47" s="124" t="s">
        <v>3028</v>
      </c>
      <c r="C47" s="123" t="s">
        <v>3029</v>
      </c>
      <c r="D47" s="92" t="s">
        <v>2666</v>
      </c>
      <c r="E47" s="91"/>
      <c r="F47" s="124"/>
      <c r="G47" s="87"/>
      <c r="H47" s="87"/>
    </row>
    <row r="48" spans="1:8">
      <c r="A48" s="142" t="s">
        <v>211</v>
      </c>
      <c r="B48" s="124" t="s">
        <v>1499</v>
      </c>
      <c r="C48" s="123" t="s">
        <v>858</v>
      </c>
      <c r="D48" s="124" t="s">
        <v>725</v>
      </c>
      <c r="E48" s="124"/>
      <c r="F48" s="124"/>
      <c r="G48" s="87"/>
      <c r="H48" s="87"/>
    </row>
    <row r="49" spans="1:8">
      <c r="A49" s="142" t="s">
        <v>211</v>
      </c>
      <c r="B49" s="124" t="s">
        <v>3030</v>
      </c>
      <c r="C49" s="123" t="s">
        <v>3031</v>
      </c>
      <c r="D49" s="124" t="s">
        <v>1018</v>
      </c>
      <c r="E49" s="124"/>
      <c r="F49" s="124" t="s">
        <v>786</v>
      </c>
      <c r="G49" s="87"/>
      <c r="H49" s="87"/>
    </row>
    <row r="50" spans="1:8">
      <c r="A50" s="142" t="s">
        <v>211</v>
      </c>
      <c r="B50" s="124" t="s">
        <v>940</v>
      </c>
      <c r="C50" s="123" t="s">
        <v>818</v>
      </c>
      <c r="D50" s="124" t="s">
        <v>725</v>
      </c>
      <c r="E50" s="124"/>
      <c r="F50" s="124"/>
      <c r="G50" s="87"/>
      <c r="H50" s="87"/>
    </row>
    <row r="51" spans="1:8">
      <c r="A51" s="142" t="s">
        <v>211</v>
      </c>
      <c r="B51" s="124" t="s">
        <v>939</v>
      </c>
      <c r="C51" s="123" t="s">
        <v>821</v>
      </c>
      <c r="D51" s="124" t="s">
        <v>725</v>
      </c>
      <c r="E51" s="91"/>
      <c r="F51" s="123"/>
      <c r="G51" s="87"/>
      <c r="H51" s="87"/>
    </row>
    <row r="52" spans="1:8" ht="25.5">
      <c r="A52" s="142" t="s">
        <v>3047</v>
      </c>
      <c r="B52" s="124" t="s">
        <v>3018</v>
      </c>
      <c r="C52" s="123" t="s">
        <v>1875</v>
      </c>
      <c r="D52" s="123"/>
      <c r="E52" s="91"/>
      <c r="F52" s="123"/>
      <c r="G52" s="142" t="s">
        <v>3050</v>
      </c>
      <c r="H52" s="87"/>
    </row>
    <row r="53" spans="1:8" ht="25.5">
      <c r="A53" s="142" t="s">
        <v>3047</v>
      </c>
      <c r="B53" s="124" t="s">
        <v>3051</v>
      </c>
      <c r="C53" s="123" t="s">
        <v>744</v>
      </c>
      <c r="D53" s="123"/>
      <c r="E53" s="92" t="s">
        <v>3065</v>
      </c>
      <c r="F53" s="123"/>
      <c r="G53" s="87"/>
      <c r="H53" s="87"/>
    </row>
    <row r="54" spans="1:8">
      <c r="A54" s="142" t="s">
        <v>3047</v>
      </c>
      <c r="B54" s="124" t="s">
        <v>3053</v>
      </c>
      <c r="C54" s="123" t="s">
        <v>743</v>
      </c>
      <c r="D54" s="124"/>
      <c r="E54" s="124"/>
      <c r="F54" s="124"/>
      <c r="G54" s="87"/>
      <c r="H54" s="87"/>
    </row>
    <row r="55" spans="1:8">
      <c r="A55" s="142" t="s">
        <v>3047</v>
      </c>
      <c r="B55" s="124" t="s">
        <v>946</v>
      </c>
      <c r="C55" s="123" t="s">
        <v>806</v>
      </c>
      <c r="D55" s="124"/>
      <c r="E55" s="124"/>
      <c r="F55" s="185"/>
      <c r="G55" s="87"/>
      <c r="H55" s="87"/>
    </row>
    <row r="56" spans="1:8" ht="25.5">
      <c r="A56" s="142" t="s">
        <v>3047</v>
      </c>
      <c r="B56" s="124" t="s">
        <v>1859</v>
      </c>
      <c r="C56" s="123" t="s">
        <v>1038</v>
      </c>
      <c r="D56" s="123"/>
      <c r="E56" s="124"/>
      <c r="F56" s="124"/>
      <c r="G56" s="142" t="s">
        <v>3054</v>
      </c>
      <c r="H56" s="87"/>
    </row>
    <row r="57" spans="1:8">
      <c r="A57" s="142" t="s">
        <v>3047</v>
      </c>
      <c r="B57" s="124" t="s">
        <v>3055</v>
      </c>
      <c r="C57" s="123" t="s">
        <v>3056</v>
      </c>
      <c r="D57" s="124"/>
      <c r="E57" s="124"/>
      <c r="F57" s="124"/>
      <c r="G57" s="87"/>
      <c r="H57" s="87"/>
    </row>
    <row r="58" spans="1:8">
      <c r="A58" s="142"/>
      <c r="B58" s="124"/>
      <c r="C58" s="123"/>
      <c r="D58" s="124"/>
      <c r="E58" s="124"/>
      <c r="F58" s="124"/>
      <c r="G58" s="87"/>
      <c r="H58" s="87"/>
    </row>
    <row r="59" spans="1:8">
      <c r="A59" s="142"/>
      <c r="B59" s="124"/>
      <c r="C59" s="123"/>
      <c r="D59" s="124"/>
      <c r="E59" s="124"/>
      <c r="F59" s="124"/>
      <c r="G59" s="87"/>
      <c r="H59" s="87"/>
    </row>
    <row r="60" spans="1:8">
      <c r="A60" s="142"/>
      <c r="B60" s="124"/>
      <c r="C60" s="123"/>
      <c r="D60" s="123"/>
      <c r="E60" s="124"/>
      <c r="F60" s="124"/>
      <c r="G60" s="87"/>
      <c r="H60" s="87"/>
    </row>
    <row r="61" spans="1:8">
      <c r="A61" s="142"/>
      <c r="B61" s="124"/>
      <c r="C61" s="123"/>
      <c r="D61" s="123"/>
      <c r="E61" s="124"/>
      <c r="F61" s="124"/>
      <c r="G61" s="87"/>
      <c r="H61" s="87"/>
    </row>
    <row r="62" spans="1:8">
      <c r="A62" s="142"/>
      <c r="B62" s="124"/>
      <c r="C62" s="123"/>
      <c r="D62" s="123"/>
      <c r="E62" s="124"/>
      <c r="F62" s="124"/>
      <c r="G62" s="87"/>
      <c r="H62" s="87"/>
    </row>
    <row r="63" spans="1:8">
      <c r="A63" s="142"/>
      <c r="B63" s="124"/>
      <c r="C63" s="123"/>
      <c r="D63" s="123"/>
      <c r="E63" s="124"/>
      <c r="F63" s="124"/>
      <c r="G63" s="87"/>
      <c r="H63" s="87"/>
    </row>
    <row r="64" spans="1:8">
      <c r="A64" s="142"/>
      <c r="B64" s="124"/>
      <c r="C64" s="123"/>
      <c r="D64" s="123"/>
      <c r="E64" s="124"/>
      <c r="F64" s="124"/>
      <c r="G64" s="87"/>
      <c r="H64" s="87"/>
    </row>
    <row r="65" spans="1:8">
      <c r="A65" s="142"/>
      <c r="B65" s="124"/>
      <c r="C65" s="123"/>
      <c r="D65" s="123"/>
      <c r="E65" s="124"/>
      <c r="F65" s="124"/>
      <c r="G65" s="87"/>
      <c r="H65" s="87"/>
    </row>
    <row r="66" spans="1:8">
      <c r="A66" s="142"/>
      <c r="B66" s="124"/>
      <c r="C66" s="123"/>
      <c r="D66" s="92"/>
      <c r="E66" s="91"/>
      <c r="F66" s="92"/>
      <c r="G66" s="87"/>
      <c r="H66" s="87"/>
    </row>
    <row r="67" spans="1:8">
      <c r="A67" s="142"/>
      <c r="B67" s="124"/>
      <c r="C67" s="123"/>
      <c r="D67" s="123"/>
      <c r="E67" s="124"/>
      <c r="F67" s="124"/>
      <c r="G67" s="87"/>
      <c r="H67" s="87"/>
    </row>
    <row r="68" spans="1:8">
      <c r="A68" s="142"/>
      <c r="B68" s="124"/>
      <c r="C68" s="123"/>
      <c r="D68" s="123"/>
      <c r="E68" s="124"/>
      <c r="F68" s="124"/>
      <c r="G68" s="87"/>
      <c r="H68" s="87"/>
    </row>
    <row r="69" spans="1:8">
      <c r="A69" s="142"/>
      <c r="B69" s="124"/>
      <c r="C69" s="123"/>
      <c r="D69" s="123"/>
      <c r="E69" s="124"/>
      <c r="F69" s="124"/>
      <c r="G69" s="87"/>
      <c r="H69" s="87"/>
    </row>
    <row r="70" spans="1:8">
      <c r="A70" s="142"/>
      <c r="B70" s="124"/>
      <c r="C70" s="123"/>
      <c r="D70" s="123"/>
      <c r="E70" s="124"/>
      <c r="F70" s="124"/>
      <c r="G70" s="87"/>
      <c r="H70" s="87"/>
    </row>
    <row r="71" spans="1:8">
      <c r="A71" s="142"/>
      <c r="B71" s="124"/>
      <c r="C71" s="123"/>
      <c r="D71" s="123"/>
      <c r="E71" s="124"/>
      <c r="F71" s="124"/>
      <c r="G71" s="87"/>
      <c r="H71" s="87"/>
    </row>
    <row r="72" spans="1:8">
      <c r="A72" s="142"/>
      <c r="B72" s="124"/>
      <c r="C72" s="123"/>
      <c r="D72" s="123"/>
      <c r="E72" s="124"/>
      <c r="F72" s="124"/>
      <c r="G72" s="87"/>
      <c r="H72" s="87"/>
    </row>
    <row r="73" spans="1:8">
      <c r="A73" s="142"/>
      <c r="B73" s="124"/>
      <c r="C73" s="123"/>
      <c r="D73" s="123"/>
      <c r="E73" s="124"/>
      <c r="F73" s="124"/>
      <c r="G73" s="87"/>
      <c r="H73" s="87"/>
    </row>
    <row r="74" spans="1:8">
      <c r="A74" s="142"/>
      <c r="B74" s="124"/>
      <c r="C74" s="123"/>
      <c r="D74" s="123"/>
      <c r="E74" s="124"/>
      <c r="F74" s="124"/>
      <c r="G74" s="87"/>
      <c r="H74" s="87"/>
    </row>
    <row r="75" spans="1:8">
      <c r="A75" s="142"/>
      <c r="B75" s="124"/>
      <c r="C75" s="123"/>
      <c r="D75" s="123"/>
      <c r="E75" s="124"/>
      <c r="F75" s="124"/>
      <c r="G75" s="87"/>
      <c r="H75" s="87"/>
    </row>
    <row r="76" spans="1:8">
      <c r="A76" s="142"/>
      <c r="B76" s="124"/>
      <c r="C76" s="123"/>
      <c r="D76" s="123"/>
      <c r="E76" s="124"/>
      <c r="F76" s="124"/>
      <c r="G76" s="87"/>
      <c r="H76" s="87"/>
    </row>
    <row r="77" spans="1:8">
      <c r="A77" s="142"/>
      <c r="B77" s="124"/>
      <c r="C77" s="123"/>
      <c r="D77" s="123"/>
      <c r="E77" s="124"/>
      <c r="F77" s="123"/>
      <c r="G77" s="87"/>
      <c r="H77" s="87"/>
    </row>
    <row r="78" spans="1:8">
      <c r="A78" s="142"/>
      <c r="B78" s="124"/>
      <c r="C78" s="123"/>
      <c r="D78" s="123"/>
      <c r="E78" s="124"/>
      <c r="F78" s="124"/>
      <c r="G78" s="87"/>
      <c r="H78" s="87"/>
    </row>
    <row r="79" spans="1:8">
      <c r="A79" s="142"/>
      <c r="B79" s="124"/>
      <c r="C79" s="123"/>
      <c r="D79" s="123"/>
      <c r="E79" s="124"/>
      <c r="F79" s="124"/>
      <c r="G79" s="87"/>
      <c r="H79" s="87"/>
    </row>
    <row r="80" spans="1:8">
      <c r="A80" s="142"/>
      <c r="B80" s="124"/>
      <c r="C80" s="123"/>
      <c r="D80" s="124"/>
      <c r="E80" s="124"/>
      <c r="F80" s="124"/>
      <c r="G80" s="87"/>
      <c r="H80" s="87"/>
    </row>
    <row r="81" spans="1:8">
      <c r="A81" s="142"/>
      <c r="B81" s="124"/>
      <c r="C81" s="123"/>
      <c r="D81" s="123"/>
      <c r="E81" s="124"/>
      <c r="F81" s="124"/>
      <c r="G81" s="87"/>
      <c r="H81" s="87"/>
    </row>
    <row r="82" spans="1:8">
      <c r="A82" s="142"/>
      <c r="B82" s="124"/>
      <c r="C82" s="123"/>
      <c r="D82" s="123"/>
      <c r="E82" s="124"/>
      <c r="F82" s="124"/>
      <c r="G82" s="87"/>
      <c r="H82" s="87"/>
    </row>
    <row r="83" spans="1:8">
      <c r="A83" s="142"/>
      <c r="B83" s="124"/>
      <c r="C83" s="123"/>
      <c r="D83" s="123"/>
      <c r="E83" s="124"/>
      <c r="F83" s="124"/>
      <c r="G83" s="87"/>
      <c r="H83" s="87"/>
    </row>
    <row r="84" spans="1:8">
      <c r="A84" s="142"/>
      <c r="B84" s="124"/>
      <c r="C84" s="123"/>
      <c r="D84" s="123"/>
      <c r="E84" s="124"/>
      <c r="F84" s="123"/>
      <c r="G84" s="87"/>
      <c r="H84" s="87"/>
    </row>
    <row r="85" spans="1:8">
      <c r="A85" s="142"/>
      <c r="B85" s="124"/>
      <c r="C85" s="123"/>
      <c r="D85" s="123"/>
      <c r="E85" s="124"/>
      <c r="F85" s="124"/>
      <c r="G85" s="87"/>
      <c r="H85" s="87"/>
    </row>
    <row r="86" spans="1:8">
      <c r="A86" s="142"/>
      <c r="B86" s="124"/>
      <c r="C86" s="123"/>
      <c r="D86" s="123"/>
      <c r="E86" s="91"/>
      <c r="F86" s="123"/>
      <c r="G86" s="87"/>
      <c r="H86" s="87"/>
    </row>
    <row r="87" spans="1:8">
      <c r="A87" s="142"/>
      <c r="B87" s="124"/>
      <c r="C87" s="123"/>
      <c r="D87" s="123"/>
      <c r="E87" s="91"/>
      <c r="F87" s="123"/>
      <c r="G87" s="87"/>
      <c r="H87" s="87"/>
    </row>
    <row r="88" spans="1:8">
      <c r="A88" s="142"/>
      <c r="B88" s="124"/>
      <c r="C88" s="123"/>
      <c r="D88" s="123"/>
      <c r="E88" s="91"/>
      <c r="F88" s="123"/>
      <c r="G88" s="142"/>
      <c r="H88" s="87"/>
    </row>
    <row r="89" spans="1:8">
      <c r="A89" s="142"/>
      <c r="B89" s="124"/>
      <c r="C89" s="123"/>
      <c r="D89" s="124"/>
      <c r="E89" s="91"/>
      <c r="F89" s="123"/>
      <c r="G89" s="87"/>
      <c r="H89" s="87"/>
    </row>
    <row r="90" spans="1:8">
      <c r="A90" s="142"/>
      <c r="B90" s="124"/>
      <c r="C90" s="123"/>
      <c r="D90" s="123"/>
      <c r="E90" s="124"/>
      <c r="F90" s="123"/>
      <c r="G90" s="142"/>
      <c r="H90" s="87"/>
    </row>
    <row r="91" spans="1:8">
      <c r="A91" s="142"/>
      <c r="B91" s="124"/>
      <c r="C91" s="123"/>
      <c r="D91" s="124"/>
      <c r="E91" s="124"/>
      <c r="F91" s="124"/>
      <c r="G91" s="142"/>
      <c r="H91" s="87"/>
    </row>
    <row r="92" spans="1:8">
      <c r="A92" s="142"/>
      <c r="B92" s="124"/>
      <c r="C92" s="123"/>
      <c r="D92" s="123"/>
      <c r="E92" s="124"/>
      <c r="F92" s="123"/>
      <c r="G92" s="142"/>
      <c r="H92" s="87"/>
    </row>
    <row r="93" spans="1:8">
      <c r="A93" s="142"/>
      <c r="B93" s="124"/>
      <c r="C93" s="123"/>
      <c r="D93" s="123"/>
      <c r="E93" s="124"/>
      <c r="F93" s="123"/>
      <c r="G93" s="142"/>
      <c r="H93" s="87"/>
    </row>
    <row r="94" spans="1:8">
      <c r="A94" s="142"/>
      <c r="B94" s="124"/>
      <c r="C94" s="123"/>
      <c r="D94" s="123"/>
      <c r="E94" s="124"/>
      <c r="F94" s="123"/>
      <c r="G94" s="142"/>
      <c r="H94" s="87"/>
    </row>
    <row r="95" spans="1:8">
      <c r="A95" s="142"/>
      <c r="B95" s="124"/>
      <c r="C95" s="123"/>
      <c r="D95" s="123"/>
      <c r="E95" s="124"/>
      <c r="F95" s="123"/>
      <c r="G95" s="142"/>
      <c r="H95" s="87"/>
    </row>
    <row r="96" spans="1:8">
      <c r="A96" s="142"/>
      <c r="B96" s="124"/>
      <c r="C96" s="123"/>
      <c r="D96" s="123"/>
      <c r="E96" s="124"/>
      <c r="F96" s="123"/>
      <c r="G96" s="142"/>
      <c r="H96" s="87"/>
    </row>
    <row r="97" spans="1:8">
      <c r="A97" s="142"/>
      <c r="B97" s="124"/>
      <c r="C97" s="123"/>
      <c r="D97" s="123"/>
      <c r="E97" s="124"/>
      <c r="F97" s="123"/>
      <c r="G97" s="142"/>
      <c r="H97" s="87"/>
    </row>
    <row r="98" spans="1:8">
      <c r="A98" s="142"/>
      <c r="B98" s="124"/>
      <c r="C98" s="123"/>
      <c r="D98" s="123"/>
      <c r="E98" s="124"/>
      <c r="F98" s="123"/>
      <c r="G98" s="142"/>
      <c r="H98" s="87"/>
    </row>
    <row r="99" spans="1:8">
      <c r="A99" s="142"/>
      <c r="B99" s="124"/>
      <c r="C99" s="123"/>
      <c r="D99" s="123"/>
      <c r="E99" s="124"/>
      <c r="F99" s="123"/>
      <c r="G99" s="142"/>
      <c r="H99" s="87"/>
    </row>
    <row r="100" spans="1:8">
      <c r="A100" s="142"/>
      <c r="B100" s="124"/>
      <c r="C100" s="123"/>
      <c r="D100" s="123"/>
      <c r="E100" s="124"/>
      <c r="F100" s="123"/>
      <c r="G100" s="142"/>
      <c r="H100" s="87"/>
    </row>
    <row r="101" spans="1:8">
      <c r="A101" s="142"/>
      <c r="B101" s="124"/>
      <c r="C101" s="123"/>
      <c r="D101" s="124"/>
      <c r="E101" s="124"/>
      <c r="F101" s="124"/>
      <c r="G101" s="142"/>
      <c r="H101" s="87"/>
    </row>
    <row r="102" spans="1:8">
      <c r="A102" s="142"/>
      <c r="B102" s="124"/>
      <c r="C102" s="123"/>
      <c r="D102" s="123"/>
      <c r="E102" s="124"/>
      <c r="F102" s="123"/>
      <c r="G102" s="142"/>
      <c r="H102" s="87"/>
    </row>
    <row r="103" spans="1:8">
      <c r="A103" s="142"/>
      <c r="B103" s="124"/>
      <c r="C103" s="123"/>
      <c r="D103" s="123"/>
      <c r="E103" s="124"/>
      <c r="F103" s="123"/>
      <c r="G103" s="142"/>
      <c r="H103" s="87"/>
    </row>
    <row r="104" spans="1:8">
      <c r="A104" s="142"/>
      <c r="B104" s="124"/>
      <c r="C104" s="123"/>
      <c r="D104" s="123"/>
      <c r="E104" s="124"/>
      <c r="F104" s="123"/>
      <c r="G104" s="142"/>
      <c r="H104" s="87"/>
    </row>
    <row r="105" spans="1:8">
      <c r="A105" s="142"/>
      <c r="B105" s="124"/>
      <c r="C105" s="123"/>
      <c r="D105" s="124"/>
      <c r="E105" s="91"/>
      <c r="F105" s="123"/>
      <c r="G105" s="142"/>
      <c r="H105" s="87"/>
    </row>
    <row r="106" spans="1:8">
      <c r="A106" s="142"/>
      <c r="B106" s="124"/>
      <c r="C106" s="123"/>
      <c r="D106" s="123"/>
      <c r="E106" s="124"/>
      <c r="F106" s="123"/>
      <c r="G106" s="142"/>
      <c r="H106" s="87"/>
    </row>
    <row r="107" spans="1:8">
      <c r="A107" s="142"/>
      <c r="B107" s="124"/>
      <c r="C107" s="123"/>
      <c r="D107" s="123"/>
      <c r="E107" s="124"/>
      <c r="F107" s="123"/>
      <c r="G107" s="142"/>
      <c r="H107" s="87"/>
    </row>
  </sheetData>
  <mergeCells count="2">
    <mergeCell ref="C2:I2"/>
    <mergeCell ref="C4:I4"/>
  </mergeCells>
  <hyperlinks>
    <hyperlink ref="B1" location="Summary!A1" display="Summary" xr:uid="{A4C00D6A-B390-4836-85AD-74144AC9A1A1}"/>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9A41-D7FC-4AB6-B80F-0508ED9B2E41}">
  <dimension ref="A1:I57"/>
  <sheetViews>
    <sheetView workbookViewId="0">
      <selection activeCell="B2" sqref="B2"/>
    </sheetView>
  </sheetViews>
  <sheetFormatPr defaultColWidth="9.140625" defaultRowHeight="12.75"/>
  <cols>
    <col min="1" max="1" width="28.7109375" style="82" bestFit="1" customWidth="1"/>
    <col min="2" max="2" width="34" style="82" customWidth="1"/>
    <col min="3" max="3" width="49.140625" style="82" customWidth="1"/>
    <col min="4" max="4" width="42.140625" style="82" bestFit="1" customWidth="1"/>
    <col min="5" max="5" width="60.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3066</v>
      </c>
      <c r="C2" s="317"/>
      <c r="D2" s="317"/>
      <c r="E2" s="317"/>
      <c r="F2" s="317"/>
      <c r="G2" s="317"/>
      <c r="H2" s="317"/>
      <c r="I2" s="317"/>
    </row>
    <row r="3" spans="1:9">
      <c r="B3" s="107" t="s">
        <v>2629</v>
      </c>
      <c r="C3" s="138"/>
      <c r="D3" s="138"/>
      <c r="E3" s="138"/>
      <c r="F3" s="138"/>
      <c r="G3" s="138"/>
      <c r="H3" s="138"/>
      <c r="I3" s="138"/>
    </row>
    <row r="4" spans="1:9">
      <c r="B4" s="107" t="s">
        <v>571</v>
      </c>
      <c r="C4" s="317" t="str">
        <f>Summary!O302</f>
        <v>This table contains information for the Errors/Exceptions encountered during processing of Inbound Sync Request. Inbound Sync Requests are the objects being created to sync the data between CC&amp;B and MDM.</v>
      </c>
      <c r="D4" s="317"/>
      <c r="E4" s="317"/>
      <c r="F4" s="317"/>
      <c r="G4" s="317"/>
      <c r="H4" s="317"/>
      <c r="I4" s="317"/>
    </row>
    <row r="5" spans="1:9">
      <c r="B5" s="107"/>
    </row>
    <row r="6" spans="1:9">
      <c r="A6" s="89" t="s">
        <v>550</v>
      </c>
      <c r="B6" s="89" t="s">
        <v>775</v>
      </c>
      <c r="C6" s="145" t="s">
        <v>776</v>
      </c>
      <c r="D6" s="89" t="s">
        <v>918</v>
      </c>
      <c r="E6" s="89" t="s">
        <v>778</v>
      </c>
      <c r="F6" s="90" t="s">
        <v>779</v>
      </c>
      <c r="G6" s="90" t="s">
        <v>568</v>
      </c>
      <c r="H6" s="90" t="s">
        <v>780</v>
      </c>
    </row>
    <row r="7" spans="1:9">
      <c r="A7" s="142" t="s">
        <v>731</v>
      </c>
      <c r="B7" s="124" t="s">
        <v>3067</v>
      </c>
      <c r="C7" s="123" t="s">
        <v>389</v>
      </c>
      <c r="D7" s="124" t="s">
        <v>3068</v>
      </c>
      <c r="E7" s="124"/>
      <c r="F7" s="185" t="s">
        <v>786</v>
      </c>
      <c r="G7" s="87"/>
      <c r="H7" s="87"/>
    </row>
    <row r="8" spans="1:9">
      <c r="A8" s="142" t="s">
        <v>731</v>
      </c>
      <c r="B8" s="124" t="s">
        <v>1426</v>
      </c>
      <c r="C8" s="123" t="s">
        <v>1427</v>
      </c>
      <c r="D8" s="124" t="s">
        <v>3069</v>
      </c>
      <c r="E8" s="124"/>
      <c r="F8" s="185" t="s">
        <v>786</v>
      </c>
      <c r="G8" s="87"/>
      <c r="H8" s="87"/>
    </row>
    <row r="9" spans="1:9" ht="38.25">
      <c r="A9" s="142" t="s">
        <v>731</v>
      </c>
      <c r="B9" s="124" t="s">
        <v>1429</v>
      </c>
      <c r="C9" s="123" t="s">
        <v>1430</v>
      </c>
      <c r="D9" s="124" t="s">
        <v>3070</v>
      </c>
      <c r="E9" s="124"/>
      <c r="F9" s="124" t="s">
        <v>786</v>
      </c>
      <c r="G9" s="87"/>
      <c r="H9" s="87"/>
    </row>
    <row r="10" spans="1:9">
      <c r="A10" s="142" t="s">
        <v>731</v>
      </c>
      <c r="B10" s="124" t="s">
        <v>946</v>
      </c>
      <c r="C10" s="123" t="s">
        <v>806</v>
      </c>
      <c r="D10" s="124" t="s">
        <v>725</v>
      </c>
      <c r="E10" s="124"/>
      <c r="F10" s="124"/>
      <c r="G10" s="87"/>
      <c r="H10" s="87"/>
    </row>
    <row r="11" spans="1:9">
      <c r="A11" s="142" t="s">
        <v>731</v>
      </c>
      <c r="B11" s="124" t="s">
        <v>1471</v>
      </c>
      <c r="C11" s="123" t="s">
        <v>1038</v>
      </c>
      <c r="D11" s="124" t="s">
        <v>725</v>
      </c>
      <c r="E11" s="124"/>
      <c r="F11" s="124"/>
      <c r="G11" s="87"/>
      <c r="H11" s="87"/>
    </row>
    <row r="12" spans="1:9">
      <c r="A12" s="142" t="s">
        <v>3068</v>
      </c>
      <c r="B12" s="124" t="s">
        <v>924</v>
      </c>
      <c r="C12" s="123" t="s">
        <v>564</v>
      </c>
      <c r="D12" s="123" t="s">
        <v>925</v>
      </c>
      <c r="E12" s="124"/>
      <c r="F12" s="124" t="s">
        <v>786</v>
      </c>
      <c r="G12" s="87"/>
      <c r="H12" s="87"/>
    </row>
    <row r="13" spans="1:9">
      <c r="A13" s="142" t="s">
        <v>3068</v>
      </c>
      <c r="B13" s="124" t="s">
        <v>928</v>
      </c>
      <c r="C13" s="123" t="s">
        <v>784</v>
      </c>
      <c r="D13" s="123" t="s">
        <v>3071</v>
      </c>
      <c r="E13" s="124"/>
      <c r="F13" s="124" t="s">
        <v>786</v>
      </c>
      <c r="G13" s="87"/>
      <c r="H13" s="87"/>
    </row>
    <row r="14" spans="1:9">
      <c r="A14" s="142" t="s">
        <v>3068</v>
      </c>
      <c r="B14" s="124" t="s">
        <v>933</v>
      </c>
      <c r="C14" s="123" t="s">
        <v>798</v>
      </c>
      <c r="D14" s="123"/>
      <c r="E14" s="124"/>
      <c r="F14" s="124"/>
      <c r="G14" s="87"/>
      <c r="H14" s="87"/>
    </row>
    <row r="15" spans="1:9">
      <c r="A15" s="142" t="s">
        <v>3068</v>
      </c>
      <c r="B15" s="124" t="s">
        <v>3072</v>
      </c>
      <c r="C15" s="123" t="s">
        <v>3073</v>
      </c>
      <c r="D15" s="123"/>
      <c r="E15" s="124"/>
      <c r="F15" s="124"/>
      <c r="G15" s="87"/>
      <c r="H15" s="87"/>
    </row>
    <row r="16" spans="1:9">
      <c r="A16" s="142" t="s">
        <v>3068</v>
      </c>
      <c r="B16" s="124" t="s">
        <v>1632</v>
      </c>
      <c r="C16" s="123" t="s">
        <v>879</v>
      </c>
      <c r="D16" s="123"/>
      <c r="E16" s="124"/>
      <c r="F16" s="124"/>
      <c r="G16" s="87"/>
      <c r="H16" s="87"/>
    </row>
    <row r="17" spans="1:8">
      <c r="A17" s="142" t="s">
        <v>3068</v>
      </c>
      <c r="B17" s="124" t="s">
        <v>3067</v>
      </c>
      <c r="C17" s="123" t="s">
        <v>389</v>
      </c>
      <c r="D17" s="123"/>
      <c r="E17" s="124"/>
      <c r="F17" s="124"/>
      <c r="G17" s="87"/>
      <c r="H17" s="87"/>
    </row>
    <row r="18" spans="1:8">
      <c r="A18" s="142" t="s">
        <v>3068</v>
      </c>
      <c r="B18" s="124" t="s">
        <v>939</v>
      </c>
      <c r="C18" s="123" t="s">
        <v>821</v>
      </c>
      <c r="D18" s="123"/>
      <c r="E18" s="124"/>
      <c r="F18" s="124"/>
      <c r="G18" s="87"/>
      <c r="H18" s="87"/>
    </row>
    <row r="19" spans="1:8">
      <c r="A19" s="142" t="s">
        <v>3068</v>
      </c>
      <c r="B19" s="124" t="s">
        <v>940</v>
      </c>
      <c r="C19" s="123" t="s">
        <v>818</v>
      </c>
      <c r="D19" s="92"/>
      <c r="E19" s="91"/>
      <c r="F19" s="92"/>
      <c r="G19" s="87"/>
      <c r="H19" s="87"/>
    </row>
    <row r="20" spans="1:8">
      <c r="A20" s="142" t="s">
        <v>3068</v>
      </c>
      <c r="B20" s="124" t="s">
        <v>958</v>
      </c>
      <c r="C20" s="123" t="s">
        <v>959</v>
      </c>
      <c r="D20" s="123" t="s">
        <v>960</v>
      </c>
      <c r="E20" s="124"/>
      <c r="F20" s="124" t="s">
        <v>786</v>
      </c>
      <c r="G20" s="87"/>
      <c r="H20" s="87"/>
    </row>
    <row r="21" spans="1:8">
      <c r="A21" s="142" t="s">
        <v>3068</v>
      </c>
      <c r="B21" s="124" t="s">
        <v>945</v>
      </c>
      <c r="C21" s="123" t="s">
        <v>800</v>
      </c>
      <c r="D21" s="123"/>
      <c r="E21" s="124"/>
      <c r="F21" s="124"/>
      <c r="G21" s="87"/>
      <c r="H21" s="87"/>
    </row>
    <row r="22" spans="1:8">
      <c r="A22" s="142" t="s">
        <v>3068</v>
      </c>
      <c r="B22" s="124" t="s">
        <v>946</v>
      </c>
      <c r="C22" s="123" t="s">
        <v>806</v>
      </c>
      <c r="D22" s="123"/>
      <c r="E22" s="124"/>
      <c r="F22" s="124"/>
      <c r="G22" s="87"/>
      <c r="H22" s="87"/>
    </row>
    <row r="23" spans="1:8">
      <c r="A23" s="142" t="s">
        <v>3068</v>
      </c>
      <c r="B23" s="124" t="s">
        <v>3074</v>
      </c>
      <c r="C23" s="123" t="s">
        <v>3075</v>
      </c>
      <c r="D23" s="123"/>
      <c r="E23" s="124"/>
      <c r="F23" s="124"/>
      <c r="G23" s="87"/>
      <c r="H23" s="87"/>
    </row>
    <row r="24" spans="1:8">
      <c r="A24" s="142" t="s">
        <v>3068</v>
      </c>
      <c r="B24" s="124" t="s">
        <v>3076</v>
      </c>
      <c r="C24" s="123" t="s">
        <v>3077</v>
      </c>
      <c r="D24" s="123"/>
      <c r="E24" s="124"/>
      <c r="F24" s="124"/>
      <c r="G24" s="87"/>
      <c r="H24" s="87"/>
    </row>
    <row r="25" spans="1:8">
      <c r="A25" s="142" t="s">
        <v>3068</v>
      </c>
      <c r="B25" s="124" t="s">
        <v>3078</v>
      </c>
      <c r="C25" s="123" t="s">
        <v>3079</v>
      </c>
      <c r="D25" s="123"/>
      <c r="E25" s="124"/>
      <c r="F25" s="124"/>
      <c r="G25" s="87"/>
      <c r="H25" s="87"/>
    </row>
    <row r="26" spans="1:8">
      <c r="A26" s="142" t="s">
        <v>3068</v>
      </c>
      <c r="B26" s="124" t="s">
        <v>3080</v>
      </c>
      <c r="C26" s="123" t="s">
        <v>3081</v>
      </c>
      <c r="D26" s="123"/>
      <c r="E26" s="124"/>
      <c r="F26" s="124"/>
      <c r="G26" s="87"/>
      <c r="H26" s="87"/>
    </row>
    <row r="27" spans="1:8">
      <c r="A27" s="142" t="s">
        <v>3068</v>
      </c>
      <c r="B27" s="124" t="s">
        <v>3082</v>
      </c>
      <c r="C27" s="123" t="s">
        <v>3083</v>
      </c>
      <c r="D27" s="124" t="s">
        <v>1018</v>
      </c>
      <c r="E27" s="124"/>
      <c r="F27" s="124" t="s">
        <v>786</v>
      </c>
      <c r="G27" s="87"/>
      <c r="H27" s="87"/>
    </row>
    <row r="28" spans="1:8">
      <c r="A28" s="142" t="s">
        <v>3068</v>
      </c>
      <c r="B28" s="124" t="s">
        <v>3084</v>
      </c>
      <c r="C28" s="123" t="s">
        <v>2578</v>
      </c>
      <c r="D28" s="123" t="s">
        <v>2579</v>
      </c>
      <c r="E28" s="124"/>
      <c r="F28" s="124" t="s">
        <v>786</v>
      </c>
      <c r="G28" s="87"/>
      <c r="H28" s="87"/>
    </row>
    <row r="29" spans="1:8">
      <c r="A29" s="142" t="s">
        <v>3068</v>
      </c>
      <c r="B29" s="124" t="s">
        <v>962</v>
      </c>
      <c r="C29" s="123" t="s">
        <v>963</v>
      </c>
      <c r="D29" s="123"/>
      <c r="E29" s="124"/>
      <c r="F29" s="123"/>
      <c r="G29" s="87"/>
      <c r="H29" s="87"/>
    </row>
    <row r="30" spans="1:8">
      <c r="A30" s="142" t="s">
        <v>3068</v>
      </c>
      <c r="B30" s="124" t="s">
        <v>3085</v>
      </c>
      <c r="C30" s="123" t="s">
        <v>3086</v>
      </c>
      <c r="D30" s="124" t="s">
        <v>1018</v>
      </c>
      <c r="E30" s="124"/>
      <c r="F30" s="124" t="s">
        <v>786</v>
      </c>
      <c r="G30" s="87"/>
      <c r="H30" s="87"/>
    </row>
    <row r="31" spans="1:8">
      <c r="A31" s="142"/>
      <c r="B31" s="124"/>
      <c r="C31" s="123"/>
      <c r="D31" s="123"/>
      <c r="E31" s="124"/>
      <c r="F31" s="124"/>
      <c r="G31" s="87"/>
      <c r="H31" s="87"/>
    </row>
    <row r="32" spans="1:8">
      <c r="A32" s="142"/>
      <c r="B32" s="124"/>
      <c r="C32" s="123"/>
      <c r="D32" s="123"/>
      <c r="E32" s="124"/>
      <c r="F32" s="124"/>
      <c r="G32" s="87"/>
      <c r="H32" s="87"/>
    </row>
    <row r="33" spans="1:8">
      <c r="A33" s="142"/>
      <c r="B33" s="124"/>
      <c r="C33" s="123"/>
      <c r="D33" s="123"/>
      <c r="E33" s="124"/>
      <c r="F33" s="124"/>
      <c r="G33" s="87"/>
      <c r="H33" s="87"/>
    </row>
    <row r="34" spans="1:8">
      <c r="A34" s="142"/>
      <c r="B34" s="124"/>
      <c r="C34" s="123"/>
      <c r="D34" s="123"/>
      <c r="E34" s="124"/>
      <c r="F34" s="123"/>
      <c r="G34" s="87"/>
      <c r="H34" s="87"/>
    </row>
    <row r="35" spans="1:8">
      <c r="A35" s="142"/>
      <c r="B35" s="124"/>
      <c r="C35" s="123"/>
      <c r="D35" s="123"/>
      <c r="E35" s="124"/>
      <c r="F35" s="124"/>
      <c r="G35" s="87"/>
      <c r="H35" s="87"/>
    </row>
    <row r="36" spans="1:8">
      <c r="A36" s="142"/>
      <c r="B36" s="124"/>
      <c r="C36" s="123"/>
      <c r="D36" s="123"/>
      <c r="E36" s="91"/>
      <c r="F36" s="123"/>
      <c r="G36" s="87"/>
      <c r="H36" s="87"/>
    </row>
    <row r="37" spans="1:8">
      <c r="A37" s="142"/>
      <c r="B37" s="124"/>
      <c r="C37" s="123"/>
      <c r="D37" s="123"/>
      <c r="E37" s="91"/>
      <c r="F37" s="123"/>
      <c r="G37" s="87"/>
      <c r="H37" s="87"/>
    </row>
    <row r="38" spans="1:8">
      <c r="A38" s="142"/>
      <c r="B38" s="124"/>
      <c r="C38" s="123"/>
      <c r="D38" s="123"/>
      <c r="E38" s="91"/>
      <c r="F38" s="123"/>
      <c r="G38" s="142"/>
      <c r="H38" s="87"/>
    </row>
    <row r="39" spans="1:8">
      <c r="A39" s="142"/>
      <c r="B39" s="124"/>
      <c r="C39" s="123"/>
      <c r="D39" s="124"/>
      <c r="E39" s="91"/>
      <c r="F39" s="123"/>
      <c r="G39" s="87"/>
      <c r="H39" s="87"/>
    </row>
    <row r="40" spans="1:8">
      <c r="A40" s="142"/>
      <c r="B40" s="124"/>
      <c r="C40" s="123"/>
      <c r="D40" s="123"/>
      <c r="E40" s="124"/>
      <c r="F40" s="123"/>
      <c r="G40" s="142"/>
      <c r="H40" s="87"/>
    </row>
    <row r="41" spans="1:8">
      <c r="A41" s="142"/>
      <c r="B41" s="124"/>
      <c r="C41" s="123"/>
      <c r="D41" s="124"/>
      <c r="E41" s="124"/>
      <c r="F41" s="124"/>
      <c r="G41" s="142"/>
      <c r="H41" s="87"/>
    </row>
    <row r="42" spans="1:8">
      <c r="A42" s="142"/>
      <c r="B42" s="124"/>
      <c r="C42" s="123"/>
      <c r="D42" s="123"/>
      <c r="E42" s="124"/>
      <c r="F42" s="123"/>
      <c r="G42" s="142"/>
      <c r="H42" s="87"/>
    </row>
    <row r="43" spans="1:8">
      <c r="A43" s="142"/>
      <c r="B43" s="124"/>
      <c r="C43" s="123"/>
      <c r="D43" s="123"/>
      <c r="E43" s="124"/>
      <c r="F43" s="123"/>
      <c r="G43" s="142"/>
      <c r="H43" s="87"/>
    </row>
    <row r="44" spans="1:8">
      <c r="A44" s="142"/>
      <c r="B44" s="124"/>
      <c r="C44" s="123"/>
      <c r="D44" s="123"/>
      <c r="E44" s="124"/>
      <c r="F44" s="123"/>
      <c r="G44" s="142"/>
      <c r="H44" s="87"/>
    </row>
    <row r="45" spans="1:8">
      <c r="A45" s="142"/>
      <c r="B45" s="124"/>
      <c r="C45" s="123"/>
      <c r="D45" s="123"/>
      <c r="E45" s="124"/>
      <c r="F45" s="123"/>
      <c r="G45" s="142"/>
      <c r="H45" s="87"/>
    </row>
    <row r="46" spans="1:8">
      <c r="A46" s="142"/>
      <c r="B46" s="124"/>
      <c r="C46" s="123"/>
      <c r="D46" s="123"/>
      <c r="E46" s="124"/>
      <c r="F46" s="123"/>
      <c r="G46" s="142"/>
      <c r="H46" s="87"/>
    </row>
    <row r="47" spans="1:8">
      <c r="A47" s="142"/>
      <c r="B47" s="124"/>
      <c r="C47" s="123"/>
      <c r="D47" s="123"/>
      <c r="E47" s="124"/>
      <c r="F47" s="123"/>
      <c r="G47" s="142"/>
      <c r="H47" s="87"/>
    </row>
    <row r="48" spans="1:8">
      <c r="A48" s="142"/>
      <c r="B48" s="124"/>
      <c r="C48" s="123"/>
      <c r="D48" s="123"/>
      <c r="E48" s="124"/>
      <c r="F48" s="123"/>
      <c r="G48" s="142"/>
      <c r="H48" s="87"/>
    </row>
    <row r="49" spans="1:8">
      <c r="A49" s="142"/>
      <c r="B49" s="124"/>
      <c r="C49" s="123"/>
      <c r="D49" s="123"/>
      <c r="E49" s="124"/>
      <c r="F49" s="123"/>
      <c r="G49" s="142"/>
      <c r="H49" s="87"/>
    </row>
    <row r="50" spans="1:8">
      <c r="A50" s="142"/>
      <c r="B50" s="124"/>
      <c r="C50" s="123"/>
      <c r="D50" s="123"/>
      <c r="E50" s="124"/>
      <c r="F50" s="123"/>
      <c r="G50" s="142"/>
      <c r="H50" s="87"/>
    </row>
    <row r="51" spans="1:8">
      <c r="A51" s="142"/>
      <c r="B51" s="124"/>
      <c r="C51" s="123"/>
      <c r="D51" s="124"/>
      <c r="E51" s="124"/>
      <c r="F51" s="124"/>
      <c r="G51" s="142"/>
      <c r="H51" s="87"/>
    </row>
    <row r="52" spans="1:8">
      <c r="A52" s="142"/>
      <c r="B52" s="124"/>
      <c r="C52" s="123"/>
      <c r="D52" s="123"/>
      <c r="E52" s="124"/>
      <c r="F52" s="123"/>
      <c r="G52" s="142"/>
      <c r="H52" s="87"/>
    </row>
    <row r="53" spans="1:8">
      <c r="A53" s="142"/>
      <c r="B53" s="124"/>
      <c r="C53" s="123"/>
      <c r="D53" s="123"/>
      <c r="E53" s="124"/>
      <c r="F53" s="123"/>
      <c r="G53" s="142"/>
      <c r="H53" s="87"/>
    </row>
    <row r="54" spans="1:8">
      <c r="A54" s="142"/>
      <c r="B54" s="124"/>
      <c r="C54" s="123"/>
      <c r="D54" s="123"/>
      <c r="E54" s="124"/>
      <c r="F54" s="123"/>
      <c r="G54" s="142"/>
      <c r="H54" s="87"/>
    </row>
    <row r="55" spans="1:8">
      <c r="A55" s="142"/>
      <c r="B55" s="124"/>
      <c r="C55" s="123"/>
      <c r="D55" s="124"/>
      <c r="E55" s="91"/>
      <c r="F55" s="123"/>
      <c r="G55" s="142"/>
      <c r="H55" s="87"/>
    </row>
    <row r="56" spans="1:8">
      <c r="A56" s="142"/>
      <c r="B56" s="124"/>
      <c r="C56" s="123"/>
      <c r="D56" s="123"/>
      <c r="E56" s="124"/>
      <c r="F56" s="123"/>
      <c r="G56" s="142"/>
      <c r="H56" s="87"/>
    </row>
    <row r="57" spans="1:8">
      <c r="A57" s="142"/>
      <c r="B57" s="124"/>
      <c r="C57" s="123"/>
      <c r="D57" s="123"/>
      <c r="E57" s="124"/>
      <c r="F57" s="123"/>
      <c r="G57" s="142"/>
      <c r="H57" s="87"/>
    </row>
  </sheetData>
  <mergeCells count="2">
    <mergeCell ref="C2:I2"/>
    <mergeCell ref="C4:I4"/>
  </mergeCells>
  <hyperlinks>
    <hyperlink ref="B1" location="Summary!A1" display="Summary" xr:uid="{F7DF2AC9-3FD0-49AA-B3AD-E32AD912F0BD}"/>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B53A-2DB0-49C6-B0FB-A2627EEFA2CB}">
  <dimension ref="A1:I52"/>
  <sheetViews>
    <sheetView topLeftCell="A7" workbookViewId="0">
      <selection activeCell="D7" sqref="D7"/>
    </sheetView>
  </sheetViews>
  <sheetFormatPr defaultColWidth="9.140625" defaultRowHeight="12.75"/>
  <cols>
    <col min="1" max="1" width="28.7109375" style="82" bestFit="1" customWidth="1"/>
    <col min="2" max="2" width="34" style="82" customWidth="1"/>
    <col min="3" max="3" width="49.140625" style="82" customWidth="1"/>
    <col min="4" max="4" width="42.140625" style="82" bestFit="1" customWidth="1"/>
    <col min="5" max="5" width="60.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3087</v>
      </c>
      <c r="C2" s="317"/>
      <c r="D2" s="317"/>
      <c r="E2" s="317"/>
      <c r="F2" s="317"/>
      <c r="G2" s="317"/>
      <c r="H2" s="317"/>
      <c r="I2" s="317"/>
    </row>
    <row r="3" spans="1:9">
      <c r="B3" s="107" t="s">
        <v>2629</v>
      </c>
      <c r="C3" s="138"/>
      <c r="D3" s="138"/>
      <c r="E3" s="138"/>
      <c r="F3" s="138"/>
      <c r="G3" s="138"/>
      <c r="H3" s="138"/>
      <c r="I3" s="138"/>
    </row>
    <row r="4" spans="1:9">
      <c r="B4" s="107" t="s">
        <v>571</v>
      </c>
      <c r="C4" s="317" t="str">
        <f>Summary!O292</f>
        <v>This table contains information for the Billable Charge Upload Errors/Exceptions</v>
      </c>
      <c r="D4" s="317"/>
      <c r="E4" s="317"/>
      <c r="F4" s="317"/>
      <c r="G4" s="317"/>
      <c r="H4" s="317"/>
      <c r="I4" s="317"/>
    </row>
    <row r="5" spans="1:9">
      <c r="B5" s="107"/>
    </row>
    <row r="6" spans="1:9">
      <c r="A6" s="89" t="s">
        <v>550</v>
      </c>
      <c r="B6" s="89" t="s">
        <v>775</v>
      </c>
      <c r="C6" s="145" t="s">
        <v>776</v>
      </c>
      <c r="D6" s="89" t="s">
        <v>918</v>
      </c>
      <c r="E6" s="89" t="s">
        <v>778</v>
      </c>
      <c r="F6" s="90" t="s">
        <v>779</v>
      </c>
      <c r="G6" s="90" t="s">
        <v>568</v>
      </c>
      <c r="H6" s="90" t="s">
        <v>780</v>
      </c>
    </row>
    <row r="7" spans="1:9" ht="114.75">
      <c r="A7" s="142" t="s">
        <v>700</v>
      </c>
      <c r="B7" s="124" t="s">
        <v>3088</v>
      </c>
      <c r="C7" s="123" t="s">
        <v>3089</v>
      </c>
      <c r="D7" s="124" t="s">
        <v>3090</v>
      </c>
      <c r="E7" s="124" t="s">
        <v>3091</v>
      </c>
      <c r="F7" s="185" t="s">
        <v>3092</v>
      </c>
      <c r="G7" s="87"/>
      <c r="H7" s="87"/>
    </row>
    <row r="8" spans="1:9">
      <c r="A8" s="142" t="s">
        <v>700</v>
      </c>
      <c r="B8" s="124" t="s">
        <v>1426</v>
      </c>
      <c r="C8" s="123" t="s">
        <v>1427</v>
      </c>
      <c r="D8" s="124" t="s">
        <v>725</v>
      </c>
      <c r="E8" s="124"/>
      <c r="F8" s="185"/>
      <c r="G8" s="87"/>
      <c r="H8" s="87"/>
    </row>
    <row r="9" spans="1:9">
      <c r="A9" s="142" t="s">
        <v>700</v>
      </c>
      <c r="B9" s="124" t="s">
        <v>1429</v>
      </c>
      <c r="C9" s="123" t="s">
        <v>1430</v>
      </c>
      <c r="D9" s="123" t="s">
        <v>725</v>
      </c>
      <c r="E9" s="124"/>
      <c r="F9" s="124"/>
      <c r="G9" s="87"/>
      <c r="H9" s="87"/>
    </row>
    <row r="10" spans="1:9">
      <c r="A10" s="142" t="s">
        <v>700</v>
      </c>
      <c r="B10" s="124" t="s">
        <v>2993</v>
      </c>
      <c r="C10" s="123" t="s">
        <v>2851</v>
      </c>
      <c r="D10" s="123" t="s">
        <v>725</v>
      </c>
      <c r="E10" s="124"/>
      <c r="F10" s="124"/>
      <c r="G10" s="87"/>
      <c r="H10" s="87"/>
    </row>
    <row r="11" spans="1:9">
      <c r="A11" s="142" t="s">
        <v>700</v>
      </c>
      <c r="B11" s="124" t="s">
        <v>2994</v>
      </c>
      <c r="C11" s="123" t="s">
        <v>2854</v>
      </c>
      <c r="D11" s="124" t="s">
        <v>725</v>
      </c>
      <c r="E11" s="124"/>
      <c r="F11" s="124"/>
      <c r="G11" s="87"/>
      <c r="H11" s="87"/>
    </row>
    <row r="12" spans="1:9">
      <c r="A12" s="142" t="s">
        <v>700</v>
      </c>
      <c r="B12" s="124" t="s">
        <v>2995</v>
      </c>
      <c r="C12" s="123" t="s">
        <v>2856</v>
      </c>
      <c r="D12" s="124" t="s">
        <v>725</v>
      </c>
      <c r="E12" s="124"/>
      <c r="F12" s="124"/>
      <c r="G12" s="87"/>
      <c r="H12" s="87"/>
    </row>
    <row r="13" spans="1:9">
      <c r="A13" s="142" t="s">
        <v>700</v>
      </c>
      <c r="B13" s="124" t="s">
        <v>2996</v>
      </c>
      <c r="C13" s="123" t="s">
        <v>2858</v>
      </c>
      <c r="D13" s="124" t="s">
        <v>725</v>
      </c>
      <c r="E13" s="124"/>
      <c r="F13" s="124"/>
      <c r="G13" s="87"/>
      <c r="H13" s="87"/>
    </row>
    <row r="14" spans="1:9">
      <c r="A14" s="142" t="s">
        <v>700</v>
      </c>
      <c r="B14" s="124" t="s">
        <v>2997</v>
      </c>
      <c r="C14" s="123" t="s">
        <v>2860</v>
      </c>
      <c r="D14" s="124" t="s">
        <v>725</v>
      </c>
      <c r="E14" s="124"/>
      <c r="F14" s="124"/>
      <c r="G14" s="87"/>
      <c r="H14" s="87"/>
    </row>
    <row r="15" spans="1:9">
      <c r="A15" s="142" t="s">
        <v>700</v>
      </c>
      <c r="B15" s="124" t="s">
        <v>2998</v>
      </c>
      <c r="C15" s="123" t="s">
        <v>2862</v>
      </c>
      <c r="D15" s="124" t="s">
        <v>725</v>
      </c>
      <c r="E15" s="124"/>
      <c r="F15" s="124"/>
      <c r="G15" s="87"/>
      <c r="H15" s="87"/>
    </row>
    <row r="16" spans="1:9">
      <c r="A16" s="142" t="s">
        <v>700</v>
      </c>
      <c r="B16" s="124" t="s">
        <v>2999</v>
      </c>
      <c r="C16" s="123" t="s">
        <v>2864</v>
      </c>
      <c r="D16" s="124" t="s">
        <v>725</v>
      </c>
      <c r="E16" s="124"/>
      <c r="F16" s="124"/>
      <c r="G16" s="87"/>
      <c r="H16" s="87"/>
    </row>
    <row r="17" spans="1:8">
      <c r="A17" s="142" t="s">
        <v>700</v>
      </c>
      <c r="B17" s="124" t="s">
        <v>3000</v>
      </c>
      <c r="C17" s="123" t="s">
        <v>2866</v>
      </c>
      <c r="D17" s="124" t="s">
        <v>725</v>
      </c>
      <c r="E17" s="124"/>
      <c r="F17" s="124"/>
      <c r="G17" s="87"/>
      <c r="H17" s="87"/>
    </row>
    <row r="18" spans="1:8">
      <c r="A18" s="142" t="s">
        <v>700</v>
      </c>
      <c r="B18" s="124" t="s">
        <v>3001</v>
      </c>
      <c r="C18" s="123" t="s">
        <v>2868</v>
      </c>
      <c r="D18" s="124" t="s">
        <v>725</v>
      </c>
      <c r="E18" s="124"/>
      <c r="F18" s="124"/>
      <c r="G18" s="87"/>
      <c r="H18" s="87"/>
    </row>
    <row r="19" spans="1:8">
      <c r="A19" s="142" t="s">
        <v>700</v>
      </c>
      <c r="B19" s="124" t="s">
        <v>3002</v>
      </c>
      <c r="C19" s="123" t="s">
        <v>2870</v>
      </c>
      <c r="D19" s="124" t="s">
        <v>725</v>
      </c>
      <c r="E19" s="91"/>
      <c r="F19" s="92"/>
      <c r="G19" s="87"/>
      <c r="H19" s="87"/>
    </row>
    <row r="20" spans="1:8">
      <c r="A20" s="142" t="s">
        <v>700</v>
      </c>
      <c r="B20" s="124" t="s">
        <v>3003</v>
      </c>
      <c r="C20" s="123" t="s">
        <v>2872</v>
      </c>
      <c r="D20" s="124" t="s">
        <v>725</v>
      </c>
      <c r="E20" s="124"/>
      <c r="F20" s="124"/>
      <c r="G20" s="87"/>
      <c r="H20" s="87"/>
    </row>
    <row r="21" spans="1:8" ht="38.25">
      <c r="A21" s="142" t="s">
        <v>700</v>
      </c>
      <c r="B21" s="124" t="s">
        <v>1293</v>
      </c>
      <c r="C21" s="123" t="s">
        <v>1294</v>
      </c>
      <c r="D21" s="92" t="s">
        <v>2666</v>
      </c>
      <c r="E21" s="124"/>
      <c r="F21" s="92" t="s">
        <v>786</v>
      </c>
      <c r="G21" s="87"/>
      <c r="H21" s="87"/>
    </row>
    <row r="22" spans="1:8">
      <c r="A22" s="142" t="s">
        <v>700</v>
      </c>
      <c r="B22" s="124" t="s">
        <v>933</v>
      </c>
      <c r="C22" s="123" t="s">
        <v>798</v>
      </c>
      <c r="D22" s="92"/>
      <c r="E22" s="91"/>
      <c r="F22" s="92"/>
      <c r="G22" s="87"/>
      <c r="H22" s="87"/>
    </row>
    <row r="23" spans="1:8">
      <c r="A23" s="142" t="s">
        <v>700</v>
      </c>
      <c r="B23" s="124" t="s">
        <v>3004</v>
      </c>
      <c r="C23" s="123" t="s">
        <v>2874</v>
      </c>
      <c r="D23" s="124" t="s">
        <v>725</v>
      </c>
      <c r="E23" s="124"/>
      <c r="F23" s="124"/>
      <c r="G23" s="87"/>
      <c r="H23" s="87"/>
    </row>
    <row r="24" spans="1:8" ht="38.25">
      <c r="A24" s="142" t="s">
        <v>700</v>
      </c>
      <c r="B24" s="124" t="s">
        <v>3005</v>
      </c>
      <c r="C24" s="123" t="s">
        <v>2876</v>
      </c>
      <c r="D24" s="92" t="s">
        <v>2666</v>
      </c>
      <c r="E24" s="91"/>
      <c r="F24" s="92" t="s">
        <v>804</v>
      </c>
      <c r="G24" s="87"/>
      <c r="H24" s="87"/>
    </row>
    <row r="25" spans="1:8">
      <c r="A25" s="142" t="s">
        <v>700</v>
      </c>
      <c r="B25" s="124" t="s">
        <v>3006</v>
      </c>
      <c r="C25" s="123" t="s">
        <v>2878</v>
      </c>
      <c r="D25" s="124" t="s">
        <v>725</v>
      </c>
      <c r="E25" s="91"/>
      <c r="F25" s="124"/>
      <c r="G25" s="87"/>
      <c r="H25" s="87"/>
    </row>
    <row r="26" spans="1:8">
      <c r="A26" s="142" t="s">
        <v>700</v>
      </c>
      <c r="B26" s="124" t="s">
        <v>1499</v>
      </c>
      <c r="C26" s="123" t="s">
        <v>858</v>
      </c>
      <c r="D26" s="124" t="s">
        <v>725</v>
      </c>
      <c r="E26" s="124"/>
      <c r="F26" s="124"/>
      <c r="G26" s="87"/>
      <c r="H26" s="87"/>
    </row>
    <row r="27" spans="1:8">
      <c r="A27" s="142" t="s">
        <v>700</v>
      </c>
      <c r="B27" s="124" t="s">
        <v>946</v>
      </c>
      <c r="C27" s="123" t="s">
        <v>806</v>
      </c>
      <c r="D27" s="124" t="s">
        <v>725</v>
      </c>
      <c r="E27" s="124"/>
      <c r="F27" s="124"/>
      <c r="G27" s="87"/>
      <c r="H27" s="87"/>
    </row>
    <row r="28" spans="1:8">
      <c r="A28" s="142" t="s">
        <v>700</v>
      </c>
      <c r="B28" s="124" t="s">
        <v>946</v>
      </c>
      <c r="C28" s="123" t="s">
        <v>806</v>
      </c>
      <c r="D28" s="124" t="s">
        <v>725</v>
      </c>
      <c r="E28" s="124"/>
      <c r="F28" s="124"/>
      <c r="G28" s="87"/>
      <c r="H28" s="87"/>
    </row>
    <row r="29" spans="1:8">
      <c r="A29" s="142" t="s">
        <v>3007</v>
      </c>
      <c r="B29" s="124" t="s">
        <v>3008</v>
      </c>
      <c r="C29" s="123" t="s">
        <v>1551</v>
      </c>
      <c r="D29" s="123" t="s">
        <v>3009</v>
      </c>
      <c r="E29" s="124"/>
      <c r="F29" s="124" t="s">
        <v>786</v>
      </c>
      <c r="G29" s="87"/>
      <c r="H29" s="87"/>
    </row>
    <row r="30" spans="1:8">
      <c r="A30" s="142" t="s">
        <v>3007</v>
      </c>
      <c r="B30" s="124" t="s">
        <v>1859</v>
      </c>
      <c r="C30" s="123" t="s">
        <v>1038</v>
      </c>
      <c r="D30" s="124" t="s">
        <v>725</v>
      </c>
      <c r="E30" s="124"/>
      <c r="F30" s="123"/>
      <c r="G30" s="87"/>
      <c r="H30" s="87"/>
    </row>
    <row r="31" spans="1:8" ht="25.5">
      <c r="A31" s="142" t="s">
        <v>3007</v>
      </c>
      <c r="B31" s="124" t="s">
        <v>3010</v>
      </c>
      <c r="C31" s="123" t="s">
        <v>3011</v>
      </c>
      <c r="D31" s="123" t="s">
        <v>700</v>
      </c>
      <c r="E31" s="124"/>
      <c r="F31" s="124" t="s">
        <v>1887</v>
      </c>
      <c r="G31" s="142" t="s">
        <v>3093</v>
      </c>
      <c r="H31" s="87"/>
    </row>
    <row r="32" spans="1:8">
      <c r="A32" s="142" t="s">
        <v>3007</v>
      </c>
      <c r="B32" s="124" t="s">
        <v>946</v>
      </c>
      <c r="C32" s="123" t="s">
        <v>806</v>
      </c>
      <c r="D32" s="124" t="s">
        <v>725</v>
      </c>
      <c r="E32" s="124"/>
      <c r="F32" s="124"/>
      <c r="G32" s="87"/>
      <c r="H32" s="87"/>
    </row>
    <row r="33" spans="1:8" ht="25.5">
      <c r="A33" s="142" t="s">
        <v>211</v>
      </c>
      <c r="B33" s="124" t="s">
        <v>3008</v>
      </c>
      <c r="C33" s="123" t="s">
        <v>1551</v>
      </c>
      <c r="D33" s="124" t="s">
        <v>725</v>
      </c>
      <c r="E33" s="124"/>
      <c r="F33" s="124"/>
      <c r="G33" s="142" t="s">
        <v>3013</v>
      </c>
      <c r="H33" s="87"/>
    </row>
    <row r="34" spans="1:8">
      <c r="A34" s="142" t="s">
        <v>211</v>
      </c>
      <c r="B34" s="124" t="s">
        <v>3014</v>
      </c>
      <c r="C34" s="123" t="s">
        <v>2701</v>
      </c>
      <c r="D34" s="124" t="s">
        <v>725</v>
      </c>
      <c r="E34" s="124"/>
      <c r="F34" s="124"/>
      <c r="G34" s="87"/>
      <c r="H34" s="87"/>
    </row>
    <row r="35" spans="1:8">
      <c r="A35" s="142" t="s">
        <v>211</v>
      </c>
      <c r="B35" s="124" t="s">
        <v>3015</v>
      </c>
      <c r="C35" s="123" t="s">
        <v>2712</v>
      </c>
      <c r="D35" s="124" t="s">
        <v>725</v>
      </c>
      <c r="E35" s="124"/>
      <c r="F35" s="124"/>
      <c r="G35" s="87"/>
      <c r="H35" s="87"/>
    </row>
    <row r="36" spans="1:8">
      <c r="A36" s="142" t="s">
        <v>211</v>
      </c>
      <c r="B36" s="124" t="s">
        <v>1426</v>
      </c>
      <c r="C36" s="123" t="s">
        <v>1427</v>
      </c>
      <c r="D36" s="124" t="s">
        <v>725</v>
      </c>
      <c r="E36" s="124"/>
      <c r="F36" s="124"/>
      <c r="G36" s="87"/>
      <c r="H36" s="87"/>
    </row>
    <row r="37" spans="1:8">
      <c r="A37" s="142" t="s">
        <v>211</v>
      </c>
      <c r="B37" s="124" t="s">
        <v>1429</v>
      </c>
      <c r="C37" s="123" t="s">
        <v>1430</v>
      </c>
      <c r="D37" s="124" t="s">
        <v>725</v>
      </c>
      <c r="E37" s="124"/>
      <c r="F37" s="124"/>
      <c r="G37" s="142"/>
      <c r="H37" s="87"/>
    </row>
    <row r="38" spans="1:8" ht="38.25">
      <c r="A38" s="142" t="s">
        <v>211</v>
      </c>
      <c r="B38" s="124" t="s">
        <v>3016</v>
      </c>
      <c r="C38" s="123" t="s">
        <v>3017</v>
      </c>
      <c r="D38" s="92" t="s">
        <v>2666</v>
      </c>
      <c r="E38" s="91"/>
      <c r="F38" s="92" t="s">
        <v>804</v>
      </c>
      <c r="G38" s="87"/>
      <c r="H38" s="87"/>
    </row>
    <row r="39" spans="1:8">
      <c r="A39" s="142" t="s">
        <v>211</v>
      </c>
      <c r="B39" s="124" t="s">
        <v>3018</v>
      </c>
      <c r="C39" s="123" t="s">
        <v>1875</v>
      </c>
      <c r="D39" s="124" t="s">
        <v>3019</v>
      </c>
      <c r="E39" s="124"/>
      <c r="F39" s="124" t="s">
        <v>786</v>
      </c>
      <c r="G39" s="87"/>
      <c r="H39" s="87"/>
    </row>
    <row r="40" spans="1:8">
      <c r="A40" s="142" t="s">
        <v>211</v>
      </c>
      <c r="B40" s="124" t="s">
        <v>3020</v>
      </c>
      <c r="C40" s="123" t="s">
        <v>1878</v>
      </c>
      <c r="D40" s="124" t="s">
        <v>3021</v>
      </c>
      <c r="E40" s="124"/>
      <c r="F40" s="124" t="s">
        <v>786</v>
      </c>
      <c r="G40" s="87"/>
      <c r="H40" s="87"/>
    </row>
    <row r="41" spans="1:8">
      <c r="A41" s="142" t="s">
        <v>211</v>
      </c>
      <c r="B41" s="124" t="s">
        <v>3022</v>
      </c>
      <c r="C41" s="123" t="s">
        <v>564</v>
      </c>
      <c r="D41" s="124" t="s">
        <v>1018</v>
      </c>
      <c r="E41" s="124"/>
      <c r="F41" s="124" t="s">
        <v>786</v>
      </c>
      <c r="G41" s="87"/>
      <c r="H41" s="87"/>
    </row>
    <row r="42" spans="1:8">
      <c r="A42" s="142" t="s">
        <v>211</v>
      </c>
      <c r="B42" s="124" t="s">
        <v>946</v>
      </c>
      <c r="C42" s="123" t="s">
        <v>806</v>
      </c>
      <c r="D42" s="124" t="s">
        <v>725</v>
      </c>
      <c r="E42" s="124"/>
      <c r="F42" s="124"/>
      <c r="G42" s="87"/>
      <c r="H42" s="87"/>
    </row>
    <row r="43" spans="1:8">
      <c r="A43" s="142" t="s">
        <v>211</v>
      </c>
      <c r="B43" s="124" t="s">
        <v>933</v>
      </c>
      <c r="C43" s="123" t="s">
        <v>798</v>
      </c>
      <c r="D43" s="124" t="s">
        <v>725</v>
      </c>
      <c r="E43" s="124"/>
      <c r="F43" s="124"/>
      <c r="G43" s="87"/>
      <c r="H43" s="87"/>
    </row>
    <row r="44" spans="1:8">
      <c r="A44" s="142" t="s">
        <v>211</v>
      </c>
      <c r="B44" s="124" t="s">
        <v>3023</v>
      </c>
      <c r="C44" s="123" t="s">
        <v>3024</v>
      </c>
      <c r="D44" s="124" t="s">
        <v>725</v>
      </c>
      <c r="E44" s="124"/>
      <c r="F44" s="124"/>
      <c r="G44" s="87"/>
      <c r="H44" s="87"/>
    </row>
    <row r="45" spans="1:8">
      <c r="A45" s="142" t="s">
        <v>211</v>
      </c>
      <c r="B45" s="124" t="s">
        <v>3025</v>
      </c>
      <c r="C45" s="123" t="s">
        <v>2647</v>
      </c>
      <c r="D45" s="124" t="s">
        <v>725</v>
      </c>
      <c r="E45" s="124"/>
      <c r="F45" s="123"/>
      <c r="G45" s="87"/>
      <c r="H45" s="87"/>
    </row>
    <row r="46" spans="1:8">
      <c r="A46" s="142" t="s">
        <v>211</v>
      </c>
      <c r="B46" s="124" t="s">
        <v>3026</v>
      </c>
      <c r="C46" s="123" t="s">
        <v>3027</v>
      </c>
      <c r="D46" s="124" t="s">
        <v>725</v>
      </c>
      <c r="E46" s="124"/>
      <c r="F46" s="124"/>
      <c r="G46" s="87"/>
      <c r="H46" s="87"/>
    </row>
    <row r="47" spans="1:8" ht="38.25">
      <c r="A47" s="142" t="s">
        <v>211</v>
      </c>
      <c r="B47" s="124" t="s">
        <v>3028</v>
      </c>
      <c r="C47" s="123" t="s">
        <v>3029</v>
      </c>
      <c r="D47" s="92" t="s">
        <v>2666</v>
      </c>
      <c r="E47" s="91"/>
      <c r="F47" s="124"/>
      <c r="G47" s="87"/>
      <c r="H47" s="87"/>
    </row>
    <row r="48" spans="1:8">
      <c r="A48" s="142" t="s">
        <v>211</v>
      </c>
      <c r="B48" s="124" t="s">
        <v>1499</v>
      </c>
      <c r="C48" s="123" t="s">
        <v>858</v>
      </c>
      <c r="D48" s="124" t="s">
        <v>725</v>
      </c>
      <c r="E48" s="124"/>
      <c r="F48" s="124"/>
      <c r="G48" s="87"/>
      <c r="H48" s="87"/>
    </row>
    <row r="49" spans="1:8">
      <c r="A49" s="142" t="s">
        <v>211</v>
      </c>
      <c r="B49" s="124" t="s">
        <v>3030</v>
      </c>
      <c r="C49" s="123" t="s">
        <v>3031</v>
      </c>
      <c r="D49" s="124" t="s">
        <v>1018</v>
      </c>
      <c r="E49" s="124"/>
      <c r="F49" s="124" t="s">
        <v>786</v>
      </c>
      <c r="G49" s="87"/>
      <c r="H49" s="87"/>
    </row>
    <row r="50" spans="1:8">
      <c r="A50" s="142" t="s">
        <v>211</v>
      </c>
      <c r="B50" s="124" t="s">
        <v>940</v>
      </c>
      <c r="C50" s="123" t="s">
        <v>818</v>
      </c>
      <c r="D50" s="124" t="s">
        <v>725</v>
      </c>
      <c r="E50" s="124"/>
      <c r="F50" s="124"/>
      <c r="G50" s="87"/>
      <c r="H50" s="87"/>
    </row>
    <row r="51" spans="1:8">
      <c r="A51" s="142" t="s">
        <v>211</v>
      </c>
      <c r="B51" s="124" t="s">
        <v>939</v>
      </c>
      <c r="C51" s="123" t="s">
        <v>821</v>
      </c>
      <c r="D51" s="124" t="s">
        <v>725</v>
      </c>
      <c r="E51" s="91"/>
      <c r="F51" s="123"/>
      <c r="G51" s="87"/>
      <c r="H51" s="87"/>
    </row>
    <row r="52" spans="1:8">
      <c r="A52" s="142"/>
      <c r="B52" s="124"/>
      <c r="C52" s="123"/>
      <c r="D52" s="124"/>
      <c r="E52" s="124"/>
      <c r="F52" s="124"/>
      <c r="G52" s="87"/>
      <c r="H52" s="87"/>
    </row>
  </sheetData>
  <mergeCells count="2">
    <mergeCell ref="C2:I2"/>
    <mergeCell ref="C4:I4"/>
  </mergeCells>
  <hyperlinks>
    <hyperlink ref="B1" location="Summary!A1" display="Summary" xr:uid="{A00D3753-43FC-46C3-8F94-41DAA0DD07CE}"/>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BE22-5A99-4CB6-9C6F-93673A775686}">
  <dimension ref="A1:I80"/>
  <sheetViews>
    <sheetView topLeftCell="A15" workbookViewId="0">
      <selection activeCell="C4" sqref="C4:I4"/>
    </sheetView>
  </sheetViews>
  <sheetFormatPr defaultColWidth="9.140625" defaultRowHeight="12.75"/>
  <cols>
    <col min="1" max="1" width="28.7109375" style="82" bestFit="1" customWidth="1"/>
    <col min="2" max="2" width="34" style="82" customWidth="1"/>
    <col min="3" max="3" width="49.140625" style="82" customWidth="1"/>
    <col min="4" max="4" width="42.140625" style="82" bestFit="1" customWidth="1"/>
    <col min="5" max="5" width="60.42578125" style="82" customWidth="1"/>
    <col min="6" max="6" width="37" style="82" bestFit="1" customWidth="1"/>
    <col min="7" max="7" width="25.28515625" style="82" customWidth="1"/>
    <col min="8" max="8" width="80.42578125" style="82" customWidth="1"/>
    <col min="9" max="16384" width="9.140625" style="82"/>
  </cols>
  <sheetData>
    <row r="1" spans="1:9">
      <c r="B1" s="106" t="s">
        <v>773</v>
      </c>
    </row>
    <row r="2" spans="1:9">
      <c r="B2" s="107" t="s">
        <v>3094</v>
      </c>
      <c r="C2" s="317"/>
      <c r="D2" s="317"/>
      <c r="E2" s="317"/>
      <c r="F2" s="317"/>
      <c r="G2" s="317"/>
      <c r="H2" s="317"/>
      <c r="I2" s="317"/>
    </row>
    <row r="3" spans="1:9">
      <c r="B3" s="107" t="s">
        <v>2629</v>
      </c>
      <c r="C3" s="138"/>
      <c r="D3" s="138"/>
      <c r="E3" s="138"/>
      <c r="F3" s="138"/>
      <c r="G3" s="138"/>
      <c r="H3" s="138"/>
      <c r="I3" s="138"/>
    </row>
    <row r="4" spans="1:9">
      <c r="B4" s="107" t="s">
        <v>571</v>
      </c>
      <c r="C4" s="318" t="str">
        <f>Summary!O300</f>
        <v>This table contains information for the Payment Tender Staging Errors/Exceptions</v>
      </c>
      <c r="D4" s="318"/>
      <c r="E4" s="318"/>
      <c r="F4" s="318"/>
      <c r="G4" s="318"/>
      <c r="H4" s="318"/>
      <c r="I4" s="318"/>
    </row>
    <row r="5" spans="1:9">
      <c r="B5" s="107"/>
    </row>
    <row r="6" spans="1:9">
      <c r="A6" s="89" t="s">
        <v>550</v>
      </c>
      <c r="B6" s="89" t="s">
        <v>775</v>
      </c>
      <c r="C6" s="145" t="s">
        <v>776</v>
      </c>
      <c r="D6" s="89" t="s">
        <v>918</v>
      </c>
      <c r="E6" s="89" t="s">
        <v>778</v>
      </c>
      <c r="F6" s="90" t="s">
        <v>779</v>
      </c>
      <c r="G6" s="90" t="s">
        <v>568</v>
      </c>
      <c r="H6" s="90" t="s">
        <v>780</v>
      </c>
    </row>
    <row r="7" spans="1:9">
      <c r="A7" s="142" t="s">
        <v>723</v>
      </c>
      <c r="B7" s="124" t="s">
        <v>1426</v>
      </c>
      <c r="C7" s="123" t="s">
        <v>1427</v>
      </c>
      <c r="D7" s="124" t="s">
        <v>725</v>
      </c>
      <c r="E7" s="124"/>
      <c r="F7" s="185"/>
      <c r="G7" s="87"/>
      <c r="H7" s="87"/>
    </row>
    <row r="8" spans="1:9">
      <c r="A8" s="142" t="s">
        <v>723</v>
      </c>
      <c r="B8" s="124" t="s">
        <v>3095</v>
      </c>
      <c r="C8" s="123" t="s">
        <v>3096</v>
      </c>
      <c r="D8" s="124" t="s">
        <v>725</v>
      </c>
      <c r="E8" s="124"/>
      <c r="F8" s="185"/>
      <c r="G8" s="87"/>
      <c r="H8" s="87"/>
    </row>
    <row r="9" spans="1:9">
      <c r="A9" s="142" t="s">
        <v>723</v>
      </c>
      <c r="B9" s="124" t="s">
        <v>3097</v>
      </c>
      <c r="C9" s="123" t="s">
        <v>3098</v>
      </c>
      <c r="D9" s="123" t="s">
        <v>3099</v>
      </c>
      <c r="E9" s="124"/>
      <c r="F9" s="124"/>
      <c r="G9" s="87"/>
      <c r="H9" s="87"/>
    </row>
    <row r="10" spans="1:9">
      <c r="A10" s="142" t="s">
        <v>723</v>
      </c>
      <c r="B10" s="124" t="s">
        <v>3100</v>
      </c>
      <c r="C10" s="123" t="s">
        <v>3101</v>
      </c>
      <c r="D10" s="124" t="s">
        <v>3099</v>
      </c>
      <c r="E10" s="91"/>
      <c r="F10" s="124" t="s">
        <v>786</v>
      </c>
      <c r="G10" s="87"/>
      <c r="H10" s="87"/>
    </row>
    <row r="11" spans="1:9">
      <c r="A11" s="142" t="s">
        <v>723</v>
      </c>
      <c r="B11" s="124" t="s">
        <v>1632</v>
      </c>
      <c r="C11" s="123" t="s">
        <v>879</v>
      </c>
      <c r="D11" s="124" t="s">
        <v>3099</v>
      </c>
      <c r="E11" s="124"/>
      <c r="F11" s="124" t="s">
        <v>786</v>
      </c>
      <c r="G11" s="87"/>
      <c r="H11" s="87"/>
    </row>
    <row r="12" spans="1:9">
      <c r="A12" s="142" t="s">
        <v>723</v>
      </c>
      <c r="B12" s="124" t="s">
        <v>1429</v>
      </c>
      <c r="C12" s="123" t="s">
        <v>1430</v>
      </c>
      <c r="D12" s="124" t="s">
        <v>3099</v>
      </c>
      <c r="E12" s="124"/>
      <c r="F12" s="124" t="s">
        <v>786</v>
      </c>
      <c r="G12" s="87"/>
      <c r="H12" s="87"/>
    </row>
    <row r="13" spans="1:9">
      <c r="A13" s="142" t="s">
        <v>723</v>
      </c>
      <c r="B13" s="124" t="s">
        <v>2993</v>
      </c>
      <c r="C13" s="123" t="s">
        <v>2851</v>
      </c>
      <c r="D13" s="124" t="s">
        <v>725</v>
      </c>
      <c r="E13" s="124"/>
      <c r="F13" s="124" t="s">
        <v>786</v>
      </c>
      <c r="G13" s="87"/>
      <c r="H13" s="87"/>
    </row>
    <row r="14" spans="1:9">
      <c r="A14" s="142" t="s">
        <v>723</v>
      </c>
      <c r="B14" s="124" t="s">
        <v>2994</v>
      </c>
      <c r="C14" s="123" t="s">
        <v>2854</v>
      </c>
      <c r="D14" s="124" t="s">
        <v>725</v>
      </c>
      <c r="E14" s="124"/>
      <c r="F14" s="124"/>
      <c r="G14" s="87"/>
      <c r="H14" s="87"/>
    </row>
    <row r="15" spans="1:9">
      <c r="A15" s="142" t="s">
        <v>723</v>
      </c>
      <c r="B15" s="124" t="s">
        <v>2995</v>
      </c>
      <c r="C15" s="123" t="s">
        <v>2856</v>
      </c>
      <c r="D15" s="124" t="s">
        <v>725</v>
      </c>
      <c r="E15" s="124"/>
      <c r="F15" s="124"/>
      <c r="G15" s="87"/>
      <c r="H15" s="87"/>
    </row>
    <row r="16" spans="1:9">
      <c r="A16" s="142" t="s">
        <v>723</v>
      </c>
      <c r="B16" s="124" t="s">
        <v>2996</v>
      </c>
      <c r="C16" s="123" t="s">
        <v>2858</v>
      </c>
      <c r="D16" s="124" t="s">
        <v>725</v>
      </c>
      <c r="E16" s="124"/>
      <c r="F16" s="124"/>
      <c r="G16" s="87"/>
      <c r="H16" s="87"/>
    </row>
    <row r="17" spans="1:8">
      <c r="A17" s="142" t="s">
        <v>723</v>
      </c>
      <c r="B17" s="124" t="s">
        <v>2997</v>
      </c>
      <c r="C17" s="123" t="s">
        <v>2860</v>
      </c>
      <c r="D17" s="124" t="s">
        <v>725</v>
      </c>
      <c r="E17" s="124"/>
      <c r="F17" s="124"/>
      <c r="G17" s="87"/>
      <c r="H17" s="87"/>
    </row>
    <row r="18" spans="1:8">
      <c r="A18" s="142" t="s">
        <v>723</v>
      </c>
      <c r="B18" s="124" t="s">
        <v>2998</v>
      </c>
      <c r="C18" s="123" t="s">
        <v>2862</v>
      </c>
      <c r="D18" s="124" t="s">
        <v>725</v>
      </c>
      <c r="E18" s="124"/>
      <c r="F18" s="124"/>
      <c r="G18" s="87"/>
      <c r="H18" s="87"/>
    </row>
    <row r="19" spans="1:8">
      <c r="A19" s="142" t="s">
        <v>723</v>
      </c>
      <c r="B19" s="124" t="s">
        <v>2999</v>
      </c>
      <c r="C19" s="123" t="s">
        <v>2864</v>
      </c>
      <c r="D19" s="124" t="s">
        <v>725</v>
      </c>
      <c r="E19" s="91"/>
      <c r="F19" s="92"/>
      <c r="G19" s="87"/>
      <c r="H19" s="87"/>
    </row>
    <row r="20" spans="1:8">
      <c r="A20" s="142" t="s">
        <v>723</v>
      </c>
      <c r="B20" s="124" t="s">
        <v>3000</v>
      </c>
      <c r="C20" s="123" t="s">
        <v>2866</v>
      </c>
      <c r="D20" s="124" t="s">
        <v>725</v>
      </c>
      <c r="E20" s="124"/>
      <c r="F20" s="124"/>
      <c r="G20" s="87"/>
      <c r="H20" s="87"/>
    </row>
    <row r="21" spans="1:8">
      <c r="A21" s="142" t="s">
        <v>723</v>
      </c>
      <c r="B21" s="124" t="s">
        <v>3001</v>
      </c>
      <c r="C21" s="123" t="s">
        <v>2868</v>
      </c>
      <c r="D21" s="124" t="s">
        <v>725</v>
      </c>
      <c r="E21" s="124"/>
      <c r="F21" s="124"/>
      <c r="G21" s="87"/>
      <c r="H21" s="87"/>
    </row>
    <row r="22" spans="1:8">
      <c r="A22" s="142" t="s">
        <v>723</v>
      </c>
      <c r="B22" s="124" t="s">
        <v>3002</v>
      </c>
      <c r="C22" s="123" t="s">
        <v>2870</v>
      </c>
      <c r="D22" s="124" t="s">
        <v>725</v>
      </c>
      <c r="E22" s="91"/>
      <c r="F22" s="124"/>
      <c r="G22" s="87"/>
      <c r="H22" s="87"/>
    </row>
    <row r="23" spans="1:8">
      <c r="A23" s="142" t="s">
        <v>723</v>
      </c>
      <c r="B23" s="124" t="s">
        <v>3003</v>
      </c>
      <c r="C23" s="123" t="s">
        <v>2872</v>
      </c>
      <c r="D23" s="124" t="s">
        <v>725</v>
      </c>
      <c r="E23" s="124"/>
      <c r="F23" s="124"/>
      <c r="G23" s="87"/>
      <c r="H23" s="87"/>
    </row>
    <row r="24" spans="1:8">
      <c r="A24" s="142" t="s">
        <v>723</v>
      </c>
      <c r="B24" s="124" t="s">
        <v>933</v>
      </c>
      <c r="C24" s="123" t="s">
        <v>798</v>
      </c>
      <c r="D24" s="124" t="s">
        <v>725</v>
      </c>
      <c r="E24" s="124"/>
      <c r="F24" s="124"/>
      <c r="G24" s="87"/>
      <c r="H24" s="87"/>
    </row>
    <row r="25" spans="1:8">
      <c r="A25" s="142" t="s">
        <v>723</v>
      </c>
      <c r="B25" s="124" t="s">
        <v>3004</v>
      </c>
      <c r="C25" s="123" t="s">
        <v>2874</v>
      </c>
      <c r="D25" s="124" t="s">
        <v>725</v>
      </c>
      <c r="E25" s="91"/>
      <c r="F25" s="92"/>
      <c r="G25" s="87"/>
      <c r="H25" s="87"/>
    </row>
    <row r="26" spans="1:8">
      <c r="A26" s="142" t="s">
        <v>723</v>
      </c>
      <c r="B26" s="124" t="s">
        <v>3006</v>
      </c>
      <c r="C26" s="123" t="s">
        <v>2878</v>
      </c>
      <c r="D26" s="124" t="s">
        <v>725</v>
      </c>
      <c r="E26" s="124"/>
      <c r="F26" s="124"/>
      <c r="G26" s="87"/>
      <c r="H26" s="87"/>
    </row>
    <row r="27" spans="1:8">
      <c r="A27" s="142" t="s">
        <v>723</v>
      </c>
      <c r="B27" s="124" t="s">
        <v>1499</v>
      </c>
      <c r="C27" s="123" t="s">
        <v>858</v>
      </c>
      <c r="D27" s="124" t="s">
        <v>725</v>
      </c>
      <c r="E27" s="124"/>
      <c r="F27" s="124"/>
      <c r="G27" s="87"/>
      <c r="H27" s="87"/>
    </row>
    <row r="28" spans="1:8" ht="38.25">
      <c r="A28" s="142" t="s">
        <v>723</v>
      </c>
      <c r="B28" s="124" t="s">
        <v>1293</v>
      </c>
      <c r="C28" s="123" t="s">
        <v>1294</v>
      </c>
      <c r="D28" s="92" t="s">
        <v>2666</v>
      </c>
      <c r="E28" s="124"/>
      <c r="F28" s="124" t="s">
        <v>786</v>
      </c>
      <c r="G28" s="87"/>
      <c r="H28" s="87"/>
    </row>
    <row r="29" spans="1:8" ht="38.25">
      <c r="A29" s="142" t="s">
        <v>723</v>
      </c>
      <c r="B29" s="124" t="s">
        <v>3005</v>
      </c>
      <c r="C29" s="123" t="s">
        <v>2876</v>
      </c>
      <c r="D29" s="92" t="s">
        <v>2666</v>
      </c>
      <c r="E29" s="91"/>
      <c r="F29" s="92" t="s">
        <v>804</v>
      </c>
      <c r="G29" s="87"/>
      <c r="H29" s="87"/>
    </row>
    <row r="30" spans="1:8">
      <c r="A30" s="142" t="s">
        <v>723</v>
      </c>
      <c r="B30" s="124" t="s">
        <v>946</v>
      </c>
      <c r="C30" s="123" t="s">
        <v>806</v>
      </c>
      <c r="D30" s="124" t="s">
        <v>725</v>
      </c>
      <c r="E30" s="124"/>
      <c r="F30" s="124"/>
      <c r="G30" s="87"/>
      <c r="H30" s="87"/>
    </row>
    <row r="31" spans="1:8">
      <c r="A31" s="142" t="s">
        <v>3099</v>
      </c>
      <c r="B31" s="124" t="s">
        <v>3095</v>
      </c>
      <c r="C31" s="123" t="s">
        <v>3096</v>
      </c>
      <c r="D31" s="124" t="s">
        <v>723</v>
      </c>
      <c r="E31" s="124"/>
      <c r="F31" s="124" t="s">
        <v>786</v>
      </c>
      <c r="G31" s="87"/>
      <c r="H31" s="87"/>
    </row>
    <row r="32" spans="1:8">
      <c r="A32" s="142" t="s">
        <v>3099</v>
      </c>
      <c r="B32" s="124" t="s">
        <v>3097</v>
      </c>
      <c r="C32" s="123" t="s">
        <v>3098</v>
      </c>
      <c r="D32" s="124" t="s">
        <v>723</v>
      </c>
      <c r="E32" s="124"/>
      <c r="F32" s="124" t="s">
        <v>786</v>
      </c>
      <c r="G32" s="87"/>
      <c r="H32" s="87"/>
    </row>
    <row r="33" spans="1:8">
      <c r="A33" s="142" t="s">
        <v>3099</v>
      </c>
      <c r="B33" s="124" t="s">
        <v>3100</v>
      </c>
      <c r="C33" s="123" t="s">
        <v>3101</v>
      </c>
      <c r="D33" s="123" t="s">
        <v>723</v>
      </c>
      <c r="E33" s="124"/>
      <c r="F33" s="124" t="s">
        <v>786</v>
      </c>
      <c r="G33" s="87"/>
      <c r="H33" s="87"/>
    </row>
    <row r="34" spans="1:8">
      <c r="A34" s="142" t="s">
        <v>3099</v>
      </c>
      <c r="B34" s="124" t="s">
        <v>1632</v>
      </c>
      <c r="C34" s="123" t="s">
        <v>879</v>
      </c>
      <c r="D34" s="123" t="s">
        <v>723</v>
      </c>
      <c r="E34" s="124"/>
      <c r="F34" s="124" t="s">
        <v>786</v>
      </c>
      <c r="G34" s="87"/>
      <c r="H34" s="87"/>
    </row>
    <row r="35" spans="1:8">
      <c r="A35" s="142" t="s">
        <v>3099</v>
      </c>
      <c r="B35" s="124" t="s">
        <v>3102</v>
      </c>
      <c r="C35" s="123" t="s">
        <v>3103</v>
      </c>
      <c r="D35" s="124" t="s">
        <v>1018</v>
      </c>
      <c r="E35" s="124"/>
      <c r="F35" s="124" t="s">
        <v>786</v>
      </c>
      <c r="G35" s="87"/>
      <c r="H35" s="87"/>
    </row>
    <row r="36" spans="1:8">
      <c r="A36" s="142" t="s">
        <v>3099</v>
      </c>
      <c r="B36" s="124" t="s">
        <v>3104</v>
      </c>
      <c r="C36" s="123" t="s">
        <v>3105</v>
      </c>
      <c r="D36" s="123"/>
      <c r="E36" s="124"/>
      <c r="F36" s="124"/>
      <c r="G36" s="87"/>
      <c r="H36" s="87"/>
    </row>
    <row r="37" spans="1:8">
      <c r="A37" s="142" t="s">
        <v>3099</v>
      </c>
      <c r="B37" s="124" t="s">
        <v>3106</v>
      </c>
      <c r="C37" s="123" t="s">
        <v>3107</v>
      </c>
      <c r="D37" s="123"/>
      <c r="E37" s="124"/>
      <c r="F37" s="124"/>
      <c r="G37" s="87"/>
      <c r="H37" s="87"/>
    </row>
    <row r="38" spans="1:8">
      <c r="A38" s="142" t="s">
        <v>3099</v>
      </c>
      <c r="B38" s="124" t="s">
        <v>3108</v>
      </c>
      <c r="C38" s="123" t="s">
        <v>2609</v>
      </c>
      <c r="D38" s="123"/>
      <c r="E38" s="124"/>
      <c r="F38" s="124"/>
      <c r="G38" s="87"/>
      <c r="H38" s="87"/>
    </row>
    <row r="39" spans="1:8">
      <c r="A39" s="142" t="s">
        <v>3099</v>
      </c>
      <c r="B39" s="124" t="s">
        <v>3109</v>
      </c>
      <c r="C39" s="123" t="s">
        <v>3110</v>
      </c>
      <c r="D39" s="92" t="s">
        <v>3111</v>
      </c>
      <c r="E39" s="91"/>
      <c r="F39" s="92" t="s">
        <v>786</v>
      </c>
      <c r="G39" s="87"/>
      <c r="H39" s="87"/>
    </row>
    <row r="40" spans="1:8" ht="63.75">
      <c r="A40" s="142" t="s">
        <v>3099</v>
      </c>
      <c r="B40" s="124" t="s">
        <v>3112</v>
      </c>
      <c r="C40" s="123" t="s">
        <v>3113</v>
      </c>
      <c r="D40" s="124" t="s">
        <v>3114</v>
      </c>
      <c r="E40" s="124" t="s">
        <v>3115</v>
      </c>
      <c r="F40" s="124" t="s">
        <v>804</v>
      </c>
      <c r="G40" s="87"/>
      <c r="H40" s="87"/>
    </row>
    <row r="41" spans="1:8">
      <c r="A41" s="142" t="s">
        <v>3099</v>
      </c>
      <c r="B41" s="124" t="s">
        <v>3116</v>
      </c>
      <c r="C41" s="123" t="s">
        <v>3117</v>
      </c>
      <c r="D41" s="123"/>
      <c r="E41" s="124"/>
      <c r="F41" s="124"/>
      <c r="G41" s="87"/>
      <c r="H41" s="87"/>
    </row>
    <row r="42" spans="1:8">
      <c r="A42" s="142" t="s">
        <v>3099</v>
      </c>
      <c r="B42" s="124" t="s">
        <v>3118</v>
      </c>
      <c r="C42" s="123" t="s">
        <v>2150</v>
      </c>
      <c r="D42" s="123"/>
      <c r="E42" s="124"/>
      <c r="F42" s="124"/>
      <c r="G42" s="87"/>
      <c r="H42" s="87"/>
    </row>
    <row r="43" spans="1:8">
      <c r="A43" s="142" t="s">
        <v>3099</v>
      </c>
      <c r="B43" s="124" t="s">
        <v>3119</v>
      </c>
      <c r="C43" s="123" t="s">
        <v>3120</v>
      </c>
      <c r="D43" s="123"/>
      <c r="E43" s="124"/>
      <c r="F43" s="124"/>
      <c r="G43" s="87"/>
      <c r="H43" s="87"/>
    </row>
    <row r="44" spans="1:8">
      <c r="A44" s="142" t="s">
        <v>3099</v>
      </c>
      <c r="B44" s="124" t="s">
        <v>946</v>
      </c>
      <c r="C44" s="123" t="s">
        <v>806</v>
      </c>
      <c r="D44" s="123"/>
      <c r="E44" s="124"/>
      <c r="F44" s="124"/>
      <c r="G44" s="87"/>
      <c r="H44" s="87"/>
    </row>
    <row r="45" spans="1:8">
      <c r="A45" s="142" t="s">
        <v>3099</v>
      </c>
      <c r="B45" s="124" t="s">
        <v>3121</v>
      </c>
      <c r="C45" s="123" t="s">
        <v>3122</v>
      </c>
      <c r="D45" s="123"/>
      <c r="E45" s="124"/>
      <c r="F45" s="124"/>
      <c r="G45" s="87"/>
      <c r="H45" s="87"/>
    </row>
    <row r="46" spans="1:8">
      <c r="A46" s="142" t="s">
        <v>3099</v>
      </c>
      <c r="B46" s="124" t="s">
        <v>3123</v>
      </c>
      <c r="C46" s="123" t="s">
        <v>3124</v>
      </c>
      <c r="D46" s="123"/>
      <c r="E46" s="124"/>
      <c r="F46" s="124"/>
      <c r="G46" s="87"/>
      <c r="H46" s="87"/>
    </row>
    <row r="47" spans="1:8">
      <c r="A47" s="142"/>
      <c r="B47" s="124"/>
      <c r="C47" s="123"/>
      <c r="D47" s="123"/>
      <c r="E47" s="124"/>
      <c r="F47" s="124"/>
      <c r="G47" s="87"/>
      <c r="H47" s="87"/>
    </row>
    <row r="48" spans="1:8">
      <c r="A48" s="142"/>
      <c r="B48" s="124"/>
      <c r="C48" s="123"/>
      <c r="D48" s="123"/>
      <c r="E48" s="124"/>
      <c r="F48" s="124"/>
      <c r="G48" s="87"/>
      <c r="H48" s="87"/>
    </row>
    <row r="49" spans="1:8">
      <c r="A49" s="142"/>
      <c r="B49" s="124"/>
      <c r="C49" s="123"/>
      <c r="D49" s="123"/>
      <c r="E49" s="124"/>
      <c r="F49" s="124"/>
      <c r="G49" s="87"/>
      <c r="H49" s="87"/>
    </row>
    <row r="50" spans="1:8">
      <c r="A50" s="142"/>
      <c r="B50" s="124"/>
      <c r="C50" s="123"/>
      <c r="D50" s="123"/>
      <c r="E50" s="124"/>
      <c r="F50" s="123"/>
      <c r="G50" s="87"/>
      <c r="H50" s="87"/>
    </row>
    <row r="51" spans="1:8">
      <c r="A51" s="142"/>
      <c r="B51" s="124"/>
      <c r="C51" s="123"/>
      <c r="D51" s="123"/>
      <c r="E51" s="124"/>
      <c r="F51" s="124"/>
      <c r="G51" s="87"/>
      <c r="H51" s="87"/>
    </row>
    <row r="52" spans="1:8">
      <c r="A52" s="142"/>
      <c r="B52" s="124"/>
      <c r="C52" s="123"/>
      <c r="D52" s="123"/>
      <c r="E52" s="124"/>
      <c r="F52" s="124"/>
      <c r="G52" s="87"/>
      <c r="H52" s="87"/>
    </row>
    <row r="53" spans="1:8">
      <c r="A53" s="142"/>
      <c r="B53" s="124"/>
      <c r="C53" s="123"/>
      <c r="D53" s="124"/>
      <c r="E53" s="124"/>
      <c r="F53" s="124"/>
      <c r="G53" s="87"/>
      <c r="H53" s="87"/>
    </row>
    <row r="54" spans="1:8">
      <c r="A54" s="142"/>
      <c r="B54" s="124"/>
      <c r="C54" s="123"/>
      <c r="D54" s="123"/>
      <c r="E54" s="124"/>
      <c r="F54" s="124"/>
      <c r="G54" s="87"/>
      <c r="H54" s="87"/>
    </row>
    <row r="55" spans="1:8">
      <c r="A55" s="142"/>
      <c r="B55" s="124"/>
      <c r="C55" s="123"/>
      <c r="D55" s="123"/>
      <c r="E55" s="124"/>
      <c r="F55" s="124"/>
      <c r="G55" s="87"/>
      <c r="H55" s="87"/>
    </row>
    <row r="56" spans="1:8">
      <c r="A56" s="142"/>
      <c r="B56" s="124"/>
      <c r="C56" s="123"/>
      <c r="D56" s="123"/>
      <c r="E56" s="124"/>
      <c r="F56" s="124"/>
      <c r="G56" s="87"/>
      <c r="H56" s="87"/>
    </row>
    <row r="57" spans="1:8">
      <c r="A57" s="142"/>
      <c r="B57" s="124"/>
      <c r="C57" s="123"/>
      <c r="D57" s="123"/>
      <c r="E57" s="124"/>
      <c r="F57" s="123"/>
      <c r="G57" s="87"/>
      <c r="H57" s="87"/>
    </row>
    <row r="58" spans="1:8">
      <c r="A58" s="142"/>
      <c r="B58" s="124"/>
      <c r="C58" s="123"/>
      <c r="D58" s="123"/>
      <c r="E58" s="124"/>
      <c r="F58" s="124"/>
      <c r="G58" s="87"/>
      <c r="H58" s="87"/>
    </row>
    <row r="59" spans="1:8">
      <c r="A59" s="142"/>
      <c r="B59" s="124"/>
      <c r="C59" s="123"/>
      <c r="D59" s="123"/>
      <c r="E59" s="91"/>
      <c r="F59" s="123"/>
      <c r="G59" s="87"/>
      <c r="H59" s="87"/>
    </row>
    <row r="60" spans="1:8">
      <c r="A60" s="142"/>
      <c r="B60" s="124"/>
      <c r="C60" s="123"/>
      <c r="D60" s="123"/>
      <c r="E60" s="91"/>
      <c r="F60" s="123"/>
      <c r="G60" s="87"/>
      <c r="H60" s="87"/>
    </row>
    <row r="61" spans="1:8">
      <c r="A61" s="142"/>
      <c r="B61" s="124"/>
      <c r="C61" s="123"/>
      <c r="D61" s="123"/>
      <c r="E61" s="91"/>
      <c r="F61" s="123"/>
      <c r="G61" s="142"/>
      <c r="H61" s="87"/>
    </row>
    <row r="62" spans="1:8">
      <c r="A62" s="142"/>
      <c r="B62" s="124"/>
      <c r="C62" s="123"/>
      <c r="D62" s="124"/>
      <c r="E62" s="91"/>
      <c r="F62" s="123"/>
      <c r="G62" s="87"/>
      <c r="H62" s="87"/>
    </row>
    <row r="63" spans="1:8">
      <c r="A63" s="142"/>
      <c r="B63" s="124"/>
      <c r="C63" s="123"/>
      <c r="D63" s="123"/>
      <c r="E63" s="124"/>
      <c r="F63" s="123"/>
      <c r="G63" s="142"/>
      <c r="H63" s="87"/>
    </row>
    <row r="64" spans="1:8">
      <c r="A64" s="142"/>
      <c r="B64" s="124"/>
      <c r="C64" s="123"/>
      <c r="D64" s="124"/>
      <c r="E64" s="124"/>
      <c r="F64" s="124"/>
      <c r="G64" s="142"/>
      <c r="H64" s="87"/>
    </row>
    <row r="65" spans="1:8">
      <c r="A65" s="142"/>
      <c r="B65" s="124"/>
      <c r="C65" s="123"/>
      <c r="D65" s="123"/>
      <c r="E65" s="124"/>
      <c r="F65" s="123"/>
      <c r="G65" s="142"/>
      <c r="H65" s="87"/>
    </row>
    <row r="66" spans="1:8">
      <c r="A66" s="142"/>
      <c r="B66" s="124"/>
      <c r="C66" s="123"/>
      <c r="D66" s="123"/>
      <c r="E66" s="124"/>
      <c r="F66" s="123"/>
      <c r="G66" s="142"/>
      <c r="H66" s="87"/>
    </row>
    <row r="67" spans="1:8">
      <c r="A67" s="142"/>
      <c r="B67" s="124"/>
      <c r="C67" s="123"/>
      <c r="D67" s="123"/>
      <c r="E67" s="124"/>
      <c r="F67" s="123"/>
      <c r="G67" s="142"/>
      <c r="H67" s="87"/>
    </row>
    <row r="68" spans="1:8">
      <c r="A68" s="142"/>
      <c r="B68" s="124"/>
      <c r="C68" s="123"/>
      <c r="D68" s="123"/>
      <c r="E68" s="124"/>
      <c r="F68" s="123"/>
      <c r="G68" s="142"/>
      <c r="H68" s="87"/>
    </row>
    <row r="69" spans="1:8">
      <c r="A69" s="142"/>
      <c r="B69" s="124"/>
      <c r="C69" s="123"/>
      <c r="D69" s="123"/>
      <c r="E69" s="124"/>
      <c r="F69" s="123"/>
      <c r="G69" s="142"/>
      <c r="H69" s="87"/>
    </row>
    <row r="70" spans="1:8">
      <c r="A70" s="142"/>
      <c r="B70" s="124"/>
      <c r="C70" s="123"/>
      <c r="D70" s="123"/>
      <c r="E70" s="124"/>
      <c r="F70" s="123"/>
      <c r="G70" s="142"/>
      <c r="H70" s="87"/>
    </row>
    <row r="71" spans="1:8">
      <c r="A71" s="142"/>
      <c r="B71" s="124"/>
      <c r="C71" s="123"/>
      <c r="D71" s="123"/>
      <c r="E71" s="124"/>
      <c r="F71" s="123"/>
      <c r="G71" s="142"/>
      <c r="H71" s="87"/>
    </row>
    <row r="72" spans="1:8">
      <c r="A72" s="142"/>
      <c r="B72" s="124"/>
      <c r="C72" s="123"/>
      <c r="D72" s="123"/>
      <c r="E72" s="124"/>
      <c r="F72" s="123"/>
      <c r="G72" s="142"/>
      <c r="H72" s="87"/>
    </row>
    <row r="73" spans="1:8">
      <c r="A73" s="142"/>
      <c r="B73" s="124"/>
      <c r="C73" s="123"/>
      <c r="D73" s="123"/>
      <c r="E73" s="124"/>
      <c r="F73" s="123"/>
      <c r="G73" s="142"/>
      <c r="H73" s="87"/>
    </row>
    <row r="74" spans="1:8">
      <c r="A74" s="142"/>
      <c r="B74" s="124"/>
      <c r="C74" s="123"/>
      <c r="D74" s="124"/>
      <c r="E74" s="124"/>
      <c r="F74" s="124"/>
      <c r="G74" s="142"/>
      <c r="H74" s="87"/>
    </row>
    <row r="75" spans="1:8">
      <c r="A75" s="142"/>
      <c r="B75" s="124"/>
      <c r="C75" s="123"/>
      <c r="D75" s="123"/>
      <c r="E75" s="124"/>
      <c r="F75" s="123"/>
      <c r="G75" s="142"/>
      <c r="H75" s="87"/>
    </row>
    <row r="76" spans="1:8">
      <c r="A76" s="142"/>
      <c r="B76" s="124"/>
      <c r="C76" s="123"/>
      <c r="D76" s="123"/>
      <c r="E76" s="124"/>
      <c r="F76" s="123"/>
      <c r="G76" s="142"/>
      <c r="H76" s="87"/>
    </row>
    <row r="77" spans="1:8">
      <c r="A77" s="142"/>
      <c r="B77" s="124"/>
      <c r="C77" s="123"/>
      <c r="D77" s="123"/>
      <c r="E77" s="124"/>
      <c r="F77" s="123"/>
      <c r="G77" s="142"/>
      <c r="H77" s="87"/>
    </row>
    <row r="78" spans="1:8">
      <c r="A78" s="142"/>
      <c r="B78" s="124"/>
      <c r="C78" s="123"/>
      <c r="D78" s="124"/>
      <c r="E78" s="91"/>
      <c r="F78" s="123"/>
      <c r="G78" s="142"/>
      <c r="H78" s="87"/>
    </row>
    <row r="79" spans="1:8">
      <c r="A79" s="142"/>
      <c r="B79" s="124"/>
      <c r="C79" s="123"/>
      <c r="D79" s="123"/>
      <c r="E79" s="124"/>
      <c r="F79" s="123"/>
      <c r="G79" s="142"/>
      <c r="H79" s="87"/>
    </row>
    <row r="80" spans="1:8">
      <c r="A80" s="142"/>
      <c r="B80" s="124"/>
      <c r="C80" s="123"/>
      <c r="D80" s="123"/>
      <c r="E80" s="124"/>
      <c r="F80" s="123"/>
      <c r="G80" s="142"/>
      <c r="H80" s="87"/>
    </row>
  </sheetData>
  <mergeCells count="2">
    <mergeCell ref="C2:I2"/>
    <mergeCell ref="C4:I4"/>
  </mergeCells>
  <hyperlinks>
    <hyperlink ref="B1" location="Summary!A1" display="Summary" xr:uid="{CE38BE7C-EA05-4FFE-BDAA-0ACE2E825248}"/>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CE0C-0B7B-4F37-9441-FFCE4F1887CF}">
  <dimension ref="A1:I325"/>
  <sheetViews>
    <sheetView zoomScale="85" zoomScaleNormal="85" workbookViewId="0">
      <selection activeCell="B1" sqref="B1"/>
    </sheetView>
  </sheetViews>
  <sheetFormatPr defaultRowHeight="15"/>
  <cols>
    <col min="1" max="1" width="20.5703125" customWidth="1"/>
    <col min="2" max="2" width="34.140625" bestFit="1" customWidth="1"/>
    <col min="3" max="3" width="37.5703125" bestFit="1" customWidth="1"/>
    <col min="4" max="4" width="24.42578125" bestFit="1" customWidth="1"/>
    <col min="5" max="8" width="20.5703125" customWidth="1"/>
  </cols>
  <sheetData>
    <row r="1" spans="1:9">
      <c r="A1" s="44"/>
      <c r="B1" s="1" t="s">
        <v>773</v>
      </c>
      <c r="C1" s="39"/>
      <c r="D1" s="39"/>
      <c r="E1" s="39"/>
      <c r="F1" s="39"/>
      <c r="G1" s="39"/>
      <c r="H1" s="39"/>
    </row>
    <row r="2" spans="1:9">
      <c r="A2" s="44"/>
      <c r="B2" s="40" t="s">
        <v>3125</v>
      </c>
      <c r="C2" s="319"/>
      <c r="D2" s="319"/>
      <c r="E2" s="319"/>
      <c r="F2" s="319"/>
      <c r="G2" s="319"/>
      <c r="H2" s="319"/>
    </row>
    <row r="3" spans="1:9">
      <c r="A3" s="44"/>
      <c r="B3" s="40" t="s">
        <v>571</v>
      </c>
      <c r="C3" s="318" t="str">
        <f>Summary!O161</f>
        <v>This table contains information for the VEE exceptions. It helps us identify which VEE rules generate the most exceptions and which service points or accounts are most affected.</v>
      </c>
      <c r="D3" s="318"/>
      <c r="E3" s="318"/>
      <c r="F3" s="318"/>
      <c r="G3" s="318"/>
      <c r="H3" s="318"/>
      <c r="I3" s="318"/>
    </row>
    <row r="4" spans="1:9">
      <c r="A4" s="44"/>
      <c r="B4" s="40" t="s">
        <v>566</v>
      </c>
      <c r="C4" s="39" t="s">
        <v>575</v>
      </c>
      <c r="D4" s="39"/>
      <c r="E4" s="39"/>
      <c r="F4" s="39"/>
      <c r="G4" s="39"/>
      <c r="H4" s="39"/>
    </row>
    <row r="5" spans="1:9">
      <c r="A5" s="44"/>
      <c r="B5" s="44"/>
      <c r="C5" s="44"/>
      <c r="D5" s="44"/>
      <c r="E5" s="44"/>
      <c r="F5" s="44"/>
      <c r="G5" s="44"/>
      <c r="H5" s="44"/>
    </row>
    <row r="6" spans="1:9">
      <c r="A6" s="232" t="s">
        <v>550</v>
      </c>
      <c r="B6" s="232" t="s">
        <v>775</v>
      </c>
      <c r="C6" s="232" t="s">
        <v>776</v>
      </c>
      <c r="D6" s="232" t="s">
        <v>777</v>
      </c>
      <c r="E6" s="232" t="s">
        <v>778</v>
      </c>
      <c r="F6" s="45" t="s">
        <v>779</v>
      </c>
      <c r="G6" s="45" t="s">
        <v>568</v>
      </c>
      <c r="H6" s="45" t="s">
        <v>780</v>
      </c>
    </row>
    <row r="7" spans="1:9">
      <c r="A7" s="2" t="s">
        <v>1420</v>
      </c>
      <c r="B7" s="2" t="s">
        <v>1433</v>
      </c>
      <c r="C7" s="2" t="s">
        <v>1434</v>
      </c>
      <c r="D7" s="2"/>
      <c r="E7" s="2"/>
      <c r="F7" s="2"/>
      <c r="G7" s="2"/>
      <c r="H7" s="2"/>
    </row>
    <row r="8" spans="1:9">
      <c r="A8" s="2" t="s">
        <v>1420</v>
      </c>
      <c r="B8" s="2" t="s">
        <v>1409</v>
      </c>
      <c r="C8" s="2" t="s">
        <v>1410</v>
      </c>
      <c r="D8" s="2" t="s">
        <v>1419</v>
      </c>
      <c r="E8" s="2"/>
      <c r="F8" s="2" t="s">
        <v>786</v>
      </c>
      <c r="G8" s="2"/>
      <c r="H8" s="2"/>
    </row>
    <row r="9" spans="1:9">
      <c r="A9" s="2" t="s">
        <v>1420</v>
      </c>
      <c r="B9" s="2" t="s">
        <v>1435</v>
      </c>
      <c r="C9" s="2" t="s">
        <v>1436</v>
      </c>
      <c r="D9" s="2" t="s">
        <v>3126</v>
      </c>
      <c r="E9" s="2"/>
      <c r="F9" s="2" t="s">
        <v>786</v>
      </c>
      <c r="G9" s="2"/>
      <c r="H9" s="2"/>
    </row>
    <row r="10" spans="1:9">
      <c r="A10" s="2" t="s">
        <v>1420</v>
      </c>
      <c r="B10" s="2" t="s">
        <v>1437</v>
      </c>
      <c r="C10" s="2" t="s">
        <v>1438</v>
      </c>
      <c r="D10" s="2" t="s">
        <v>3127</v>
      </c>
      <c r="E10" s="2"/>
      <c r="F10" s="2" t="s">
        <v>786</v>
      </c>
      <c r="G10" s="2"/>
      <c r="H10" s="2"/>
    </row>
    <row r="11" spans="1:9">
      <c r="A11" s="2" t="s">
        <v>1420</v>
      </c>
      <c r="B11" s="2" t="s">
        <v>1423</v>
      </c>
      <c r="C11" s="2" t="s">
        <v>1424</v>
      </c>
      <c r="D11" s="2" t="s">
        <v>3128</v>
      </c>
      <c r="E11" s="2"/>
      <c r="F11" s="2" t="s">
        <v>786</v>
      </c>
      <c r="G11" s="2"/>
      <c r="H11" s="2"/>
    </row>
    <row r="12" spans="1:9">
      <c r="A12" s="2" t="s">
        <v>1420</v>
      </c>
      <c r="B12" s="2" t="s">
        <v>1421</v>
      </c>
      <c r="C12" s="2" t="s">
        <v>1422</v>
      </c>
      <c r="D12" s="124" t="s">
        <v>1114</v>
      </c>
      <c r="E12" s="124"/>
      <c r="F12" s="124" t="s">
        <v>786</v>
      </c>
      <c r="G12" s="2"/>
      <c r="H12" s="2"/>
    </row>
    <row r="13" spans="1:9">
      <c r="A13" s="2" t="s">
        <v>1420</v>
      </c>
      <c r="B13" s="2" t="s">
        <v>1431</v>
      </c>
      <c r="C13" s="2" t="s">
        <v>1432</v>
      </c>
      <c r="D13" s="124" t="s">
        <v>1114</v>
      </c>
      <c r="E13" s="124"/>
      <c r="F13" s="124" t="s">
        <v>786</v>
      </c>
      <c r="G13" s="2"/>
      <c r="H13" s="2"/>
    </row>
    <row r="14" spans="1:9">
      <c r="A14" s="2" t="s">
        <v>1420</v>
      </c>
      <c r="B14" s="2" t="s">
        <v>1426</v>
      </c>
      <c r="C14" s="2" t="s">
        <v>1427</v>
      </c>
      <c r="D14" s="124" t="s">
        <v>3129</v>
      </c>
      <c r="E14" s="124"/>
      <c r="F14" s="185" t="s">
        <v>786</v>
      </c>
      <c r="G14" s="2"/>
      <c r="H14" s="2"/>
    </row>
    <row r="15" spans="1:9" ht="38.25">
      <c r="A15" s="2" t="s">
        <v>1420</v>
      </c>
      <c r="B15" s="2" t="s">
        <v>1429</v>
      </c>
      <c r="C15" s="2" t="s">
        <v>1430</v>
      </c>
      <c r="D15" s="124" t="s">
        <v>3130</v>
      </c>
      <c r="E15" s="124"/>
      <c r="F15" s="124" t="s">
        <v>786</v>
      </c>
      <c r="G15" s="2"/>
      <c r="H15" s="2"/>
    </row>
    <row r="16" spans="1:9">
      <c r="A16" s="2" t="s">
        <v>1420</v>
      </c>
      <c r="B16" s="2" t="s">
        <v>928</v>
      </c>
      <c r="C16" s="2" t="s">
        <v>784</v>
      </c>
      <c r="D16" s="237" t="s">
        <v>785</v>
      </c>
      <c r="E16" s="2"/>
      <c r="F16" s="2" t="s">
        <v>786</v>
      </c>
      <c r="G16" s="2"/>
      <c r="H16" s="2"/>
    </row>
    <row r="17" spans="1:8">
      <c r="A17" s="2" t="s">
        <v>1420</v>
      </c>
      <c r="B17" s="2" t="s">
        <v>924</v>
      </c>
      <c r="C17" s="2" t="s">
        <v>564</v>
      </c>
      <c r="D17" s="237" t="s">
        <v>788</v>
      </c>
      <c r="E17" s="2"/>
      <c r="F17" s="2" t="s">
        <v>786</v>
      </c>
      <c r="G17" s="2"/>
      <c r="H17" s="2"/>
    </row>
    <row r="18" spans="1:8">
      <c r="A18" s="2" t="s">
        <v>1420</v>
      </c>
      <c r="B18" s="2" t="s">
        <v>926</v>
      </c>
      <c r="C18" s="2" t="s">
        <v>802</v>
      </c>
      <c r="D18" s="237" t="s">
        <v>803</v>
      </c>
      <c r="E18" s="2"/>
      <c r="F18" s="2" t="s">
        <v>804</v>
      </c>
      <c r="G18" s="2"/>
      <c r="H18" s="2"/>
    </row>
    <row r="19" spans="1:8">
      <c r="A19" s="2" t="s">
        <v>1420</v>
      </c>
      <c r="B19" s="2" t="s">
        <v>945</v>
      </c>
      <c r="C19" s="2" t="s">
        <v>800</v>
      </c>
      <c r="D19" s="2"/>
      <c r="E19" s="2"/>
      <c r="F19" s="2"/>
      <c r="G19" s="2"/>
      <c r="H19" s="2"/>
    </row>
    <row r="20" spans="1:8">
      <c r="A20" s="2" t="s">
        <v>1420</v>
      </c>
      <c r="B20" s="2" t="s">
        <v>933</v>
      </c>
      <c r="C20" s="2" t="s">
        <v>798</v>
      </c>
      <c r="D20" s="2"/>
      <c r="E20" s="2"/>
      <c r="F20" s="2"/>
      <c r="G20" s="2"/>
      <c r="H20" s="2"/>
    </row>
    <row r="21" spans="1:8">
      <c r="A21" s="2" t="s">
        <v>1420</v>
      </c>
      <c r="B21" s="2" t="s">
        <v>946</v>
      </c>
      <c r="C21" s="2" t="s">
        <v>806</v>
      </c>
      <c r="D21" s="2"/>
      <c r="E21" s="2"/>
      <c r="F21" s="2"/>
      <c r="G21" s="2"/>
      <c r="H21" s="2"/>
    </row>
    <row r="22" spans="1:8">
      <c r="A22" s="2" t="s">
        <v>1420</v>
      </c>
      <c r="B22" s="2" t="s">
        <v>940</v>
      </c>
      <c r="C22" s="2" t="s">
        <v>818</v>
      </c>
      <c r="D22" s="2"/>
      <c r="E22" s="2"/>
      <c r="F22" s="2"/>
      <c r="G22" s="2"/>
      <c r="H22" s="2"/>
    </row>
    <row r="23" spans="1:8">
      <c r="A23" s="2" t="s">
        <v>1420</v>
      </c>
      <c r="B23" s="2" t="s">
        <v>939</v>
      </c>
      <c r="C23" s="2" t="s">
        <v>821</v>
      </c>
      <c r="D23" s="2"/>
      <c r="E23" s="2"/>
      <c r="F23" s="2"/>
      <c r="G23" s="2"/>
      <c r="H23" s="2"/>
    </row>
    <row r="24" spans="1:8" ht="45">
      <c r="A24" s="2" t="s">
        <v>636</v>
      </c>
      <c r="B24" s="2" t="s">
        <v>1409</v>
      </c>
      <c r="C24" s="2" t="s">
        <v>1410</v>
      </c>
      <c r="D24" s="2"/>
      <c r="E24" s="2"/>
      <c r="F24" s="2"/>
      <c r="G24" s="191" t="s">
        <v>3131</v>
      </c>
      <c r="H24" s="2"/>
    </row>
    <row r="25" spans="1:8">
      <c r="A25" s="2" t="s">
        <v>636</v>
      </c>
      <c r="B25" s="2" t="s">
        <v>1276</v>
      </c>
      <c r="C25" s="2" t="s">
        <v>1277</v>
      </c>
      <c r="D25" s="2" t="s">
        <v>1300</v>
      </c>
      <c r="E25" s="2"/>
      <c r="F25" s="2"/>
      <c r="G25" s="2"/>
      <c r="H25" s="2"/>
    </row>
    <row r="26" spans="1:8">
      <c r="A26" s="2" t="s">
        <v>636</v>
      </c>
      <c r="B26" s="2" t="s">
        <v>1398</v>
      </c>
      <c r="C26" s="2" t="s">
        <v>1399</v>
      </c>
      <c r="D26" s="2"/>
      <c r="E26" s="2"/>
      <c r="F26" s="2"/>
      <c r="G26" s="2"/>
      <c r="H26" s="2"/>
    </row>
    <row r="27" spans="1:8">
      <c r="A27" s="2" t="s">
        <v>636</v>
      </c>
      <c r="B27" s="2" t="s">
        <v>1400</v>
      </c>
      <c r="C27" s="2" t="s">
        <v>1401</v>
      </c>
      <c r="D27" s="2"/>
      <c r="E27" s="2"/>
      <c r="F27" s="2"/>
      <c r="G27" s="2"/>
      <c r="H27" s="2"/>
    </row>
    <row r="28" spans="1:8">
      <c r="A28" s="2" t="s">
        <v>636</v>
      </c>
      <c r="B28" s="2" t="s">
        <v>1402</v>
      </c>
      <c r="C28" s="2" t="s">
        <v>1403</v>
      </c>
      <c r="D28" s="124" t="s">
        <v>1114</v>
      </c>
      <c r="E28" s="124"/>
      <c r="F28" s="124" t="s">
        <v>804</v>
      </c>
      <c r="G28" s="2"/>
      <c r="H28" s="2"/>
    </row>
    <row r="29" spans="1:8">
      <c r="A29" s="2" t="s">
        <v>636</v>
      </c>
      <c r="B29" s="2" t="s">
        <v>1049</v>
      </c>
      <c r="C29" s="2" t="s">
        <v>1050</v>
      </c>
      <c r="D29" s="2"/>
      <c r="E29" s="2"/>
      <c r="F29" s="2"/>
      <c r="G29" s="2"/>
      <c r="H29" s="2"/>
    </row>
    <row r="30" spans="1:8">
      <c r="A30" s="2" t="s">
        <v>636</v>
      </c>
      <c r="B30" s="2" t="s">
        <v>928</v>
      </c>
      <c r="C30" s="2" t="s">
        <v>784</v>
      </c>
      <c r="D30" s="237" t="s">
        <v>785</v>
      </c>
      <c r="E30" s="2"/>
      <c r="F30" s="2" t="s">
        <v>786</v>
      </c>
      <c r="G30" s="2"/>
      <c r="H30" s="2"/>
    </row>
    <row r="31" spans="1:8">
      <c r="A31" s="2" t="s">
        <v>636</v>
      </c>
      <c r="B31" s="2" t="s">
        <v>924</v>
      </c>
      <c r="C31" s="2" t="s">
        <v>564</v>
      </c>
      <c r="D31" s="237" t="s">
        <v>788</v>
      </c>
      <c r="E31" s="2"/>
      <c r="F31" s="2" t="s">
        <v>786</v>
      </c>
      <c r="G31" s="2"/>
      <c r="H31" s="2"/>
    </row>
    <row r="32" spans="1:8">
      <c r="A32" s="2" t="s">
        <v>636</v>
      </c>
      <c r="B32" s="2" t="s">
        <v>926</v>
      </c>
      <c r="C32" s="2" t="s">
        <v>802</v>
      </c>
      <c r="D32" s="237" t="s">
        <v>803</v>
      </c>
      <c r="E32" s="2"/>
      <c r="F32" s="2" t="s">
        <v>804</v>
      </c>
      <c r="G32" s="2"/>
      <c r="H32" s="2"/>
    </row>
    <row r="33" spans="1:8">
      <c r="A33" s="2" t="s">
        <v>636</v>
      </c>
      <c r="B33" s="2" t="s">
        <v>945</v>
      </c>
      <c r="C33" s="2" t="s">
        <v>800</v>
      </c>
      <c r="D33" s="2"/>
      <c r="E33" s="2"/>
      <c r="F33" s="2"/>
      <c r="G33" s="2"/>
      <c r="H33" s="2"/>
    </row>
    <row r="34" spans="1:8">
      <c r="A34" s="2" t="s">
        <v>636</v>
      </c>
      <c r="B34" s="2" t="s">
        <v>933</v>
      </c>
      <c r="C34" s="2" t="s">
        <v>798</v>
      </c>
      <c r="D34" s="2"/>
      <c r="E34" s="2"/>
      <c r="F34" s="2"/>
      <c r="G34" s="2"/>
      <c r="H34" s="2"/>
    </row>
    <row r="35" spans="1:8">
      <c r="A35" s="2" t="s">
        <v>636</v>
      </c>
      <c r="B35" s="2" t="s">
        <v>946</v>
      </c>
      <c r="C35" s="2" t="s">
        <v>806</v>
      </c>
      <c r="D35" s="2"/>
      <c r="E35" s="2"/>
      <c r="F35" s="2"/>
      <c r="G35" s="2"/>
      <c r="H35" s="2"/>
    </row>
    <row r="36" spans="1:8">
      <c r="A36" s="2" t="s">
        <v>636</v>
      </c>
      <c r="B36" s="2" t="s">
        <v>1407</v>
      </c>
      <c r="C36" s="2" t="s">
        <v>1408</v>
      </c>
      <c r="D36" s="2"/>
      <c r="E36" s="2"/>
      <c r="F36" s="2"/>
      <c r="G36" s="2"/>
      <c r="H36" s="2"/>
    </row>
    <row r="37" spans="1:8">
      <c r="A37" s="2" t="s">
        <v>636</v>
      </c>
      <c r="B37" s="2" t="s">
        <v>1298</v>
      </c>
      <c r="C37" s="2" t="s">
        <v>1299</v>
      </c>
      <c r="D37" s="2"/>
      <c r="E37" s="2"/>
      <c r="F37" s="2"/>
      <c r="G37" s="2"/>
      <c r="H37" s="2"/>
    </row>
    <row r="38" spans="1:8">
      <c r="A38" s="2" t="s">
        <v>636</v>
      </c>
      <c r="B38" s="2" t="s">
        <v>940</v>
      </c>
      <c r="C38" s="2" t="s">
        <v>818</v>
      </c>
      <c r="D38" s="2"/>
      <c r="E38" s="2"/>
      <c r="F38" s="2"/>
      <c r="G38" s="2"/>
      <c r="H38" s="2"/>
    </row>
    <row r="39" spans="1:8">
      <c r="A39" s="2" t="s">
        <v>636</v>
      </c>
      <c r="B39" s="2" t="s">
        <v>939</v>
      </c>
      <c r="C39" s="2" t="s">
        <v>821</v>
      </c>
      <c r="D39" s="2"/>
      <c r="E39" s="2"/>
      <c r="F39" s="2"/>
      <c r="G39" s="2"/>
      <c r="H39" s="2"/>
    </row>
    <row r="40" spans="1:8">
      <c r="A40" s="2" t="s">
        <v>636</v>
      </c>
      <c r="B40" s="2" t="s">
        <v>943</v>
      </c>
      <c r="C40" s="2" t="s">
        <v>823</v>
      </c>
      <c r="D40" s="2"/>
      <c r="E40" s="2"/>
      <c r="F40" s="2"/>
      <c r="G40" s="2"/>
      <c r="H40" s="2"/>
    </row>
    <row r="41" spans="1:8" ht="60">
      <c r="A41" s="2" t="s">
        <v>642</v>
      </c>
      <c r="B41" s="2" t="s">
        <v>1276</v>
      </c>
      <c r="C41" s="2" t="s">
        <v>1277</v>
      </c>
      <c r="D41" s="2"/>
      <c r="E41" s="2"/>
      <c r="F41" s="2"/>
      <c r="G41" s="191" t="s">
        <v>3132</v>
      </c>
      <c r="H41" s="2"/>
    </row>
    <row r="42" spans="1:8">
      <c r="A42" s="2" t="s">
        <v>642</v>
      </c>
      <c r="B42" s="2" t="s">
        <v>1172</v>
      </c>
      <c r="C42" s="2" t="s">
        <v>260</v>
      </c>
      <c r="D42" s="2" t="s">
        <v>1148</v>
      </c>
      <c r="E42" s="2"/>
      <c r="F42" s="2" t="s">
        <v>786</v>
      </c>
      <c r="G42" s="2"/>
      <c r="H42" s="2"/>
    </row>
    <row r="43" spans="1:8">
      <c r="A43" s="2" t="s">
        <v>642</v>
      </c>
      <c r="B43" s="2" t="s">
        <v>1280</v>
      </c>
      <c r="C43" s="2" t="s">
        <v>1281</v>
      </c>
      <c r="D43" s="2" t="s">
        <v>1357</v>
      </c>
      <c r="E43" s="2"/>
      <c r="F43" s="2" t="s">
        <v>786</v>
      </c>
      <c r="G43" s="2"/>
      <c r="H43" s="2"/>
    </row>
    <row r="44" spans="1:8">
      <c r="A44" s="2" t="s">
        <v>642</v>
      </c>
      <c r="B44" s="2" t="s">
        <v>928</v>
      </c>
      <c r="C44" s="2" t="s">
        <v>784</v>
      </c>
      <c r="D44" s="237" t="s">
        <v>785</v>
      </c>
      <c r="E44" s="2"/>
      <c r="F44" s="2" t="s">
        <v>786</v>
      </c>
      <c r="G44" s="2"/>
      <c r="H44" s="2"/>
    </row>
    <row r="45" spans="1:8">
      <c r="A45" s="2" t="s">
        <v>642</v>
      </c>
      <c r="B45" s="2" t="s">
        <v>924</v>
      </c>
      <c r="C45" s="2" t="s">
        <v>564</v>
      </c>
      <c r="D45" s="237" t="s">
        <v>788</v>
      </c>
      <c r="E45" s="2"/>
      <c r="F45" s="2" t="s">
        <v>804</v>
      </c>
      <c r="G45" s="2"/>
      <c r="H45" s="2"/>
    </row>
    <row r="46" spans="1:8">
      <c r="A46" s="2" t="s">
        <v>642</v>
      </c>
      <c r="B46" s="2" t="s">
        <v>1283</v>
      </c>
      <c r="C46" s="2" t="s">
        <v>1284</v>
      </c>
      <c r="D46" s="124" t="s">
        <v>1114</v>
      </c>
      <c r="E46" s="124"/>
      <c r="F46" s="124" t="s">
        <v>786</v>
      </c>
      <c r="G46" s="2"/>
      <c r="H46" s="2"/>
    </row>
    <row r="47" spans="1:8">
      <c r="A47" s="2" t="s">
        <v>642</v>
      </c>
      <c r="B47" s="2" t="s">
        <v>1268</v>
      </c>
      <c r="C47" s="2" t="s">
        <v>1269</v>
      </c>
      <c r="D47" s="2"/>
      <c r="E47" s="2"/>
      <c r="F47" s="2"/>
      <c r="G47" s="2"/>
      <c r="H47" s="2"/>
    </row>
    <row r="48" spans="1:8">
      <c r="A48" s="2" t="s">
        <v>642</v>
      </c>
      <c r="B48" s="2" t="s">
        <v>1270</v>
      </c>
      <c r="C48" s="2" t="s">
        <v>1271</v>
      </c>
      <c r="D48" s="2"/>
      <c r="E48" s="2"/>
      <c r="F48" s="2"/>
      <c r="G48" s="2"/>
      <c r="H48" s="2"/>
    </row>
    <row r="49" spans="1:8">
      <c r="A49" s="2" t="s">
        <v>642</v>
      </c>
      <c r="B49" s="2" t="s">
        <v>1278</v>
      </c>
      <c r="C49" s="2" t="s">
        <v>1279</v>
      </c>
      <c r="D49" s="2"/>
      <c r="E49" s="2"/>
      <c r="F49" s="2"/>
      <c r="G49" s="2"/>
      <c r="H49" s="2"/>
    </row>
    <row r="50" spans="1:8">
      <c r="A50" s="2" t="s">
        <v>642</v>
      </c>
      <c r="B50" s="2" t="s">
        <v>1049</v>
      </c>
      <c r="C50" s="2" t="s">
        <v>1050</v>
      </c>
      <c r="D50" s="2"/>
      <c r="E50" s="2"/>
      <c r="F50" s="2"/>
      <c r="G50" s="2"/>
      <c r="H50" s="2"/>
    </row>
    <row r="51" spans="1:8">
      <c r="A51" s="2" t="s">
        <v>642</v>
      </c>
      <c r="B51" s="2" t="s">
        <v>1272</v>
      </c>
      <c r="C51" s="2" t="s">
        <v>1273</v>
      </c>
      <c r="D51" s="2"/>
      <c r="E51" s="2"/>
      <c r="F51" s="2"/>
      <c r="G51" s="2"/>
      <c r="H51" s="2"/>
    </row>
    <row r="52" spans="1:8" ht="51">
      <c r="A52" s="2" t="s">
        <v>642</v>
      </c>
      <c r="B52" s="2" t="s">
        <v>1293</v>
      </c>
      <c r="C52" s="2" t="s">
        <v>1294</v>
      </c>
      <c r="D52" s="92" t="s">
        <v>2666</v>
      </c>
      <c r="E52" s="91"/>
      <c r="F52" s="92" t="s">
        <v>804</v>
      </c>
      <c r="G52" s="2"/>
      <c r="H52" s="2"/>
    </row>
    <row r="53" spans="1:8">
      <c r="A53" s="2" t="s">
        <v>642</v>
      </c>
      <c r="B53" s="2" t="s">
        <v>945</v>
      </c>
      <c r="C53" s="2" t="s">
        <v>800</v>
      </c>
      <c r="D53" s="2"/>
      <c r="E53" s="2"/>
      <c r="F53" s="2"/>
      <c r="G53" s="2"/>
      <c r="H53" s="2"/>
    </row>
    <row r="54" spans="1:8">
      <c r="A54" s="2" t="s">
        <v>642</v>
      </c>
      <c r="B54" s="2" t="s">
        <v>926</v>
      </c>
      <c r="C54" s="2" t="s">
        <v>802</v>
      </c>
      <c r="D54" s="237" t="s">
        <v>803</v>
      </c>
      <c r="E54" s="2"/>
      <c r="F54" s="2" t="s">
        <v>804</v>
      </c>
      <c r="G54" s="2"/>
      <c r="H54" s="2"/>
    </row>
    <row r="55" spans="1:8">
      <c r="A55" s="2" t="s">
        <v>642</v>
      </c>
      <c r="B55" s="2" t="s">
        <v>946</v>
      </c>
      <c r="C55" s="2" t="s">
        <v>806</v>
      </c>
      <c r="D55" s="2"/>
      <c r="E55" s="2"/>
      <c r="F55" s="2"/>
      <c r="G55" s="2"/>
      <c r="H55" s="2"/>
    </row>
    <row r="56" spans="1:8">
      <c r="A56" s="2" t="s">
        <v>642</v>
      </c>
      <c r="B56" s="2" t="s">
        <v>933</v>
      </c>
      <c r="C56" s="2" t="s">
        <v>798</v>
      </c>
      <c r="D56" s="2"/>
      <c r="E56" s="2"/>
      <c r="F56" s="2"/>
      <c r="G56" s="2"/>
      <c r="H56" s="2"/>
    </row>
    <row r="57" spans="1:8">
      <c r="A57" s="2" t="s">
        <v>642</v>
      </c>
      <c r="B57" s="2" t="s">
        <v>1285</v>
      </c>
      <c r="C57" s="2" t="s">
        <v>1286</v>
      </c>
      <c r="D57" s="2"/>
      <c r="E57" s="2"/>
      <c r="F57" s="2"/>
      <c r="G57" s="2"/>
      <c r="H57" s="2"/>
    </row>
    <row r="58" spans="1:8">
      <c r="A58" s="2" t="s">
        <v>642</v>
      </c>
      <c r="B58" s="2" t="s">
        <v>1266</v>
      </c>
      <c r="C58" s="2" t="s">
        <v>1267</v>
      </c>
      <c r="D58" s="2"/>
      <c r="E58" s="2"/>
      <c r="F58" s="2"/>
      <c r="G58" s="2"/>
      <c r="H58" s="2"/>
    </row>
    <row r="59" spans="1:8">
      <c r="A59" s="2" t="s">
        <v>642</v>
      </c>
      <c r="B59" s="2" t="s">
        <v>1291</v>
      </c>
      <c r="C59" s="2" t="s">
        <v>1292</v>
      </c>
      <c r="D59" s="2"/>
      <c r="E59" s="2"/>
      <c r="F59" s="2"/>
      <c r="G59" s="2"/>
      <c r="H59" s="2"/>
    </row>
    <row r="60" spans="1:8">
      <c r="A60" s="2" t="s">
        <v>642</v>
      </c>
      <c r="B60" s="2" t="s">
        <v>1274</v>
      </c>
      <c r="C60" s="2" t="s">
        <v>1275</v>
      </c>
      <c r="D60" s="2"/>
      <c r="E60" s="2"/>
      <c r="F60" s="2"/>
      <c r="G60" s="2"/>
      <c r="H60" s="2"/>
    </row>
    <row r="61" spans="1:8">
      <c r="A61" s="2" t="s">
        <v>642</v>
      </c>
      <c r="B61" s="2" t="s">
        <v>1256</v>
      </c>
      <c r="C61" s="2" t="s">
        <v>1257</v>
      </c>
      <c r="D61" s="2"/>
      <c r="E61" s="2"/>
      <c r="F61" s="2"/>
      <c r="G61" s="2"/>
      <c r="H61" s="2"/>
    </row>
    <row r="62" spans="1:8" ht="38.25">
      <c r="A62" s="2" t="s">
        <v>642</v>
      </c>
      <c r="B62" s="2" t="s">
        <v>1287</v>
      </c>
      <c r="C62" s="2" t="s">
        <v>1288</v>
      </c>
      <c r="D62" s="123" t="s">
        <v>3133</v>
      </c>
      <c r="E62" s="124" t="s">
        <v>2488</v>
      </c>
      <c r="F62" s="2" t="s">
        <v>804</v>
      </c>
      <c r="G62" s="2"/>
      <c r="H62" s="2"/>
    </row>
    <row r="63" spans="1:8">
      <c r="A63" s="2" t="s">
        <v>642</v>
      </c>
      <c r="B63" s="2" t="s">
        <v>1289</v>
      </c>
      <c r="C63" s="2" t="s">
        <v>1290</v>
      </c>
      <c r="D63" s="2"/>
      <c r="E63" s="2"/>
      <c r="F63" s="2"/>
      <c r="G63" s="2"/>
      <c r="H63" s="2"/>
    </row>
    <row r="64" spans="1:8">
      <c r="A64" s="2" t="s">
        <v>642</v>
      </c>
      <c r="B64" s="2" t="s">
        <v>1258</v>
      </c>
      <c r="C64" s="2" t="s">
        <v>1259</v>
      </c>
      <c r="D64" s="2"/>
      <c r="E64" s="2"/>
      <c r="F64" s="2"/>
      <c r="G64" s="2"/>
      <c r="H64" s="2"/>
    </row>
    <row r="65" spans="1:8">
      <c r="A65" s="2" t="s">
        <v>642</v>
      </c>
      <c r="B65" s="2" t="s">
        <v>984</v>
      </c>
      <c r="C65" s="2" t="s">
        <v>985</v>
      </c>
      <c r="D65" s="2"/>
      <c r="E65" s="2"/>
      <c r="F65" s="2"/>
      <c r="G65" s="2"/>
      <c r="H65" s="2"/>
    </row>
    <row r="66" spans="1:8" ht="45">
      <c r="A66" s="2" t="s">
        <v>1137</v>
      </c>
      <c r="B66" s="2" t="s">
        <v>1172</v>
      </c>
      <c r="C66" s="2" t="s">
        <v>260</v>
      </c>
      <c r="D66" s="2" t="s">
        <v>1393</v>
      </c>
      <c r="E66" s="2"/>
      <c r="F66" s="2" t="s">
        <v>804</v>
      </c>
      <c r="G66" s="191" t="s">
        <v>3134</v>
      </c>
      <c r="H66" s="2"/>
    </row>
    <row r="67" spans="1:8">
      <c r="A67" s="2" t="s">
        <v>1137</v>
      </c>
      <c r="B67" s="2" t="s">
        <v>1178</v>
      </c>
      <c r="C67" s="2" t="s">
        <v>1142</v>
      </c>
      <c r="D67" s="2" t="s">
        <v>1143</v>
      </c>
      <c r="E67" s="2"/>
      <c r="F67" s="2" t="s">
        <v>786</v>
      </c>
      <c r="G67" s="2"/>
      <c r="H67" s="2"/>
    </row>
    <row r="68" spans="1:8">
      <c r="A68" s="2" t="s">
        <v>1137</v>
      </c>
      <c r="B68" s="2" t="s">
        <v>928</v>
      </c>
      <c r="C68" s="2" t="s">
        <v>784</v>
      </c>
      <c r="D68" s="237" t="s">
        <v>785</v>
      </c>
      <c r="E68" s="2"/>
      <c r="F68" s="2" t="s">
        <v>786</v>
      </c>
      <c r="G68" s="2"/>
      <c r="H68" s="2"/>
    </row>
    <row r="69" spans="1:8">
      <c r="A69" s="2" t="s">
        <v>1137</v>
      </c>
      <c r="B69" s="2" t="s">
        <v>1083</v>
      </c>
      <c r="C69" s="2" t="s">
        <v>862</v>
      </c>
      <c r="D69" s="2"/>
      <c r="E69" s="2"/>
      <c r="F69" s="2"/>
      <c r="G69" s="2"/>
      <c r="H69" s="2"/>
    </row>
    <row r="70" spans="1:8">
      <c r="A70" s="2" t="s">
        <v>1137</v>
      </c>
      <c r="B70" s="2" t="s">
        <v>935</v>
      </c>
      <c r="C70" s="2" t="s">
        <v>808</v>
      </c>
      <c r="D70" s="2"/>
      <c r="E70" s="2"/>
      <c r="F70" s="2"/>
      <c r="G70" s="2"/>
      <c r="H70" s="2"/>
    </row>
    <row r="71" spans="1:8">
      <c r="A71" s="2" t="s">
        <v>1137</v>
      </c>
      <c r="B71" s="2" t="s">
        <v>1049</v>
      </c>
      <c r="C71" s="2" t="s">
        <v>1050</v>
      </c>
      <c r="D71" s="2"/>
      <c r="E71" s="2"/>
      <c r="F71" s="2"/>
      <c r="G71" s="2"/>
      <c r="H71" s="2"/>
    </row>
    <row r="72" spans="1:8">
      <c r="A72" s="2" t="s">
        <v>1137</v>
      </c>
      <c r="B72" s="2" t="s">
        <v>924</v>
      </c>
      <c r="C72" s="2" t="s">
        <v>564</v>
      </c>
      <c r="D72" s="237" t="s">
        <v>788</v>
      </c>
      <c r="E72" s="2"/>
      <c r="F72" s="2" t="s">
        <v>786</v>
      </c>
      <c r="G72" s="2"/>
      <c r="H72" s="2"/>
    </row>
    <row r="73" spans="1:8">
      <c r="A73" s="2" t="s">
        <v>1137</v>
      </c>
      <c r="B73" s="2" t="s">
        <v>945</v>
      </c>
      <c r="C73" s="2" t="s">
        <v>800</v>
      </c>
      <c r="D73" s="2"/>
      <c r="E73" s="2"/>
      <c r="F73" s="2"/>
      <c r="G73" s="2"/>
      <c r="H73" s="2"/>
    </row>
    <row r="74" spans="1:8">
      <c r="A74" s="2" t="s">
        <v>1137</v>
      </c>
      <c r="B74" s="2" t="s">
        <v>926</v>
      </c>
      <c r="C74" s="2" t="s">
        <v>802</v>
      </c>
      <c r="D74" s="237" t="s">
        <v>803</v>
      </c>
      <c r="E74" s="2"/>
      <c r="F74" s="2" t="s">
        <v>804</v>
      </c>
      <c r="G74" s="2"/>
      <c r="H74" s="2"/>
    </row>
    <row r="75" spans="1:8">
      <c r="A75" s="2" t="s">
        <v>1137</v>
      </c>
      <c r="B75" s="2" t="s">
        <v>933</v>
      </c>
      <c r="C75" s="2" t="s">
        <v>798</v>
      </c>
      <c r="D75" s="2"/>
      <c r="E75" s="2"/>
      <c r="F75" s="2"/>
      <c r="G75" s="2"/>
      <c r="H75" s="2"/>
    </row>
    <row r="76" spans="1:8">
      <c r="A76" s="2" t="s">
        <v>1137</v>
      </c>
      <c r="B76" s="2" t="s">
        <v>946</v>
      </c>
      <c r="C76" s="2" t="s">
        <v>806</v>
      </c>
      <c r="D76" s="2"/>
      <c r="E76" s="2"/>
      <c r="F76" s="2"/>
      <c r="G76" s="2"/>
      <c r="H76" s="2"/>
    </row>
    <row r="77" spans="1:8">
      <c r="A77" s="2" t="s">
        <v>640</v>
      </c>
      <c r="B77" s="2" t="s">
        <v>1175</v>
      </c>
      <c r="C77" s="2" t="s">
        <v>1147</v>
      </c>
      <c r="D77" s="2"/>
      <c r="E77" s="2"/>
      <c r="F77" s="2"/>
      <c r="G77" s="2"/>
      <c r="H77" s="2"/>
    </row>
    <row r="78" spans="1:8" ht="45">
      <c r="A78" s="2" t="s">
        <v>640</v>
      </c>
      <c r="B78" s="2" t="s">
        <v>1172</v>
      </c>
      <c r="C78" s="2" t="s">
        <v>260</v>
      </c>
      <c r="D78" s="2"/>
      <c r="E78" s="2"/>
      <c r="F78" s="2"/>
      <c r="G78" s="191" t="s">
        <v>3135</v>
      </c>
      <c r="H78" s="2"/>
    </row>
    <row r="79" spans="1:8">
      <c r="A79" s="2" t="s">
        <v>640</v>
      </c>
      <c r="B79" s="2" t="s">
        <v>1173</v>
      </c>
      <c r="C79" s="2" t="s">
        <v>1174</v>
      </c>
      <c r="D79" s="2"/>
      <c r="E79" s="2"/>
      <c r="F79" s="2"/>
      <c r="G79" s="2"/>
      <c r="H79" s="2"/>
    </row>
    <row r="80" spans="1:8">
      <c r="A80" s="2" t="s">
        <v>640</v>
      </c>
      <c r="B80" s="2" t="s">
        <v>928</v>
      </c>
      <c r="C80" s="2" t="s">
        <v>784</v>
      </c>
      <c r="D80" s="237" t="s">
        <v>785</v>
      </c>
      <c r="E80" s="2"/>
      <c r="F80" s="2" t="s">
        <v>786</v>
      </c>
      <c r="G80" s="2"/>
      <c r="H80" s="2"/>
    </row>
    <row r="81" spans="1:8">
      <c r="A81" s="2" t="s">
        <v>640</v>
      </c>
      <c r="B81" s="2" t="s">
        <v>924</v>
      </c>
      <c r="C81" s="2" t="s">
        <v>564</v>
      </c>
      <c r="D81" s="237" t="s">
        <v>788</v>
      </c>
      <c r="E81" s="2"/>
      <c r="F81" s="2" t="s">
        <v>786</v>
      </c>
      <c r="G81" s="2"/>
      <c r="H81" s="2"/>
    </row>
    <row r="82" spans="1:8">
      <c r="A82" s="2" t="s">
        <v>640</v>
      </c>
      <c r="B82" s="2" t="s">
        <v>926</v>
      </c>
      <c r="C82" s="2" t="s">
        <v>802</v>
      </c>
      <c r="D82" s="237" t="s">
        <v>803</v>
      </c>
      <c r="E82" s="2"/>
      <c r="F82" s="2" t="s">
        <v>804</v>
      </c>
      <c r="G82" s="2"/>
      <c r="H82" s="2"/>
    </row>
    <row r="83" spans="1:8">
      <c r="A83" s="2" t="s">
        <v>640</v>
      </c>
      <c r="B83" s="2" t="s">
        <v>945</v>
      </c>
      <c r="C83" s="2" t="s">
        <v>800</v>
      </c>
      <c r="D83" s="2"/>
      <c r="E83" s="2"/>
      <c r="F83" s="2"/>
      <c r="G83" s="2"/>
      <c r="H83" s="2"/>
    </row>
    <row r="84" spans="1:8">
      <c r="A84" s="2" t="s">
        <v>640</v>
      </c>
      <c r="B84" s="2" t="s">
        <v>933</v>
      </c>
      <c r="C84" s="2" t="s">
        <v>798</v>
      </c>
      <c r="D84" s="2"/>
      <c r="E84" s="2"/>
      <c r="F84" s="2"/>
      <c r="G84" s="2"/>
      <c r="H84" s="2"/>
    </row>
    <row r="85" spans="1:8">
      <c r="A85" s="2" t="s">
        <v>640</v>
      </c>
      <c r="B85" s="2" t="s">
        <v>946</v>
      </c>
      <c r="C85" s="2" t="s">
        <v>806</v>
      </c>
      <c r="D85" s="2"/>
      <c r="E85" s="2"/>
      <c r="F85" s="2"/>
      <c r="G85" s="2"/>
      <c r="H85" s="2"/>
    </row>
    <row r="86" spans="1:8">
      <c r="A86" s="2" t="s">
        <v>640</v>
      </c>
      <c r="B86" s="2" t="s">
        <v>1011</v>
      </c>
      <c r="C86" s="2" t="s">
        <v>1012</v>
      </c>
      <c r="D86" s="2" t="s">
        <v>1255</v>
      </c>
      <c r="E86" s="2"/>
      <c r="F86" s="2" t="s">
        <v>786</v>
      </c>
      <c r="G86" s="2"/>
      <c r="H86" s="2"/>
    </row>
    <row r="87" spans="1:8">
      <c r="A87" s="2" t="s">
        <v>640</v>
      </c>
      <c r="B87" s="2" t="s">
        <v>1161</v>
      </c>
      <c r="C87" s="2" t="s">
        <v>1162</v>
      </c>
      <c r="D87" s="124" t="s">
        <v>1114</v>
      </c>
      <c r="E87" s="124"/>
      <c r="F87" s="124" t="s">
        <v>804</v>
      </c>
      <c r="G87" s="2"/>
      <c r="H87" s="2"/>
    </row>
    <row r="88" spans="1:8">
      <c r="A88" s="2" t="s">
        <v>640</v>
      </c>
      <c r="B88" s="2" t="s">
        <v>1167</v>
      </c>
      <c r="C88" s="2" t="s">
        <v>1168</v>
      </c>
      <c r="D88" s="2"/>
      <c r="E88" s="2"/>
      <c r="F88" s="2"/>
      <c r="G88" s="2"/>
      <c r="H88" s="2"/>
    </row>
    <row r="89" spans="1:8">
      <c r="A89" s="2" t="s">
        <v>640</v>
      </c>
      <c r="B89" s="2" t="s">
        <v>1170</v>
      </c>
      <c r="C89" s="2" t="s">
        <v>1155</v>
      </c>
      <c r="D89" s="2"/>
      <c r="E89" s="2"/>
      <c r="F89" s="2"/>
      <c r="G89" s="2"/>
      <c r="H89" s="2"/>
    </row>
    <row r="90" spans="1:8">
      <c r="A90" s="2" t="s">
        <v>646</v>
      </c>
      <c r="B90" s="2" t="s">
        <v>1049</v>
      </c>
      <c r="C90" s="2" t="s">
        <v>1050</v>
      </c>
      <c r="D90" s="2"/>
      <c r="E90" s="2"/>
      <c r="F90" s="2"/>
      <c r="G90" s="2"/>
      <c r="H90" s="2"/>
    </row>
    <row r="91" spans="1:8">
      <c r="A91" s="2" t="s">
        <v>646</v>
      </c>
      <c r="B91" s="2" t="s">
        <v>984</v>
      </c>
      <c r="C91" s="2" t="s">
        <v>985</v>
      </c>
      <c r="D91" s="2"/>
      <c r="E91" s="2"/>
      <c r="F91" s="2"/>
      <c r="G91" s="2"/>
      <c r="H91" s="2"/>
    </row>
    <row r="92" spans="1:8">
      <c r="A92" s="2" t="s">
        <v>646</v>
      </c>
      <c r="B92" s="2" t="s">
        <v>999</v>
      </c>
      <c r="C92" s="2" t="s">
        <v>893</v>
      </c>
      <c r="D92" s="33" t="s">
        <v>1187</v>
      </c>
      <c r="E92" s="33"/>
      <c r="F92" s="33" t="s">
        <v>786</v>
      </c>
      <c r="G92" s="2"/>
      <c r="H92" s="2"/>
    </row>
    <row r="93" spans="1:8">
      <c r="A93" s="2" t="s">
        <v>646</v>
      </c>
      <c r="B93" s="2" t="s">
        <v>1043</v>
      </c>
      <c r="C93" s="2" t="s">
        <v>889</v>
      </c>
      <c r="D93" s="2"/>
      <c r="E93" s="2"/>
      <c r="F93" s="2"/>
      <c r="G93" s="2"/>
      <c r="H93" s="2"/>
    </row>
    <row r="94" spans="1:8">
      <c r="A94" s="2" t="s">
        <v>646</v>
      </c>
      <c r="B94" s="2" t="s">
        <v>987</v>
      </c>
      <c r="C94" s="2" t="s">
        <v>882</v>
      </c>
      <c r="D94" s="2"/>
      <c r="E94" s="2"/>
      <c r="F94" s="2"/>
      <c r="G94" s="2"/>
      <c r="H94" s="2"/>
    </row>
    <row r="95" spans="1:8">
      <c r="A95" s="2" t="s">
        <v>646</v>
      </c>
      <c r="B95" s="2" t="s">
        <v>988</v>
      </c>
      <c r="C95" s="2" t="s">
        <v>989</v>
      </c>
      <c r="D95" s="2"/>
      <c r="E95" s="2"/>
      <c r="F95" s="2"/>
      <c r="G95" s="2"/>
      <c r="H95" s="2"/>
    </row>
    <row r="96" spans="1:8">
      <c r="A96" s="2" t="s">
        <v>646</v>
      </c>
      <c r="B96" s="2" t="s">
        <v>990</v>
      </c>
      <c r="C96" s="2" t="s">
        <v>991</v>
      </c>
      <c r="D96" s="2"/>
      <c r="E96" s="2"/>
      <c r="F96" s="2"/>
      <c r="G96" s="2"/>
      <c r="H96" s="2"/>
    </row>
    <row r="97" spans="1:8">
      <c r="A97" s="2" t="s">
        <v>646</v>
      </c>
      <c r="B97" s="2" t="s">
        <v>992</v>
      </c>
      <c r="C97" s="2" t="s">
        <v>993</v>
      </c>
      <c r="D97" s="2"/>
      <c r="E97" s="2"/>
      <c r="F97" s="2"/>
      <c r="G97" s="2"/>
      <c r="H97" s="2"/>
    </row>
    <row r="98" spans="1:8">
      <c r="A98" s="2" t="s">
        <v>646</v>
      </c>
      <c r="B98" s="2" t="s">
        <v>994</v>
      </c>
      <c r="C98" s="2" t="s">
        <v>995</v>
      </c>
      <c r="D98" s="2"/>
      <c r="E98" s="2"/>
      <c r="F98" s="2"/>
      <c r="G98" s="2"/>
      <c r="H98" s="2"/>
    </row>
    <row r="99" spans="1:8">
      <c r="A99" s="2" t="s">
        <v>646</v>
      </c>
      <c r="B99" s="2" t="s">
        <v>996</v>
      </c>
      <c r="C99" s="2" t="s">
        <v>885</v>
      </c>
      <c r="D99" s="2"/>
      <c r="E99" s="2"/>
      <c r="F99" s="2"/>
      <c r="G99" s="2"/>
      <c r="H99" s="2"/>
    </row>
    <row r="100" spans="1:8">
      <c r="A100" s="2" t="s">
        <v>646</v>
      </c>
      <c r="B100" s="2" t="s">
        <v>997</v>
      </c>
      <c r="C100" s="2" t="s">
        <v>998</v>
      </c>
      <c r="D100" s="2"/>
      <c r="E100" s="2"/>
      <c r="F100" s="2"/>
      <c r="G100" s="2"/>
      <c r="H100" s="2"/>
    </row>
    <row r="101" spans="1:8">
      <c r="A101" s="2" t="s">
        <v>646</v>
      </c>
      <c r="B101" s="2" t="s">
        <v>1039</v>
      </c>
      <c r="C101" s="2" t="s">
        <v>1040</v>
      </c>
      <c r="D101" s="2"/>
      <c r="E101" s="2"/>
      <c r="F101" s="2"/>
      <c r="G101" s="2"/>
      <c r="H101" s="2"/>
    </row>
    <row r="102" spans="1:8">
      <c r="A102" s="2" t="s">
        <v>646</v>
      </c>
      <c r="B102" s="2" t="s">
        <v>1041</v>
      </c>
      <c r="C102" s="2" t="s">
        <v>1042</v>
      </c>
      <c r="D102" s="2"/>
      <c r="E102" s="2"/>
      <c r="F102" s="2"/>
      <c r="G102" s="2"/>
      <c r="H102" s="2"/>
    </row>
    <row r="103" spans="1:8">
      <c r="A103" s="2" t="s">
        <v>646</v>
      </c>
      <c r="B103" s="2" t="s">
        <v>1000</v>
      </c>
      <c r="C103" s="2" t="s">
        <v>887</v>
      </c>
      <c r="D103" s="2"/>
      <c r="E103" s="2"/>
      <c r="F103" s="2"/>
      <c r="G103" s="2"/>
      <c r="H103" s="2"/>
    </row>
    <row r="104" spans="1:8">
      <c r="A104" s="2" t="s">
        <v>646</v>
      </c>
      <c r="B104" s="2" t="s">
        <v>1024</v>
      </c>
      <c r="C104" s="2" t="s">
        <v>1025</v>
      </c>
      <c r="D104" s="2"/>
      <c r="E104" s="2"/>
      <c r="F104" s="2"/>
      <c r="G104" s="2"/>
      <c r="H104" s="2"/>
    </row>
    <row r="105" spans="1:8">
      <c r="A105" s="2" t="s">
        <v>646</v>
      </c>
      <c r="B105" s="2" t="s">
        <v>1022</v>
      </c>
      <c r="C105" s="2" t="s">
        <v>1023</v>
      </c>
      <c r="D105" s="2"/>
      <c r="E105" s="2"/>
      <c r="F105" s="2"/>
      <c r="G105" s="2"/>
      <c r="H105" s="2"/>
    </row>
    <row r="106" spans="1:8">
      <c r="A106" s="2" t="s">
        <v>646</v>
      </c>
      <c r="B106" s="2" t="s">
        <v>1026</v>
      </c>
      <c r="C106" s="2" t="s">
        <v>1027</v>
      </c>
      <c r="D106" s="2"/>
      <c r="E106" s="2"/>
      <c r="F106" s="2"/>
      <c r="G106" s="2"/>
      <c r="H106" s="2"/>
    </row>
    <row r="107" spans="1:8">
      <c r="A107" s="2" t="s">
        <v>646</v>
      </c>
      <c r="B107" s="2" t="s">
        <v>1047</v>
      </c>
      <c r="C107" s="2" t="s">
        <v>891</v>
      </c>
      <c r="D107" s="33" t="s">
        <v>1188</v>
      </c>
      <c r="E107" s="33"/>
      <c r="F107" s="33" t="s">
        <v>786</v>
      </c>
      <c r="G107" s="2"/>
      <c r="H107" s="2"/>
    </row>
    <row r="108" spans="1:8">
      <c r="A108" s="2" t="s">
        <v>646</v>
      </c>
      <c r="B108" s="2" t="s">
        <v>928</v>
      </c>
      <c r="C108" s="2" t="s">
        <v>784</v>
      </c>
      <c r="D108" s="2"/>
      <c r="E108" s="2"/>
      <c r="F108" s="2"/>
      <c r="G108" s="2"/>
      <c r="H108" s="2"/>
    </row>
    <row r="109" spans="1:8">
      <c r="A109" s="2" t="s">
        <v>646</v>
      </c>
      <c r="B109" s="2" t="s">
        <v>924</v>
      </c>
      <c r="C109" s="2" t="s">
        <v>564</v>
      </c>
      <c r="D109" s="33" t="s">
        <v>785</v>
      </c>
      <c r="E109" s="33"/>
      <c r="F109" s="33" t="s">
        <v>786</v>
      </c>
      <c r="G109" s="2"/>
      <c r="H109" s="2"/>
    </row>
    <row r="110" spans="1:8">
      <c r="A110" s="2" t="s">
        <v>646</v>
      </c>
      <c r="B110" s="2" t="s">
        <v>926</v>
      </c>
      <c r="C110" s="2" t="s">
        <v>802</v>
      </c>
      <c r="D110" s="33" t="s">
        <v>788</v>
      </c>
      <c r="E110" s="33"/>
      <c r="F110" s="33" t="s">
        <v>786</v>
      </c>
      <c r="G110" s="2"/>
      <c r="H110" s="2"/>
    </row>
    <row r="111" spans="1:8">
      <c r="A111" s="2" t="s">
        <v>646</v>
      </c>
      <c r="B111" s="2" t="s">
        <v>945</v>
      </c>
      <c r="C111" s="2" t="s">
        <v>800</v>
      </c>
      <c r="D111" s="33" t="s">
        <v>803</v>
      </c>
      <c r="E111" s="33"/>
      <c r="F111" s="33" t="s">
        <v>804</v>
      </c>
      <c r="G111" s="2"/>
      <c r="H111" s="2"/>
    </row>
    <row r="112" spans="1:8">
      <c r="A112" s="2" t="s">
        <v>646</v>
      </c>
      <c r="B112" s="2" t="s">
        <v>933</v>
      </c>
      <c r="C112" s="2" t="s">
        <v>798</v>
      </c>
      <c r="D112" s="2"/>
      <c r="E112" s="2"/>
      <c r="F112" s="2"/>
      <c r="G112" s="2"/>
      <c r="H112" s="2"/>
    </row>
    <row r="113" spans="1:8">
      <c r="A113" s="2" t="s">
        <v>646</v>
      </c>
      <c r="B113" s="2" t="s">
        <v>946</v>
      </c>
      <c r="C113" s="2" t="s">
        <v>806</v>
      </c>
      <c r="D113" s="2"/>
      <c r="E113" s="2"/>
      <c r="F113" s="2"/>
      <c r="G113" s="2"/>
      <c r="H113" s="2"/>
    </row>
    <row r="114" spans="1:8">
      <c r="A114" s="2" t="s">
        <v>646</v>
      </c>
      <c r="B114" s="2" t="s">
        <v>1031</v>
      </c>
      <c r="C114" s="2" t="s">
        <v>1032</v>
      </c>
      <c r="D114" s="33" t="s">
        <v>1507</v>
      </c>
      <c r="E114" s="33"/>
      <c r="F114" s="33" t="s">
        <v>804</v>
      </c>
      <c r="G114" s="2"/>
      <c r="H114" s="2"/>
    </row>
    <row r="115" spans="1:8">
      <c r="A115" s="2" t="s">
        <v>646</v>
      </c>
      <c r="B115" s="2" t="s">
        <v>1003</v>
      </c>
      <c r="C115" s="2" t="s">
        <v>895</v>
      </c>
      <c r="D115" s="2"/>
      <c r="E115" s="2"/>
      <c r="F115" s="2"/>
      <c r="G115" s="2"/>
      <c r="H115" s="2"/>
    </row>
    <row r="116" spans="1:8" ht="25.5">
      <c r="A116" s="2" t="s">
        <v>646</v>
      </c>
      <c r="B116" s="2" t="s">
        <v>1016</v>
      </c>
      <c r="C116" s="2" t="s">
        <v>1017</v>
      </c>
      <c r="D116" s="34" t="s">
        <v>3136</v>
      </c>
      <c r="E116" s="33"/>
      <c r="F116" s="33" t="s">
        <v>804</v>
      </c>
      <c r="G116" s="2"/>
      <c r="H116" s="2"/>
    </row>
    <row r="117" spans="1:8" ht="45">
      <c r="A117" s="2" t="s">
        <v>646</v>
      </c>
      <c r="B117" s="2" t="s">
        <v>1011</v>
      </c>
      <c r="C117" s="2" t="s">
        <v>1012</v>
      </c>
      <c r="D117" s="2" t="s">
        <v>3137</v>
      </c>
      <c r="E117" s="2"/>
      <c r="F117" s="33" t="s">
        <v>786</v>
      </c>
      <c r="G117" s="191" t="s">
        <v>3138</v>
      </c>
      <c r="H117" s="2"/>
    </row>
    <row r="118" spans="1:8">
      <c r="A118" s="2" t="s">
        <v>646</v>
      </c>
      <c r="B118" s="2" t="s">
        <v>1004</v>
      </c>
      <c r="C118" s="2" t="s">
        <v>897</v>
      </c>
      <c r="D118" s="2"/>
      <c r="E118" s="2"/>
      <c r="F118" s="2"/>
      <c r="G118" s="2"/>
      <c r="H118" s="2"/>
    </row>
    <row r="119" spans="1:8">
      <c r="A119" s="2" t="s">
        <v>646</v>
      </c>
      <c r="B119" s="2" t="s">
        <v>1037</v>
      </c>
      <c r="C119" s="2" t="s">
        <v>1038</v>
      </c>
      <c r="D119" s="2"/>
      <c r="E119" s="2"/>
      <c r="F119" s="2"/>
      <c r="G119" s="2"/>
      <c r="H119" s="2"/>
    </row>
    <row r="120" spans="1:8">
      <c r="A120" s="2" t="s">
        <v>646</v>
      </c>
      <c r="B120" s="2" t="s">
        <v>1020</v>
      </c>
      <c r="C120" s="2" t="s">
        <v>1021</v>
      </c>
      <c r="D120" s="2"/>
      <c r="E120" s="2"/>
      <c r="F120" s="2"/>
      <c r="G120" s="2"/>
      <c r="H120" s="2"/>
    </row>
    <row r="121" spans="1:8">
      <c r="A121" s="2" t="s">
        <v>646</v>
      </c>
      <c r="B121" s="2" t="s">
        <v>1001</v>
      </c>
      <c r="C121" s="2" t="s">
        <v>1002</v>
      </c>
      <c r="D121" s="2"/>
      <c r="E121" s="2"/>
      <c r="F121" s="2"/>
      <c r="G121" s="2"/>
      <c r="H121" s="2"/>
    </row>
    <row r="122" spans="1:8">
      <c r="A122" s="2" t="s">
        <v>646</v>
      </c>
      <c r="B122" s="2" t="s">
        <v>1034</v>
      </c>
      <c r="C122" s="2" t="s">
        <v>1035</v>
      </c>
      <c r="D122" s="33" t="s">
        <v>1194</v>
      </c>
      <c r="E122" s="33"/>
      <c r="F122" s="33" t="s">
        <v>804</v>
      </c>
      <c r="G122" s="2"/>
      <c r="H122" s="2"/>
    </row>
    <row r="123" spans="1:8">
      <c r="A123" s="2" t="s">
        <v>646</v>
      </c>
      <c r="B123" s="2" t="s">
        <v>1005</v>
      </c>
      <c r="C123" s="2" t="s">
        <v>1006</v>
      </c>
      <c r="D123" s="2"/>
      <c r="E123" s="2"/>
      <c r="F123" s="2"/>
      <c r="G123" s="2"/>
      <c r="H123" s="2"/>
    </row>
    <row r="124" spans="1:8">
      <c r="A124" s="2" t="s">
        <v>646</v>
      </c>
      <c r="B124" s="2" t="s">
        <v>1014</v>
      </c>
      <c r="C124" s="2" t="s">
        <v>842</v>
      </c>
      <c r="D124" s="34" t="s">
        <v>3139</v>
      </c>
      <c r="E124" s="33"/>
      <c r="F124" s="33" t="s">
        <v>786</v>
      </c>
      <c r="G124" s="2"/>
      <c r="H124" s="2"/>
    </row>
    <row r="125" spans="1:8" ht="25.5">
      <c r="A125" s="2" t="s">
        <v>646</v>
      </c>
      <c r="B125" s="2" t="s">
        <v>1044</v>
      </c>
      <c r="C125" s="2" t="s">
        <v>1045</v>
      </c>
      <c r="D125" s="34" t="s">
        <v>3136</v>
      </c>
      <c r="E125" s="33"/>
      <c r="F125" s="33" t="s">
        <v>786</v>
      </c>
      <c r="G125" s="2"/>
      <c r="H125" s="2"/>
    </row>
    <row r="126" spans="1:8" ht="25.5">
      <c r="A126" s="2" t="s">
        <v>646</v>
      </c>
      <c r="B126" s="2" t="s">
        <v>1009</v>
      </c>
      <c r="C126" s="2" t="s">
        <v>1010</v>
      </c>
      <c r="D126" s="34" t="s">
        <v>3136</v>
      </c>
      <c r="E126" s="33"/>
      <c r="F126" s="33" t="s">
        <v>786</v>
      </c>
      <c r="G126" s="2"/>
      <c r="H126" s="2"/>
    </row>
    <row r="127" spans="1:8">
      <c r="A127" s="2" t="s">
        <v>646</v>
      </c>
      <c r="B127" s="2" t="s">
        <v>1007</v>
      </c>
      <c r="C127" s="2" t="s">
        <v>1008</v>
      </c>
      <c r="D127" s="2"/>
      <c r="E127" s="2"/>
      <c r="F127" s="2"/>
      <c r="G127" s="2"/>
      <c r="H127" s="2"/>
    </row>
    <row r="128" spans="1:8">
      <c r="A128" s="2" t="s">
        <v>646</v>
      </c>
      <c r="B128" s="2" t="s">
        <v>1028</v>
      </c>
      <c r="C128" s="2" t="s">
        <v>1029</v>
      </c>
      <c r="D128" s="2"/>
      <c r="E128" s="2"/>
      <c r="F128" s="2"/>
      <c r="G128" s="2"/>
      <c r="H128" s="2"/>
    </row>
    <row r="129" spans="1:8">
      <c r="A129" s="2" t="s">
        <v>1160</v>
      </c>
      <c r="B129" s="2" t="s">
        <v>946</v>
      </c>
      <c r="C129" s="2" t="s">
        <v>806</v>
      </c>
      <c r="D129" s="2"/>
      <c r="E129" s="2"/>
      <c r="F129" s="2"/>
      <c r="G129" s="2"/>
      <c r="H129" s="2"/>
    </row>
    <row r="130" spans="1:8" ht="45">
      <c r="A130" s="2" t="s">
        <v>1160</v>
      </c>
      <c r="B130" s="2" t="s">
        <v>1011</v>
      </c>
      <c r="C130" s="2" t="s">
        <v>1012</v>
      </c>
      <c r="D130" s="2"/>
      <c r="E130" s="2"/>
      <c r="F130" s="2"/>
      <c r="G130" s="191" t="s">
        <v>3140</v>
      </c>
      <c r="H130" s="2"/>
    </row>
    <row r="131" spans="1:8">
      <c r="A131" s="2" t="s">
        <v>1160</v>
      </c>
      <c r="B131" s="2" t="s">
        <v>1198</v>
      </c>
      <c r="C131" s="2" t="s">
        <v>1199</v>
      </c>
      <c r="E131" s="2" t="s">
        <v>3141</v>
      </c>
      <c r="F131" s="2"/>
      <c r="G131" s="2"/>
      <c r="H131" s="2"/>
    </row>
    <row r="132" spans="1:8">
      <c r="A132" s="2" t="s">
        <v>1160</v>
      </c>
      <c r="B132" s="2" t="s">
        <v>1197</v>
      </c>
      <c r="C132" s="2" t="s">
        <v>1133</v>
      </c>
      <c r="D132" s="2" t="s">
        <v>2419</v>
      </c>
      <c r="E132" s="2"/>
      <c r="F132" s="33" t="s">
        <v>786</v>
      </c>
      <c r="G132" s="2"/>
      <c r="H132" s="2"/>
    </row>
    <row r="133" spans="1:8" ht="40.5" customHeight="1">
      <c r="A133" s="2" t="s">
        <v>614</v>
      </c>
      <c r="B133" s="2" t="s">
        <v>1228</v>
      </c>
      <c r="C133" s="2" t="s">
        <v>1229</v>
      </c>
      <c r="D133" s="2" t="s">
        <v>1864</v>
      </c>
      <c r="E133" s="2"/>
      <c r="F133" s="2" t="s">
        <v>804</v>
      </c>
      <c r="G133" s="191" t="s">
        <v>3142</v>
      </c>
      <c r="H133" s="2"/>
    </row>
    <row r="134" spans="1:8">
      <c r="A134" s="2" t="s">
        <v>614</v>
      </c>
      <c r="B134" s="2" t="s">
        <v>1231</v>
      </c>
      <c r="C134" s="2" t="s">
        <v>1232</v>
      </c>
      <c r="D134" s="2" t="s">
        <v>2109</v>
      </c>
      <c r="E134" s="2"/>
      <c r="F134" s="33" t="s">
        <v>786</v>
      </c>
      <c r="G134" s="2"/>
      <c r="H134" s="2"/>
    </row>
    <row r="135" spans="1:8">
      <c r="A135" s="2" t="s">
        <v>614</v>
      </c>
      <c r="B135" s="2" t="s">
        <v>1204</v>
      </c>
      <c r="C135" s="2" t="s">
        <v>1205</v>
      </c>
      <c r="D135" s="2"/>
      <c r="E135" s="2"/>
      <c r="F135" s="2"/>
      <c r="G135" s="2"/>
      <c r="H135" s="2"/>
    </row>
    <row r="136" spans="1:8">
      <c r="A136" s="2" t="s">
        <v>614</v>
      </c>
      <c r="B136" s="2" t="s">
        <v>1212</v>
      </c>
      <c r="C136" s="2" t="s">
        <v>1213</v>
      </c>
      <c r="D136" s="2"/>
      <c r="E136" s="2"/>
      <c r="F136" s="2"/>
      <c r="G136" s="2"/>
      <c r="H136" s="2"/>
    </row>
    <row r="137" spans="1:8">
      <c r="A137" s="2" t="s">
        <v>614</v>
      </c>
      <c r="B137" s="2" t="s">
        <v>1210</v>
      </c>
      <c r="C137" s="2" t="s">
        <v>1211</v>
      </c>
      <c r="D137" s="2"/>
      <c r="E137" s="2"/>
      <c r="F137" s="2"/>
      <c r="G137" s="2"/>
      <c r="H137" s="2"/>
    </row>
    <row r="138" spans="1:8">
      <c r="A138" s="2" t="s">
        <v>614</v>
      </c>
      <c r="B138" s="2" t="s">
        <v>1208</v>
      </c>
      <c r="C138" s="2" t="s">
        <v>1209</v>
      </c>
      <c r="D138" s="2"/>
      <c r="E138" s="2"/>
      <c r="F138" s="2"/>
      <c r="G138" s="2"/>
      <c r="H138" s="2"/>
    </row>
    <row r="139" spans="1:8">
      <c r="A139" s="2" t="s">
        <v>614</v>
      </c>
      <c r="B139" s="2" t="s">
        <v>1224</v>
      </c>
      <c r="C139" s="2" t="s">
        <v>1225</v>
      </c>
      <c r="D139" s="2"/>
      <c r="E139" s="2"/>
      <c r="F139" s="2"/>
      <c r="G139" s="2"/>
      <c r="H139" s="2"/>
    </row>
    <row r="140" spans="1:8">
      <c r="A140" s="2" t="s">
        <v>614</v>
      </c>
      <c r="B140" s="2" t="s">
        <v>1218</v>
      </c>
      <c r="C140" s="2" t="s">
        <v>1219</v>
      </c>
      <c r="D140" s="2"/>
      <c r="E140" s="2"/>
      <c r="F140" s="2"/>
      <c r="G140" s="2"/>
      <c r="H140" s="2"/>
    </row>
    <row r="141" spans="1:8">
      <c r="A141" s="2" t="s">
        <v>614</v>
      </c>
      <c r="B141" s="2" t="s">
        <v>1220</v>
      </c>
      <c r="C141" s="2" t="s">
        <v>1221</v>
      </c>
      <c r="D141" s="2"/>
      <c r="E141" s="2"/>
      <c r="F141" s="2"/>
      <c r="G141" s="2"/>
      <c r="H141" s="2"/>
    </row>
    <row r="142" spans="1:8">
      <c r="A142" s="2" t="s">
        <v>614</v>
      </c>
      <c r="B142" s="2" t="s">
        <v>1222</v>
      </c>
      <c r="C142" s="2" t="s">
        <v>1223</v>
      </c>
      <c r="D142" s="2"/>
      <c r="E142" s="2"/>
      <c r="F142" s="2"/>
      <c r="G142" s="2"/>
      <c r="H142" s="2"/>
    </row>
    <row r="143" spans="1:8">
      <c r="A143" s="2" t="s">
        <v>614</v>
      </c>
      <c r="B143" s="2" t="s">
        <v>1235</v>
      </c>
      <c r="C143" s="2" t="s">
        <v>1236</v>
      </c>
      <c r="D143" s="2"/>
      <c r="E143" s="2"/>
      <c r="F143" s="2"/>
      <c r="G143" s="2"/>
      <c r="H143" s="2"/>
    </row>
    <row r="144" spans="1:8">
      <c r="A144" s="2" t="s">
        <v>614</v>
      </c>
      <c r="B144" s="2" t="s">
        <v>987</v>
      </c>
      <c r="C144" s="2" t="s">
        <v>882</v>
      </c>
      <c r="D144" s="2"/>
      <c r="E144" s="2"/>
      <c r="F144" s="2"/>
      <c r="G144" s="2"/>
      <c r="H144" s="2"/>
    </row>
    <row r="145" spans="1:8">
      <c r="A145" s="2" t="s">
        <v>614</v>
      </c>
      <c r="B145" s="2" t="s">
        <v>990</v>
      </c>
      <c r="C145" s="2" t="s">
        <v>991</v>
      </c>
      <c r="D145" s="2"/>
      <c r="E145" s="2"/>
      <c r="F145" s="2"/>
      <c r="G145" s="2"/>
      <c r="H145" s="2"/>
    </row>
    <row r="146" spans="1:8">
      <c r="A146" s="2" t="s">
        <v>614</v>
      </c>
      <c r="B146" s="2" t="s">
        <v>992</v>
      </c>
      <c r="C146" s="2" t="s">
        <v>993</v>
      </c>
      <c r="D146" s="2"/>
      <c r="E146" s="2"/>
      <c r="F146" s="2"/>
      <c r="G146" s="2"/>
      <c r="H146" s="2"/>
    </row>
    <row r="147" spans="1:8">
      <c r="A147" s="2" t="s">
        <v>614</v>
      </c>
      <c r="B147" s="2" t="s">
        <v>994</v>
      </c>
      <c r="C147" s="2" t="s">
        <v>995</v>
      </c>
      <c r="D147" s="2"/>
      <c r="E147" s="2"/>
      <c r="F147" s="2"/>
      <c r="G147" s="2"/>
      <c r="H147" s="2"/>
    </row>
    <row r="148" spans="1:8">
      <c r="A148" s="2" t="s">
        <v>614</v>
      </c>
      <c r="B148" s="2" t="s">
        <v>1216</v>
      </c>
      <c r="C148" s="2" t="s">
        <v>1217</v>
      </c>
      <c r="D148" s="2"/>
      <c r="E148" s="2"/>
      <c r="F148" s="2"/>
      <c r="G148" s="2"/>
      <c r="H148" s="2"/>
    </row>
    <row r="149" spans="1:8">
      <c r="A149" s="2" t="s">
        <v>614</v>
      </c>
      <c r="B149" s="2" t="s">
        <v>996</v>
      </c>
      <c r="C149" s="2" t="s">
        <v>885</v>
      </c>
      <c r="D149" s="2"/>
      <c r="E149" s="2"/>
      <c r="F149" s="2"/>
      <c r="G149" s="2"/>
      <c r="H149" s="2"/>
    </row>
    <row r="150" spans="1:8">
      <c r="A150" s="2" t="s">
        <v>614</v>
      </c>
      <c r="B150" s="2" t="s">
        <v>1039</v>
      </c>
      <c r="C150" s="2" t="s">
        <v>1040</v>
      </c>
      <c r="D150" s="2"/>
      <c r="E150" s="2"/>
      <c r="F150" s="2"/>
      <c r="G150" s="2"/>
      <c r="H150" s="2"/>
    </row>
    <row r="151" spans="1:8">
      <c r="A151" s="2" t="s">
        <v>614</v>
      </c>
      <c r="B151" s="2" t="s">
        <v>1041</v>
      </c>
      <c r="C151" s="2" t="s">
        <v>1042</v>
      </c>
      <c r="D151" s="2"/>
      <c r="E151" s="2"/>
      <c r="F151" s="2"/>
      <c r="G151" s="2"/>
      <c r="H151" s="2"/>
    </row>
    <row r="152" spans="1:8">
      <c r="A152" s="2" t="s">
        <v>614</v>
      </c>
      <c r="B152" s="2" t="s">
        <v>1000</v>
      </c>
      <c r="C152" s="2" t="s">
        <v>887</v>
      </c>
      <c r="D152" s="2"/>
      <c r="E152" s="2"/>
      <c r="F152" s="2"/>
      <c r="G152" s="2"/>
      <c r="H152" s="2"/>
    </row>
    <row r="153" spans="1:8">
      <c r="A153" s="2" t="s">
        <v>614</v>
      </c>
      <c r="B153" s="2" t="s">
        <v>1043</v>
      </c>
      <c r="C153" s="2" t="s">
        <v>889</v>
      </c>
      <c r="D153" s="2"/>
      <c r="E153" s="2"/>
      <c r="F153" s="2"/>
      <c r="G153" s="2"/>
      <c r="H153" s="2"/>
    </row>
    <row r="154" spans="1:8">
      <c r="A154" s="2" t="s">
        <v>614</v>
      </c>
      <c r="B154" s="2" t="s">
        <v>1024</v>
      </c>
      <c r="C154" s="2" t="s">
        <v>1025</v>
      </c>
      <c r="D154" s="2"/>
      <c r="E154" s="2"/>
      <c r="F154" s="2"/>
      <c r="G154" s="2"/>
      <c r="H154" s="2"/>
    </row>
    <row r="155" spans="1:8">
      <c r="A155" s="2" t="s">
        <v>614</v>
      </c>
      <c r="B155" s="2" t="s">
        <v>1022</v>
      </c>
      <c r="C155" s="2" t="s">
        <v>1023</v>
      </c>
      <c r="D155" s="2"/>
      <c r="E155" s="2"/>
      <c r="F155" s="2"/>
      <c r="G155" s="2"/>
      <c r="H155" s="2"/>
    </row>
    <row r="156" spans="1:8">
      <c r="A156" s="2" t="s">
        <v>614</v>
      </c>
      <c r="B156" s="2" t="s">
        <v>1026</v>
      </c>
      <c r="C156" s="2" t="s">
        <v>1027</v>
      </c>
      <c r="D156" s="2"/>
      <c r="E156" s="2"/>
      <c r="F156" s="2"/>
      <c r="G156" s="2"/>
      <c r="H156" s="2"/>
    </row>
    <row r="157" spans="1:8">
      <c r="A157" s="2" t="s">
        <v>614</v>
      </c>
      <c r="B157" s="2" t="s">
        <v>1047</v>
      </c>
      <c r="C157" s="2" t="s">
        <v>891</v>
      </c>
      <c r="D157" s="33" t="s">
        <v>1188</v>
      </c>
      <c r="E157" s="33"/>
      <c r="F157" s="33" t="s">
        <v>786</v>
      </c>
      <c r="G157" s="2"/>
      <c r="H157" s="2"/>
    </row>
    <row r="158" spans="1:8">
      <c r="A158" s="2" t="s">
        <v>614</v>
      </c>
      <c r="B158" s="2" t="s">
        <v>999</v>
      </c>
      <c r="C158" s="2" t="s">
        <v>893</v>
      </c>
      <c r="D158" s="33" t="s">
        <v>1187</v>
      </c>
      <c r="E158" s="33"/>
      <c r="F158" s="33" t="s">
        <v>786</v>
      </c>
      <c r="G158" s="2"/>
      <c r="H158" s="2"/>
    </row>
    <row r="159" spans="1:8">
      <c r="A159" s="2" t="s">
        <v>614</v>
      </c>
      <c r="B159" s="2" t="s">
        <v>946</v>
      </c>
      <c r="C159" s="2" t="s">
        <v>806</v>
      </c>
      <c r="D159" s="2"/>
      <c r="E159" s="2"/>
      <c r="F159" s="2"/>
      <c r="G159" s="2"/>
      <c r="H159" s="2"/>
    </row>
    <row r="160" spans="1:8">
      <c r="A160" s="2" t="s">
        <v>614</v>
      </c>
      <c r="B160" s="2" t="s">
        <v>1049</v>
      </c>
      <c r="C160" s="2" t="s">
        <v>1050</v>
      </c>
      <c r="D160" s="2"/>
      <c r="E160" s="2"/>
      <c r="F160" s="2"/>
      <c r="G160" s="2"/>
      <c r="H160" s="2"/>
    </row>
    <row r="161" spans="1:8" ht="25.5">
      <c r="A161" s="2" t="s">
        <v>614</v>
      </c>
      <c r="B161" s="2" t="s">
        <v>1215</v>
      </c>
      <c r="C161" s="2" t="s">
        <v>1010</v>
      </c>
      <c r="D161" s="34" t="s">
        <v>3136</v>
      </c>
      <c r="E161" s="33"/>
      <c r="F161" s="33" t="s">
        <v>786</v>
      </c>
      <c r="G161" s="2"/>
      <c r="H161" s="2"/>
    </row>
    <row r="162" spans="1:8">
      <c r="A162" s="2" t="s">
        <v>614</v>
      </c>
      <c r="B162" s="2" t="s">
        <v>1214</v>
      </c>
      <c r="C162" s="2" t="s">
        <v>1010</v>
      </c>
      <c r="D162" s="2"/>
      <c r="E162" s="2"/>
      <c r="F162" s="2"/>
      <c r="G162" s="2"/>
      <c r="H162" s="2"/>
    </row>
    <row r="163" spans="1:8">
      <c r="A163" s="2" t="s">
        <v>614</v>
      </c>
      <c r="B163" s="2" t="s">
        <v>1233</v>
      </c>
      <c r="C163" s="2" t="s">
        <v>1234</v>
      </c>
      <c r="D163" s="2"/>
      <c r="E163" s="2"/>
      <c r="F163" s="2"/>
      <c r="G163" s="2"/>
      <c r="H163" s="2"/>
    </row>
    <row r="164" spans="1:8">
      <c r="A164" s="2" t="s">
        <v>614</v>
      </c>
      <c r="B164" s="2" t="s">
        <v>1202</v>
      </c>
      <c r="C164" s="2" t="s">
        <v>1203</v>
      </c>
      <c r="D164" s="2"/>
      <c r="E164" s="2"/>
      <c r="F164" s="2"/>
      <c r="G164" s="2"/>
      <c r="H164" s="2"/>
    </row>
    <row r="165" spans="1:8">
      <c r="A165" s="2" t="s">
        <v>614</v>
      </c>
      <c r="B165" s="2" t="s">
        <v>1206</v>
      </c>
      <c r="C165" s="2" t="s">
        <v>1207</v>
      </c>
      <c r="D165" s="2"/>
      <c r="E165" s="2"/>
      <c r="F165" s="2"/>
      <c r="G165" s="2"/>
      <c r="H165" s="2"/>
    </row>
    <row r="166" spans="1:8">
      <c r="A166" s="2" t="s">
        <v>1171</v>
      </c>
      <c r="B166" s="2" t="s">
        <v>1204</v>
      </c>
      <c r="C166" s="2" t="s">
        <v>1205</v>
      </c>
      <c r="D166" s="2"/>
      <c r="E166" s="2"/>
      <c r="F166" s="2"/>
      <c r="G166" s="2"/>
      <c r="H166" s="2"/>
    </row>
    <row r="167" spans="1:8">
      <c r="A167" s="2" t="s">
        <v>1171</v>
      </c>
      <c r="B167" s="2" t="s">
        <v>1635</v>
      </c>
      <c r="C167" s="2" t="s">
        <v>1636</v>
      </c>
      <c r="D167" s="2"/>
      <c r="E167" s="2"/>
      <c r="F167" s="2"/>
      <c r="G167" s="2"/>
      <c r="H167" s="2"/>
    </row>
    <row r="168" spans="1:8">
      <c r="A168" s="2" t="s">
        <v>1171</v>
      </c>
      <c r="B168" s="2" t="s">
        <v>1817</v>
      </c>
      <c r="C168" s="2" t="s">
        <v>1818</v>
      </c>
      <c r="D168" s="2" t="s">
        <v>3143</v>
      </c>
      <c r="E168" s="2"/>
      <c r="F168" s="33" t="s">
        <v>786</v>
      </c>
      <c r="G168" s="2"/>
      <c r="H168" s="2"/>
    </row>
    <row r="169" spans="1:8" ht="25.5">
      <c r="A169" s="2" t="s">
        <v>1171</v>
      </c>
      <c r="B169" s="2" t="s">
        <v>1814</v>
      </c>
      <c r="C169" s="2" t="s">
        <v>1815</v>
      </c>
      <c r="D169" s="34" t="s">
        <v>3136</v>
      </c>
      <c r="E169" s="33"/>
      <c r="F169" s="33" t="s">
        <v>786</v>
      </c>
      <c r="G169" s="2"/>
      <c r="H169" s="2"/>
    </row>
    <row r="170" spans="1:8" ht="63.75">
      <c r="A170" s="2" t="s">
        <v>1171</v>
      </c>
      <c r="B170" s="2" t="s">
        <v>1735</v>
      </c>
      <c r="C170" s="2" t="s">
        <v>911</v>
      </c>
      <c r="D170" s="124" t="s">
        <v>2495</v>
      </c>
      <c r="E170" s="124" t="s">
        <v>3144</v>
      </c>
      <c r="F170" s="185" t="s">
        <v>3145</v>
      </c>
      <c r="G170" s="2"/>
      <c r="H170" s="2"/>
    </row>
    <row r="171" spans="1:8">
      <c r="A171" s="2" t="s">
        <v>1171</v>
      </c>
      <c r="B171" s="2" t="s">
        <v>1682</v>
      </c>
      <c r="C171" s="2" t="s">
        <v>1683</v>
      </c>
      <c r="D171" s="2"/>
      <c r="E171" s="2"/>
      <c r="F171" s="2"/>
      <c r="G171" s="2"/>
      <c r="H171" s="2"/>
    </row>
    <row r="172" spans="1:8">
      <c r="A172" s="2" t="s">
        <v>1171</v>
      </c>
      <c r="B172" s="2" t="s">
        <v>1664</v>
      </c>
      <c r="C172" s="2" t="s">
        <v>1665</v>
      </c>
      <c r="D172" s="2"/>
      <c r="E172" s="2"/>
      <c r="F172" s="2"/>
      <c r="G172" s="2"/>
      <c r="H172" s="2"/>
    </row>
    <row r="173" spans="1:8">
      <c r="A173" s="2" t="s">
        <v>1171</v>
      </c>
      <c r="B173" s="2" t="s">
        <v>1802</v>
      </c>
      <c r="C173" s="2" t="s">
        <v>1803</v>
      </c>
      <c r="D173" s="2"/>
      <c r="E173" s="2"/>
      <c r="F173" s="2"/>
      <c r="G173" s="2"/>
      <c r="H173" s="2"/>
    </row>
    <row r="174" spans="1:8">
      <c r="A174" s="2" t="s">
        <v>1171</v>
      </c>
      <c r="B174" s="2" t="s">
        <v>1637</v>
      </c>
      <c r="C174" s="2" t="s">
        <v>1638</v>
      </c>
      <c r="D174" s="2"/>
      <c r="E174" s="2"/>
      <c r="F174" s="2"/>
      <c r="G174" s="2"/>
      <c r="H174" s="2"/>
    </row>
    <row r="175" spans="1:8">
      <c r="A175" s="2" t="s">
        <v>1171</v>
      </c>
      <c r="B175" s="2" t="s">
        <v>1775</v>
      </c>
      <c r="C175" s="2" t="s">
        <v>1776</v>
      </c>
      <c r="D175" s="2"/>
      <c r="E175" s="2"/>
      <c r="F175" s="2"/>
      <c r="G175" s="2"/>
      <c r="H175" s="2"/>
    </row>
    <row r="176" spans="1:8">
      <c r="A176" s="2" t="s">
        <v>1171</v>
      </c>
      <c r="B176" s="2" t="s">
        <v>1782</v>
      </c>
      <c r="C176" s="2" t="s">
        <v>1783</v>
      </c>
      <c r="D176" s="2"/>
      <c r="E176" s="2"/>
      <c r="F176" s="2"/>
      <c r="G176" s="2"/>
      <c r="H176" s="2"/>
    </row>
    <row r="177" spans="1:8">
      <c r="A177" s="2" t="s">
        <v>1171</v>
      </c>
      <c r="B177" s="2" t="s">
        <v>1819</v>
      </c>
      <c r="C177" s="2" t="s">
        <v>1820</v>
      </c>
      <c r="D177" s="2"/>
      <c r="E177" s="2"/>
      <c r="F177" s="2"/>
      <c r="G177" s="2"/>
      <c r="H177" s="2"/>
    </row>
    <row r="178" spans="1:8" ht="40.5" customHeight="1">
      <c r="A178" s="2" t="s">
        <v>1171</v>
      </c>
      <c r="B178" s="2" t="s">
        <v>1779</v>
      </c>
      <c r="C178" s="2" t="s">
        <v>1229</v>
      </c>
      <c r="D178" s="2"/>
      <c r="E178" s="2"/>
      <c r="F178" s="2"/>
      <c r="G178" s="191" t="s">
        <v>3146</v>
      </c>
      <c r="H178" s="2"/>
    </row>
    <row r="179" spans="1:8">
      <c r="A179" s="2" t="s">
        <v>1171</v>
      </c>
      <c r="B179" s="2" t="s">
        <v>1823</v>
      </c>
      <c r="C179" s="2" t="s">
        <v>1824</v>
      </c>
      <c r="D179" s="2"/>
      <c r="E179" s="2"/>
      <c r="F179" s="2"/>
      <c r="G179" s="2"/>
      <c r="H179" s="2"/>
    </row>
    <row r="180" spans="1:8">
      <c r="A180" s="2" t="s">
        <v>1171</v>
      </c>
      <c r="B180" s="2" t="s">
        <v>1833</v>
      </c>
      <c r="C180" s="2" t="s">
        <v>1834</v>
      </c>
      <c r="D180" s="2"/>
      <c r="E180" s="2"/>
      <c r="F180" s="2"/>
      <c r="G180" s="2"/>
      <c r="H180" s="2"/>
    </row>
    <row r="181" spans="1:8">
      <c r="A181" s="2" t="s">
        <v>1171</v>
      </c>
      <c r="B181" s="2" t="s">
        <v>946</v>
      </c>
      <c r="C181" s="2" t="s">
        <v>806</v>
      </c>
      <c r="D181" s="2"/>
      <c r="E181" s="2"/>
      <c r="F181" s="2"/>
      <c r="G181" s="2"/>
      <c r="H181" s="2"/>
    </row>
    <row r="182" spans="1:8">
      <c r="A182" s="2" t="s">
        <v>1171</v>
      </c>
      <c r="B182" s="2" t="s">
        <v>1752</v>
      </c>
      <c r="C182" s="2" t="s">
        <v>1753</v>
      </c>
      <c r="D182" s="2"/>
      <c r="E182" s="2"/>
      <c r="F182" s="2"/>
      <c r="G182" s="2"/>
      <c r="H182" s="2"/>
    </row>
    <row r="183" spans="1:8">
      <c r="A183" s="2" t="s">
        <v>1171</v>
      </c>
      <c r="B183" s="2" t="s">
        <v>1788</v>
      </c>
      <c r="C183" s="2" t="s">
        <v>1789</v>
      </c>
      <c r="D183" s="2"/>
      <c r="E183" s="2"/>
      <c r="F183" s="2"/>
      <c r="G183" s="2"/>
      <c r="H183" s="2"/>
    </row>
    <row r="184" spans="1:8">
      <c r="A184" s="2" t="s">
        <v>1171</v>
      </c>
      <c r="B184" s="2" t="s">
        <v>1794</v>
      </c>
      <c r="C184" s="2" t="s">
        <v>1795</v>
      </c>
      <c r="D184" s="2"/>
      <c r="E184" s="2"/>
      <c r="F184" s="2"/>
      <c r="G184" s="2"/>
      <c r="H184" s="2"/>
    </row>
    <row r="185" spans="1:8">
      <c r="A185" s="2" t="s">
        <v>1171</v>
      </c>
      <c r="B185" s="2" t="s">
        <v>1780</v>
      </c>
      <c r="C185" s="2" t="s">
        <v>1781</v>
      </c>
      <c r="D185" s="2"/>
      <c r="E185" s="2"/>
      <c r="F185" s="2"/>
      <c r="G185" s="2"/>
      <c r="H185" s="2"/>
    </row>
    <row r="186" spans="1:8" ht="25.5">
      <c r="A186" s="2" t="s">
        <v>1171</v>
      </c>
      <c r="B186" s="2" t="s">
        <v>1831</v>
      </c>
      <c r="C186" s="2" t="s">
        <v>1832</v>
      </c>
      <c r="D186" s="34" t="s">
        <v>3136</v>
      </c>
      <c r="E186" s="33"/>
      <c r="F186" s="2" t="s">
        <v>804</v>
      </c>
      <c r="G186" s="2"/>
      <c r="H186" s="2"/>
    </row>
    <row r="187" spans="1:8" ht="25.5">
      <c r="A187" s="2" t="s">
        <v>1171</v>
      </c>
      <c r="B187" s="2" t="s">
        <v>1827</v>
      </c>
      <c r="C187" s="2" t="s">
        <v>1828</v>
      </c>
      <c r="D187" s="34" t="s">
        <v>3136</v>
      </c>
      <c r="E187" s="33"/>
      <c r="F187" s="2" t="s">
        <v>804</v>
      </c>
      <c r="G187" s="2"/>
      <c r="H187" s="2"/>
    </row>
    <row r="188" spans="1:8">
      <c r="A188" s="2" t="s">
        <v>1171</v>
      </c>
      <c r="B188" s="2" t="s">
        <v>1829</v>
      </c>
      <c r="C188" s="2" t="s">
        <v>1830</v>
      </c>
      <c r="D188" s="2"/>
      <c r="E188" s="2"/>
      <c r="F188" s="2"/>
      <c r="G188" s="2"/>
      <c r="H188" s="2"/>
    </row>
    <row r="189" spans="1:8">
      <c r="A189" s="2" t="s">
        <v>1171</v>
      </c>
      <c r="B189" s="2" t="s">
        <v>1825</v>
      </c>
      <c r="C189" s="2" t="s">
        <v>1826</v>
      </c>
      <c r="D189" s="2"/>
      <c r="E189" s="2"/>
      <c r="F189" s="2"/>
      <c r="G189" s="2"/>
      <c r="H189" s="2"/>
    </row>
    <row r="190" spans="1:8">
      <c r="A190" s="2" t="s">
        <v>1171</v>
      </c>
      <c r="B190" s="2" t="s">
        <v>1777</v>
      </c>
      <c r="C190" s="2" t="s">
        <v>1778</v>
      </c>
      <c r="D190" s="2"/>
      <c r="E190" s="2"/>
      <c r="F190" s="2"/>
      <c r="G190" s="2"/>
      <c r="H190" s="2"/>
    </row>
    <row r="191" spans="1:8">
      <c r="A191" s="2" t="s">
        <v>1171</v>
      </c>
      <c r="B191" s="2" t="s">
        <v>1784</v>
      </c>
      <c r="C191" s="2" t="s">
        <v>1785</v>
      </c>
      <c r="D191" s="2"/>
      <c r="E191" s="2"/>
      <c r="F191" s="2"/>
      <c r="G191" s="2"/>
      <c r="H191" s="2"/>
    </row>
    <row r="192" spans="1:8">
      <c r="A192" s="2" t="s">
        <v>1171</v>
      </c>
      <c r="B192" s="2" t="s">
        <v>1792</v>
      </c>
      <c r="C192" s="2" t="s">
        <v>1793</v>
      </c>
      <c r="D192" s="2"/>
      <c r="E192" s="2"/>
      <c r="F192" s="2"/>
      <c r="G192" s="2"/>
      <c r="H192" s="2"/>
    </row>
    <row r="193" spans="1:8" ht="25.5">
      <c r="A193" s="2" t="s">
        <v>1171</v>
      </c>
      <c r="B193" s="2" t="s">
        <v>1790</v>
      </c>
      <c r="C193" s="2" t="s">
        <v>1791</v>
      </c>
      <c r="D193" s="34" t="s">
        <v>3136</v>
      </c>
      <c r="E193" s="33"/>
      <c r="F193" s="2" t="s">
        <v>804</v>
      </c>
      <c r="G193" s="2"/>
      <c r="H193" s="2"/>
    </row>
    <row r="194" spans="1:8" ht="25.5">
      <c r="A194" s="2" t="s">
        <v>1171</v>
      </c>
      <c r="B194" s="2" t="s">
        <v>1821</v>
      </c>
      <c r="C194" s="2" t="s">
        <v>1822</v>
      </c>
      <c r="D194" s="34" t="s">
        <v>3136</v>
      </c>
      <c r="E194" s="33"/>
      <c r="F194" s="2" t="s">
        <v>804</v>
      </c>
      <c r="G194" s="2"/>
      <c r="H194" s="2"/>
    </row>
    <row r="195" spans="1:8" ht="25.5">
      <c r="A195" s="2" t="s">
        <v>1171</v>
      </c>
      <c r="B195" s="2" t="s">
        <v>1808</v>
      </c>
      <c r="C195" s="2" t="s">
        <v>1809</v>
      </c>
      <c r="D195" s="34" t="s">
        <v>3136</v>
      </c>
      <c r="E195" s="33"/>
      <c r="F195" s="2" t="s">
        <v>804</v>
      </c>
      <c r="G195" s="2"/>
      <c r="H195" s="2"/>
    </row>
    <row r="196" spans="1:8">
      <c r="A196" s="2" t="s">
        <v>1171</v>
      </c>
      <c r="B196" s="2" t="s">
        <v>1804</v>
      </c>
      <c r="C196" s="2" t="s">
        <v>1805</v>
      </c>
      <c r="D196" s="2"/>
      <c r="E196" s="2"/>
      <c r="F196" s="2"/>
      <c r="G196" s="2"/>
      <c r="H196" s="2"/>
    </row>
    <row r="197" spans="1:8">
      <c r="A197" s="2" t="s">
        <v>1171</v>
      </c>
      <c r="B197" s="2" t="s">
        <v>1806</v>
      </c>
      <c r="C197" s="2" t="s">
        <v>1807</v>
      </c>
      <c r="D197" s="2"/>
      <c r="E197" s="2"/>
      <c r="F197" s="2"/>
      <c r="G197" s="2"/>
      <c r="H197" s="2"/>
    </row>
    <row r="198" spans="1:8">
      <c r="A198" s="2" t="s">
        <v>1171</v>
      </c>
      <c r="B198" s="2" t="s">
        <v>1796</v>
      </c>
      <c r="C198" s="2" t="s">
        <v>1797</v>
      </c>
      <c r="D198" s="2"/>
      <c r="E198" s="2"/>
      <c r="F198" s="2"/>
      <c r="G198" s="2"/>
      <c r="H198" s="2"/>
    </row>
    <row r="199" spans="1:8">
      <c r="A199" s="2" t="s">
        <v>1171</v>
      </c>
      <c r="B199" s="2" t="s">
        <v>1800</v>
      </c>
      <c r="C199" s="2" t="s">
        <v>1801</v>
      </c>
      <c r="D199" s="2"/>
      <c r="E199" s="2"/>
      <c r="F199" s="2"/>
      <c r="G199" s="2"/>
      <c r="H199" s="2"/>
    </row>
    <row r="200" spans="1:8">
      <c r="A200" s="2" t="s">
        <v>1171</v>
      </c>
      <c r="B200" s="2" t="s">
        <v>1786</v>
      </c>
      <c r="C200" s="2" t="s">
        <v>1787</v>
      </c>
      <c r="D200" s="2"/>
      <c r="E200" s="2"/>
      <c r="F200" s="2"/>
      <c r="G200" s="2"/>
      <c r="H200" s="2"/>
    </row>
    <row r="201" spans="1:8">
      <c r="A201" s="2" t="s">
        <v>1171</v>
      </c>
      <c r="B201" s="2" t="s">
        <v>1810</v>
      </c>
      <c r="C201" s="2" t="s">
        <v>1811</v>
      </c>
      <c r="D201" s="2"/>
      <c r="E201" s="2"/>
      <c r="F201" s="2"/>
      <c r="G201" s="2"/>
      <c r="H201" s="2"/>
    </row>
    <row r="202" spans="1:8">
      <c r="A202" s="2" t="s">
        <v>1171</v>
      </c>
      <c r="B202" s="2" t="s">
        <v>1798</v>
      </c>
      <c r="C202" s="2" t="s">
        <v>1799</v>
      </c>
      <c r="D202" s="2"/>
      <c r="E202" s="2"/>
      <c r="F202" s="2"/>
      <c r="G202" s="2"/>
      <c r="H202" s="2"/>
    </row>
    <row r="286" spans="1:8">
      <c r="A286" s="3" t="s">
        <v>646</v>
      </c>
      <c r="B286" s="156" t="s">
        <v>1049</v>
      </c>
      <c r="C286" s="3" t="s">
        <v>1050</v>
      </c>
      <c r="D286" s="3" t="s">
        <v>1185</v>
      </c>
      <c r="E286" s="3"/>
      <c r="F286" s="3" t="s">
        <v>786</v>
      </c>
      <c r="G286" s="3"/>
      <c r="H286" s="3"/>
    </row>
    <row r="287" spans="1:8">
      <c r="A287" s="3" t="s">
        <v>646</v>
      </c>
      <c r="B287" s="156" t="s">
        <v>984</v>
      </c>
      <c r="C287" s="33" t="s">
        <v>985</v>
      </c>
      <c r="D287" s="33" t="s">
        <v>1186</v>
      </c>
      <c r="E287" s="33"/>
      <c r="F287" s="33" t="s">
        <v>804</v>
      </c>
      <c r="G287" s="33"/>
      <c r="H287" s="33"/>
    </row>
    <row r="288" spans="1:8">
      <c r="A288" s="3" t="s">
        <v>646</v>
      </c>
      <c r="B288" s="156" t="s">
        <v>999</v>
      </c>
      <c r="C288" s="33" t="s">
        <v>893</v>
      </c>
      <c r="D288" s="33" t="s">
        <v>1187</v>
      </c>
      <c r="E288" s="33"/>
      <c r="F288" s="33" t="s">
        <v>786</v>
      </c>
      <c r="G288" s="33"/>
      <c r="H288" s="33"/>
    </row>
    <row r="289" spans="1:8">
      <c r="A289" s="3" t="s">
        <v>646</v>
      </c>
      <c r="B289" s="156" t="s">
        <v>1043</v>
      </c>
      <c r="C289" s="33" t="s">
        <v>889</v>
      </c>
      <c r="D289" s="33" t="s">
        <v>725</v>
      </c>
      <c r="E289" s="33"/>
      <c r="F289" s="33" t="s">
        <v>725</v>
      </c>
      <c r="G289" s="33"/>
      <c r="H289" s="33"/>
    </row>
    <row r="290" spans="1:8">
      <c r="A290" s="3" t="s">
        <v>646</v>
      </c>
      <c r="B290" s="156" t="s">
        <v>987</v>
      </c>
      <c r="C290" s="33" t="s">
        <v>882</v>
      </c>
      <c r="D290" s="33" t="s">
        <v>725</v>
      </c>
      <c r="E290" s="33"/>
      <c r="F290" s="33" t="s">
        <v>725</v>
      </c>
      <c r="G290" s="33"/>
      <c r="H290" s="33"/>
    </row>
    <row r="291" spans="1:8">
      <c r="A291" s="3" t="s">
        <v>646</v>
      </c>
      <c r="B291" s="156" t="s">
        <v>988</v>
      </c>
      <c r="C291" s="33" t="s">
        <v>989</v>
      </c>
      <c r="D291" s="33" t="s">
        <v>725</v>
      </c>
      <c r="E291" s="33"/>
      <c r="F291" s="33" t="s">
        <v>725</v>
      </c>
      <c r="G291" s="33"/>
      <c r="H291" s="33"/>
    </row>
    <row r="292" spans="1:8">
      <c r="A292" s="3" t="s">
        <v>646</v>
      </c>
      <c r="B292" s="156" t="s">
        <v>990</v>
      </c>
      <c r="C292" s="33" t="s">
        <v>991</v>
      </c>
      <c r="D292" s="33" t="s">
        <v>725</v>
      </c>
      <c r="E292" s="33"/>
      <c r="F292" s="33" t="s">
        <v>725</v>
      </c>
      <c r="G292" s="33"/>
      <c r="H292" s="33"/>
    </row>
    <row r="293" spans="1:8">
      <c r="A293" s="3" t="s">
        <v>646</v>
      </c>
      <c r="B293" s="156" t="s">
        <v>992</v>
      </c>
      <c r="C293" s="33" t="s">
        <v>993</v>
      </c>
      <c r="D293" s="33" t="s">
        <v>725</v>
      </c>
      <c r="E293" s="33"/>
      <c r="F293" s="33" t="s">
        <v>725</v>
      </c>
      <c r="G293" s="33"/>
      <c r="H293" s="33"/>
    </row>
    <row r="294" spans="1:8">
      <c r="A294" s="3" t="s">
        <v>646</v>
      </c>
      <c r="B294" s="156" t="s">
        <v>994</v>
      </c>
      <c r="C294" s="33" t="s">
        <v>995</v>
      </c>
      <c r="D294" s="33" t="s">
        <v>725</v>
      </c>
      <c r="E294" s="33"/>
      <c r="F294" s="33" t="s">
        <v>725</v>
      </c>
      <c r="G294" s="33"/>
      <c r="H294" s="33"/>
    </row>
    <row r="295" spans="1:8">
      <c r="A295" s="3" t="s">
        <v>646</v>
      </c>
      <c r="B295" s="156" t="s">
        <v>996</v>
      </c>
      <c r="C295" s="33" t="s">
        <v>885</v>
      </c>
      <c r="D295" s="33" t="s">
        <v>725</v>
      </c>
      <c r="E295" s="33"/>
      <c r="F295" s="33" t="s">
        <v>725</v>
      </c>
      <c r="G295" s="33"/>
      <c r="H295" s="33"/>
    </row>
    <row r="296" spans="1:8">
      <c r="A296" s="3" t="s">
        <v>646</v>
      </c>
      <c r="B296" s="156" t="s">
        <v>997</v>
      </c>
      <c r="C296" s="33" t="s">
        <v>998</v>
      </c>
      <c r="D296" s="33" t="s">
        <v>725</v>
      </c>
      <c r="E296" s="33"/>
      <c r="F296" s="33" t="s">
        <v>725</v>
      </c>
      <c r="G296" s="33"/>
      <c r="H296" s="33"/>
    </row>
    <row r="297" spans="1:8">
      <c r="A297" s="3" t="s">
        <v>646</v>
      </c>
      <c r="B297" s="156" t="s">
        <v>1039</v>
      </c>
      <c r="C297" s="33" t="s">
        <v>1040</v>
      </c>
      <c r="D297" s="33" t="s">
        <v>725</v>
      </c>
      <c r="E297" s="33"/>
      <c r="F297" s="33" t="s">
        <v>725</v>
      </c>
      <c r="G297" s="33"/>
      <c r="H297" s="33"/>
    </row>
    <row r="298" spans="1:8">
      <c r="A298" s="3" t="s">
        <v>646</v>
      </c>
      <c r="B298" s="156" t="s">
        <v>1041</v>
      </c>
      <c r="C298" s="33" t="s">
        <v>1042</v>
      </c>
      <c r="D298" s="33" t="s">
        <v>725</v>
      </c>
      <c r="E298" s="33"/>
      <c r="F298" s="33" t="s">
        <v>725</v>
      </c>
      <c r="G298" s="33"/>
      <c r="H298" s="33"/>
    </row>
    <row r="299" spans="1:8">
      <c r="A299" s="3" t="s">
        <v>646</v>
      </c>
      <c r="B299" s="156" t="s">
        <v>1000</v>
      </c>
      <c r="C299" s="33" t="s">
        <v>887</v>
      </c>
      <c r="D299" s="33" t="s">
        <v>725</v>
      </c>
      <c r="E299" s="33"/>
      <c r="F299" s="33" t="s">
        <v>725</v>
      </c>
      <c r="G299" s="33"/>
      <c r="H299" s="33"/>
    </row>
    <row r="300" spans="1:8">
      <c r="A300" s="3" t="s">
        <v>646</v>
      </c>
      <c r="B300" s="156" t="s">
        <v>1024</v>
      </c>
      <c r="C300" s="33" t="s">
        <v>1025</v>
      </c>
      <c r="D300" s="33" t="s">
        <v>725</v>
      </c>
      <c r="E300" s="33"/>
      <c r="F300" s="33" t="s">
        <v>725</v>
      </c>
      <c r="G300" s="33"/>
      <c r="H300" s="33"/>
    </row>
    <row r="301" spans="1:8">
      <c r="A301" s="3" t="s">
        <v>646</v>
      </c>
      <c r="B301" s="156" t="s">
        <v>1022</v>
      </c>
      <c r="C301" s="33" t="s">
        <v>1023</v>
      </c>
      <c r="D301" s="33" t="s">
        <v>725</v>
      </c>
      <c r="E301" s="33"/>
      <c r="F301" s="33" t="s">
        <v>725</v>
      </c>
      <c r="G301" s="33"/>
      <c r="H301" s="33"/>
    </row>
    <row r="302" spans="1:8">
      <c r="A302" s="3" t="s">
        <v>646</v>
      </c>
      <c r="B302" s="156" t="s">
        <v>1026</v>
      </c>
      <c r="C302" s="33" t="s">
        <v>1027</v>
      </c>
      <c r="D302" s="33" t="s">
        <v>725</v>
      </c>
      <c r="E302" s="33"/>
      <c r="F302" s="33" t="s">
        <v>725</v>
      </c>
      <c r="G302" s="33"/>
      <c r="H302" s="33"/>
    </row>
    <row r="303" spans="1:8">
      <c r="A303" s="3" t="s">
        <v>646</v>
      </c>
      <c r="B303" s="156" t="s">
        <v>1047</v>
      </c>
      <c r="C303" s="33" t="s">
        <v>891</v>
      </c>
      <c r="D303" s="33" t="s">
        <v>1188</v>
      </c>
      <c r="E303" s="33"/>
      <c r="F303" s="33" t="s">
        <v>786</v>
      </c>
      <c r="G303" s="33"/>
      <c r="H303" s="33"/>
    </row>
    <row r="304" spans="1:8">
      <c r="A304" s="3" t="s">
        <v>646</v>
      </c>
      <c r="B304" s="156" t="s">
        <v>928</v>
      </c>
      <c r="C304" s="33" t="s">
        <v>784</v>
      </c>
      <c r="D304" s="33" t="s">
        <v>785</v>
      </c>
      <c r="E304" s="33"/>
      <c r="F304" s="33" t="s">
        <v>786</v>
      </c>
      <c r="G304" s="33"/>
      <c r="H304" s="33"/>
    </row>
    <row r="305" spans="1:8">
      <c r="A305" s="3" t="s">
        <v>646</v>
      </c>
      <c r="B305" s="156" t="s">
        <v>924</v>
      </c>
      <c r="C305" s="33" t="s">
        <v>564</v>
      </c>
      <c r="D305" s="33" t="s">
        <v>788</v>
      </c>
      <c r="E305" s="33"/>
      <c r="F305" s="33" t="s">
        <v>786</v>
      </c>
      <c r="G305" s="33"/>
      <c r="H305" s="33"/>
    </row>
    <row r="306" spans="1:8">
      <c r="A306" s="3" t="s">
        <v>646</v>
      </c>
      <c r="B306" s="156" t="s">
        <v>926</v>
      </c>
      <c r="C306" s="33" t="s">
        <v>802</v>
      </c>
      <c r="D306" s="33" t="s">
        <v>803</v>
      </c>
      <c r="E306" s="33"/>
      <c r="F306" s="33" t="s">
        <v>804</v>
      </c>
      <c r="G306" s="33"/>
      <c r="H306" s="33"/>
    </row>
    <row r="307" spans="1:8">
      <c r="A307" s="3" t="s">
        <v>646</v>
      </c>
      <c r="B307" s="156" t="s">
        <v>945</v>
      </c>
      <c r="C307" s="33" t="s">
        <v>800</v>
      </c>
      <c r="D307" s="33" t="s">
        <v>725</v>
      </c>
      <c r="E307" s="33"/>
      <c r="F307" s="33" t="s">
        <v>725</v>
      </c>
      <c r="G307" s="33"/>
      <c r="H307" s="33"/>
    </row>
    <row r="308" spans="1:8">
      <c r="A308" s="3" t="s">
        <v>646</v>
      </c>
      <c r="B308" s="156" t="s">
        <v>933</v>
      </c>
      <c r="C308" s="33" t="s">
        <v>798</v>
      </c>
      <c r="D308" s="33" t="s">
        <v>725</v>
      </c>
      <c r="E308" s="33"/>
      <c r="F308" s="33" t="s">
        <v>725</v>
      </c>
      <c r="G308" s="33"/>
      <c r="H308" s="33"/>
    </row>
    <row r="309" spans="1:8">
      <c r="A309" s="3" t="s">
        <v>646</v>
      </c>
      <c r="B309" s="156" t="s">
        <v>922</v>
      </c>
      <c r="C309" s="33" t="s">
        <v>923</v>
      </c>
      <c r="D309" s="33" t="s">
        <v>725</v>
      </c>
      <c r="E309" s="33"/>
      <c r="F309" s="33" t="s">
        <v>725</v>
      </c>
      <c r="G309" s="33"/>
      <c r="H309" s="33"/>
    </row>
    <row r="310" spans="1:8">
      <c r="A310" s="3" t="s">
        <v>646</v>
      </c>
      <c r="B310" s="156" t="s">
        <v>946</v>
      </c>
      <c r="C310" s="33" t="s">
        <v>806</v>
      </c>
      <c r="D310" s="33" t="s">
        <v>725</v>
      </c>
      <c r="E310" s="33"/>
      <c r="F310" s="33" t="s">
        <v>725</v>
      </c>
      <c r="G310" s="33"/>
      <c r="H310" s="33"/>
    </row>
    <row r="311" spans="1:8">
      <c r="A311" s="3" t="s">
        <v>646</v>
      </c>
      <c r="B311" s="156" t="s">
        <v>1031</v>
      </c>
      <c r="C311" s="33" t="s">
        <v>1032</v>
      </c>
      <c r="D311" s="33" t="s">
        <v>1033</v>
      </c>
      <c r="E311" s="33"/>
      <c r="F311" s="33" t="s">
        <v>804</v>
      </c>
      <c r="G311" s="33"/>
      <c r="H311" s="33"/>
    </row>
    <row r="312" spans="1:8">
      <c r="A312" s="3" t="s">
        <v>646</v>
      </c>
      <c r="B312" s="156" t="s">
        <v>1003</v>
      </c>
      <c r="C312" s="33" t="s">
        <v>895</v>
      </c>
      <c r="D312" s="33" t="s">
        <v>725</v>
      </c>
      <c r="E312" s="33"/>
      <c r="F312" s="33" t="s">
        <v>725</v>
      </c>
      <c r="G312" s="33"/>
      <c r="H312" s="33"/>
    </row>
    <row r="313" spans="1:8" ht="25.5">
      <c r="A313" s="3" t="s">
        <v>646</v>
      </c>
      <c r="B313" s="156" t="s">
        <v>1016</v>
      </c>
      <c r="C313" s="33" t="s">
        <v>1017</v>
      </c>
      <c r="D313" s="34" t="s">
        <v>1189</v>
      </c>
      <c r="E313" s="33"/>
      <c r="F313" s="33" t="s">
        <v>804</v>
      </c>
      <c r="G313" s="33"/>
      <c r="H313" s="33"/>
    </row>
    <row r="314" spans="1:8">
      <c r="A314" s="3" t="s">
        <v>646</v>
      </c>
      <c r="B314" s="156" t="s">
        <v>1011</v>
      </c>
      <c r="C314" s="33" t="s">
        <v>1012</v>
      </c>
      <c r="D314" s="33" t="s">
        <v>725</v>
      </c>
      <c r="E314" s="33"/>
      <c r="F314" s="33" t="s">
        <v>725</v>
      </c>
      <c r="G314" s="33"/>
      <c r="H314" s="33"/>
    </row>
    <row r="315" spans="1:8">
      <c r="A315" s="3" t="s">
        <v>646</v>
      </c>
      <c r="B315" s="156" t="s">
        <v>1004</v>
      </c>
      <c r="C315" s="33" t="s">
        <v>897</v>
      </c>
      <c r="D315" s="33" t="s">
        <v>725</v>
      </c>
      <c r="E315" s="33"/>
      <c r="F315" s="33" t="s">
        <v>725</v>
      </c>
      <c r="G315" s="33"/>
      <c r="H315" s="33"/>
    </row>
    <row r="316" spans="1:8">
      <c r="A316" s="3" t="s">
        <v>646</v>
      </c>
      <c r="B316" s="156" t="s">
        <v>1037</v>
      </c>
      <c r="C316" s="33" t="s">
        <v>1038</v>
      </c>
      <c r="D316" s="33" t="s">
        <v>725</v>
      </c>
      <c r="E316" s="33"/>
      <c r="F316" s="33" t="s">
        <v>725</v>
      </c>
      <c r="G316" s="33"/>
      <c r="H316" s="33"/>
    </row>
    <row r="317" spans="1:8">
      <c r="A317" s="3" t="s">
        <v>646</v>
      </c>
      <c r="B317" s="156" t="s">
        <v>1192</v>
      </c>
      <c r="C317" s="33" t="s">
        <v>1021</v>
      </c>
      <c r="D317" s="33" t="s">
        <v>1193</v>
      </c>
      <c r="E317" s="33"/>
      <c r="F317" s="33" t="s">
        <v>804</v>
      </c>
      <c r="G317" s="33"/>
      <c r="H317" s="33"/>
    </row>
    <row r="318" spans="1:8">
      <c r="A318" s="3" t="s">
        <v>646</v>
      </c>
      <c r="B318" s="156" t="s">
        <v>1034</v>
      </c>
      <c r="C318" s="33" t="s">
        <v>1035</v>
      </c>
      <c r="D318" s="33" t="s">
        <v>1194</v>
      </c>
      <c r="E318" s="33"/>
      <c r="F318" s="33" t="s">
        <v>804</v>
      </c>
      <c r="G318" s="33"/>
      <c r="H318" s="33"/>
    </row>
    <row r="319" spans="1:8">
      <c r="A319" s="3" t="s">
        <v>1195</v>
      </c>
      <c r="B319" s="156" t="s">
        <v>1001</v>
      </c>
      <c r="C319" s="33" t="s">
        <v>1002</v>
      </c>
      <c r="D319" s="33" t="s">
        <v>725</v>
      </c>
      <c r="E319" s="33"/>
      <c r="F319" s="33" t="s">
        <v>725</v>
      </c>
      <c r="G319" s="33"/>
      <c r="H319" s="33"/>
    </row>
    <row r="320" spans="1:8">
      <c r="A320" s="3" t="s">
        <v>646</v>
      </c>
      <c r="B320" s="156" t="s">
        <v>1014</v>
      </c>
      <c r="C320" s="33" t="s">
        <v>842</v>
      </c>
      <c r="D320" s="33" t="s">
        <v>1196</v>
      </c>
      <c r="E320" s="33"/>
      <c r="F320" s="33" t="s">
        <v>786</v>
      </c>
      <c r="G320" s="33"/>
      <c r="H320" s="33"/>
    </row>
    <row r="321" spans="1:8">
      <c r="A321" s="3" t="s">
        <v>1195</v>
      </c>
      <c r="B321" s="156" t="s">
        <v>1005</v>
      </c>
      <c r="C321" s="33" t="s">
        <v>1006</v>
      </c>
      <c r="D321" s="33" t="s">
        <v>725</v>
      </c>
      <c r="E321" s="33"/>
      <c r="F321" s="33" t="s">
        <v>725</v>
      </c>
      <c r="G321" s="33"/>
      <c r="H321" s="33"/>
    </row>
    <row r="322" spans="1:8">
      <c r="A322" s="3" t="s">
        <v>646</v>
      </c>
      <c r="B322" s="156" t="s">
        <v>1044</v>
      </c>
      <c r="C322" s="33" t="s">
        <v>1045</v>
      </c>
      <c r="D322" s="33"/>
      <c r="E322" s="33"/>
      <c r="F322" s="33"/>
      <c r="G322" s="33"/>
      <c r="H322" s="33"/>
    </row>
    <row r="323" spans="1:8">
      <c r="A323" s="3" t="s">
        <v>646</v>
      </c>
      <c r="B323" s="156" t="s">
        <v>1009</v>
      </c>
      <c r="C323" s="33" t="s">
        <v>1010</v>
      </c>
      <c r="D323" s="33"/>
      <c r="E323" s="33"/>
      <c r="F323" s="33"/>
      <c r="G323" s="33"/>
      <c r="H323" s="33"/>
    </row>
    <row r="324" spans="1:8">
      <c r="A324" s="3" t="s">
        <v>646</v>
      </c>
      <c r="B324" s="156" t="s">
        <v>1007</v>
      </c>
      <c r="C324" s="33" t="s">
        <v>1008</v>
      </c>
      <c r="D324" s="33"/>
      <c r="E324" s="33"/>
      <c r="F324" s="33"/>
      <c r="G324" s="33"/>
      <c r="H324" s="33"/>
    </row>
    <row r="325" spans="1:8">
      <c r="A325" s="3" t="s">
        <v>646</v>
      </c>
      <c r="B325" s="156" t="s">
        <v>1028</v>
      </c>
      <c r="C325" s="33" t="s">
        <v>1029</v>
      </c>
      <c r="D325" s="33"/>
      <c r="E325" s="33"/>
      <c r="F325" s="33" t="s">
        <v>804</v>
      </c>
      <c r="G325" s="33"/>
      <c r="H325" s="33"/>
    </row>
  </sheetData>
  <mergeCells count="2">
    <mergeCell ref="C2:H2"/>
    <mergeCell ref="C3:I3"/>
  </mergeCells>
  <hyperlinks>
    <hyperlink ref="B1" location="Summary!A1" display="Summary" xr:uid="{57BD0164-BD17-4A0A-B030-8AB5D6677A80}"/>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AF7B3-43F1-4F8F-9FDE-605FC7310ABA}">
  <dimension ref="A1:G76"/>
  <sheetViews>
    <sheetView workbookViewId="0">
      <pane xSplit="1" ySplit="6" topLeftCell="C58" activePane="bottomRight" state="frozen"/>
      <selection pane="bottomRight" activeCell="C58" sqref="C58"/>
      <selection pane="bottomLeft" activeCell="B4" sqref="B4"/>
      <selection pane="topRight" activeCell="B4" sqref="B4"/>
    </sheetView>
  </sheetViews>
  <sheetFormatPr defaultRowHeight="15"/>
  <cols>
    <col min="1" max="1" width="36.5703125" bestFit="1" customWidth="1"/>
    <col min="2" max="2" width="34" customWidth="1"/>
    <col min="3" max="4" width="28" customWidth="1"/>
    <col min="5" max="5" width="20.28515625" customWidth="1"/>
    <col min="6" max="6" width="25" customWidth="1"/>
    <col min="7" max="7" width="24.85546875" customWidth="1"/>
  </cols>
  <sheetData>
    <row r="1" spans="1:7">
      <c r="A1" s="1" t="s">
        <v>773</v>
      </c>
      <c r="B1" s="44"/>
      <c r="C1" s="44"/>
      <c r="D1" s="44"/>
      <c r="E1" s="44"/>
      <c r="F1" s="44"/>
    </row>
    <row r="2" spans="1:7">
      <c r="A2" s="40" t="s">
        <v>3147</v>
      </c>
      <c r="B2" s="44"/>
      <c r="C2" s="44"/>
      <c r="D2" s="44"/>
      <c r="E2" s="44"/>
      <c r="F2" s="44"/>
    </row>
    <row r="3" spans="1:7">
      <c r="A3" s="40" t="s">
        <v>3148</v>
      </c>
      <c r="B3" s="44"/>
      <c r="C3" s="44"/>
      <c r="D3" s="44"/>
      <c r="E3" s="44"/>
      <c r="F3" s="44"/>
    </row>
    <row r="4" spans="1:7">
      <c r="A4" s="40" t="s">
        <v>3149</v>
      </c>
      <c r="B4" s="44"/>
      <c r="C4" s="44"/>
      <c r="D4" s="44"/>
      <c r="E4" s="44"/>
      <c r="F4" s="44"/>
    </row>
    <row r="5" spans="1:7">
      <c r="A5" s="44"/>
      <c r="B5" s="44"/>
      <c r="C5" s="44"/>
      <c r="D5" s="44"/>
      <c r="E5" s="44"/>
      <c r="F5" s="44"/>
    </row>
    <row r="6" spans="1:7">
      <c r="A6" s="65" t="s">
        <v>743</v>
      </c>
      <c r="B6" s="65" t="s">
        <v>775</v>
      </c>
      <c r="C6" s="65" t="s">
        <v>776</v>
      </c>
      <c r="D6" s="65" t="s">
        <v>777</v>
      </c>
      <c r="E6" s="65" t="s">
        <v>1237</v>
      </c>
      <c r="F6" s="65" t="s">
        <v>779</v>
      </c>
      <c r="G6" s="65" t="s">
        <v>568</v>
      </c>
    </row>
    <row r="7" spans="1:7">
      <c r="A7" s="67"/>
      <c r="B7" s="67"/>
      <c r="C7" s="67"/>
      <c r="D7" s="67"/>
      <c r="E7" s="67"/>
      <c r="F7" s="67"/>
      <c r="G7" s="67"/>
    </row>
    <row r="8" spans="1:7">
      <c r="A8" s="67"/>
      <c r="B8" s="67"/>
      <c r="C8" s="67"/>
      <c r="D8" s="67"/>
      <c r="E8" s="67"/>
      <c r="F8" s="67"/>
      <c r="G8" s="67"/>
    </row>
    <row r="9" spans="1:7">
      <c r="A9" s="67"/>
      <c r="B9" s="67"/>
      <c r="C9" s="67"/>
      <c r="D9" s="67"/>
      <c r="E9" s="67"/>
      <c r="F9" s="67"/>
      <c r="G9" s="67"/>
    </row>
    <row r="10" spans="1:7">
      <c r="A10" s="67"/>
      <c r="B10" s="67"/>
      <c r="C10" s="67"/>
      <c r="D10" s="67"/>
      <c r="E10" s="67"/>
      <c r="F10" s="67"/>
      <c r="G10" s="67"/>
    </row>
    <row r="11" spans="1:7">
      <c r="A11" s="307"/>
      <c r="B11" s="146"/>
      <c r="C11" s="146"/>
      <c r="D11" s="146"/>
      <c r="E11" s="146"/>
      <c r="F11" s="146"/>
      <c r="G11" s="146"/>
    </row>
    <row r="12" spans="1:7">
      <c r="A12" s="307"/>
      <c r="B12" s="146"/>
      <c r="C12" s="146"/>
      <c r="D12" s="146"/>
      <c r="E12" s="146"/>
      <c r="F12" s="146"/>
      <c r="G12" s="146"/>
    </row>
    <row r="13" spans="1:7">
      <c r="A13" s="307"/>
      <c r="B13" s="146"/>
      <c r="C13" s="146"/>
      <c r="D13" s="146"/>
      <c r="E13" s="146"/>
      <c r="F13" s="146"/>
      <c r="G13" s="146"/>
    </row>
    <row r="14" spans="1:7">
      <c r="A14" s="307"/>
      <c r="B14" s="146"/>
      <c r="C14" s="146"/>
      <c r="D14" s="146"/>
      <c r="E14" s="146"/>
      <c r="F14" s="146"/>
      <c r="G14" s="146"/>
    </row>
    <row r="15" spans="1:7">
      <c r="A15" s="307"/>
      <c r="B15" s="146"/>
      <c r="C15" s="146"/>
      <c r="D15" s="146"/>
      <c r="E15" s="146"/>
      <c r="F15" s="146"/>
      <c r="G15" s="146"/>
    </row>
    <row r="16" spans="1:7">
      <c r="A16" s="307"/>
      <c r="B16" s="146"/>
      <c r="C16" s="146"/>
      <c r="D16" s="146"/>
      <c r="E16" s="146"/>
      <c r="F16" s="146"/>
      <c r="G16" s="146"/>
    </row>
    <row r="17" spans="1:7">
      <c r="A17" s="307"/>
      <c r="B17" s="146"/>
      <c r="C17" s="146"/>
      <c r="D17" s="146"/>
      <c r="E17" s="146"/>
      <c r="F17" s="146"/>
      <c r="G17" s="146"/>
    </row>
    <row r="18" spans="1:7">
      <c r="A18" s="307"/>
      <c r="B18" s="146"/>
      <c r="C18" s="146"/>
      <c r="D18" s="146"/>
      <c r="E18" s="146"/>
      <c r="F18" s="146"/>
      <c r="G18" s="146"/>
    </row>
    <row r="19" spans="1:7">
      <c r="A19" s="307"/>
      <c r="B19" s="146"/>
      <c r="C19" s="146"/>
      <c r="D19" s="146"/>
      <c r="E19" s="146"/>
      <c r="F19" s="146"/>
      <c r="G19" s="146"/>
    </row>
    <row r="20" spans="1:7">
      <c r="A20" s="307"/>
      <c r="B20" s="146"/>
      <c r="C20" s="146"/>
      <c r="D20" s="146"/>
      <c r="E20" s="146"/>
      <c r="F20" s="146"/>
      <c r="G20" s="146"/>
    </row>
    <row r="21" spans="1:7">
      <c r="A21" s="307"/>
      <c r="B21" s="146"/>
      <c r="C21" s="146"/>
      <c r="D21" s="146"/>
      <c r="E21" s="146"/>
      <c r="F21" s="146"/>
      <c r="G21" s="146"/>
    </row>
    <row r="22" spans="1:7">
      <c r="A22" s="307"/>
      <c r="B22" s="146"/>
      <c r="C22" s="146"/>
      <c r="D22" s="146"/>
      <c r="E22" s="146"/>
      <c r="F22" s="146"/>
      <c r="G22" s="146"/>
    </row>
    <row r="23" spans="1:7">
      <c r="A23" s="307"/>
      <c r="B23" s="146"/>
      <c r="C23" s="146"/>
      <c r="D23" s="146"/>
      <c r="E23" s="146"/>
      <c r="F23" s="146"/>
      <c r="G23" s="146"/>
    </row>
    <row r="24" spans="1:7">
      <c r="A24" s="307"/>
      <c r="B24" s="146"/>
      <c r="C24" s="146"/>
      <c r="D24" s="146"/>
      <c r="E24" s="146"/>
      <c r="F24" s="146"/>
      <c r="G24" s="146"/>
    </row>
    <row r="28" spans="1:7">
      <c r="A28" t="s">
        <v>2141</v>
      </c>
    </row>
    <row r="29" spans="1:7">
      <c r="A29" t="s">
        <v>1946</v>
      </c>
      <c r="B29" t="s">
        <v>2142</v>
      </c>
    </row>
    <row r="30" spans="1:7">
      <c r="A30" t="s">
        <v>3150</v>
      </c>
      <c r="B30" t="s">
        <v>3151</v>
      </c>
    </row>
    <row r="31" spans="1:7">
      <c r="B31" t="s">
        <v>3152</v>
      </c>
    </row>
    <row r="32" spans="1:7">
      <c r="B32" t="s">
        <v>3153</v>
      </c>
    </row>
    <row r="33" spans="1:2">
      <c r="B33" t="s">
        <v>3154</v>
      </c>
    </row>
    <row r="34" spans="1:2">
      <c r="B34" s="315" t="s">
        <v>3155</v>
      </c>
    </row>
    <row r="35" spans="1:2">
      <c r="A35" t="s">
        <v>2136</v>
      </c>
      <c r="B35" t="s">
        <v>3156</v>
      </c>
    </row>
    <row r="36" spans="1:2">
      <c r="B36" t="s">
        <v>3157</v>
      </c>
    </row>
    <row r="37" spans="1:2">
      <c r="B37" s="248" t="s">
        <v>3158</v>
      </c>
    </row>
    <row r="38" spans="1:2">
      <c r="B38" s="248"/>
    </row>
    <row r="39" spans="1:2">
      <c r="A39" t="s">
        <v>2116</v>
      </c>
      <c r="B39" t="s">
        <v>3159</v>
      </c>
    </row>
    <row r="40" spans="1:2">
      <c r="B40" t="s">
        <v>3160</v>
      </c>
    </row>
    <row r="42" spans="1:2" ht="120">
      <c r="A42" t="s">
        <v>3161</v>
      </c>
      <c r="B42" s="78" t="s">
        <v>3162</v>
      </c>
    </row>
    <row r="43" spans="1:2">
      <c r="B43" t="s">
        <v>3163</v>
      </c>
    </row>
    <row r="44" spans="1:2">
      <c r="B44" t="s">
        <v>3164</v>
      </c>
    </row>
    <row r="46" spans="1:2">
      <c r="A46" t="s">
        <v>3165</v>
      </c>
      <c r="B46" t="s">
        <v>3166</v>
      </c>
    </row>
    <row r="47" spans="1:2">
      <c r="B47" t="s">
        <v>3167</v>
      </c>
    </row>
    <row r="48" spans="1:2">
      <c r="B48" t="s">
        <v>3168</v>
      </c>
    </row>
    <row r="49" spans="1:2">
      <c r="B49" t="s">
        <v>3169</v>
      </c>
    </row>
    <row r="50" spans="1:2">
      <c r="B50" t="s">
        <v>3170</v>
      </c>
    </row>
    <row r="51" spans="1:2">
      <c r="B51" t="s">
        <v>3171</v>
      </c>
    </row>
    <row r="53" spans="1:2">
      <c r="A53" t="s">
        <v>1687</v>
      </c>
    </row>
    <row r="54" spans="1:2">
      <c r="B54" t="s">
        <v>3172</v>
      </c>
    </row>
    <row r="55" spans="1:2">
      <c r="B55" t="s">
        <v>3173</v>
      </c>
    </row>
    <row r="56" spans="1:2">
      <c r="B56" t="s">
        <v>3174</v>
      </c>
    </row>
    <row r="57" spans="1:2">
      <c r="B57" t="s">
        <v>3175</v>
      </c>
    </row>
    <row r="58" spans="1:2">
      <c r="B58" t="s">
        <v>3176</v>
      </c>
    </row>
    <row r="59" spans="1:2">
      <c r="B59" t="s">
        <v>3177</v>
      </c>
    </row>
    <row r="61" spans="1:2">
      <c r="A61" t="s">
        <v>2153</v>
      </c>
      <c r="B61" t="s">
        <v>3178</v>
      </c>
    </row>
    <row r="63" spans="1:2">
      <c r="A63" t="s">
        <v>2155</v>
      </c>
      <c r="B63" t="s">
        <v>3179</v>
      </c>
    </row>
    <row r="64" spans="1:2">
      <c r="B64" t="s">
        <v>3180</v>
      </c>
    </row>
    <row r="66" spans="1:2">
      <c r="A66" t="s">
        <v>2158</v>
      </c>
      <c r="B66" t="s">
        <v>3181</v>
      </c>
    </row>
    <row r="67" spans="1:2">
      <c r="B67" t="s">
        <v>3182</v>
      </c>
    </row>
    <row r="68" spans="1:2">
      <c r="B68" t="s">
        <v>3183</v>
      </c>
    </row>
    <row r="70" spans="1:2">
      <c r="A70" t="s">
        <v>2161</v>
      </c>
      <c r="B70" t="s">
        <v>3184</v>
      </c>
    </row>
    <row r="71" spans="1:2">
      <c r="B71" t="s">
        <v>3185</v>
      </c>
    </row>
    <row r="72" spans="1:2">
      <c r="B72" t="s">
        <v>3186</v>
      </c>
    </row>
    <row r="73" spans="1:2">
      <c r="B73" t="s">
        <v>3187</v>
      </c>
    </row>
    <row r="75" spans="1:2">
      <c r="A75" t="s">
        <v>2164</v>
      </c>
      <c r="B75" t="s">
        <v>2165</v>
      </c>
    </row>
    <row r="76" spans="1:2">
      <c r="B76" t="s">
        <v>3188</v>
      </c>
    </row>
  </sheetData>
  <hyperlinks>
    <hyperlink ref="A1" location="Summary!A1" display="Summary" xr:uid="{93FAF15A-3057-4C63-875F-A73D9C1B610F}"/>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a7ea39e-a642-455b-9212-62239b3b8055">
      <Terms xmlns="http://schemas.microsoft.com/office/infopath/2007/PartnerControls"/>
    </lcf76f155ced4ddcb4097134ff3c332f>
    <TaxCatchAll xmlns="d357c37f-953d-43f0-9d5c-41b6999fc31b" xsi:nil="true"/>
    <SharedWithUsers xmlns="d357c37f-953d-43f0-9d5c-41b6999fc31b">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246CB2416A8A42A87F24DE1DC132B9" ma:contentTypeVersion="15" ma:contentTypeDescription="Create a new document." ma:contentTypeScope="" ma:versionID="e15e09e7c73d64df650bfea1cc097907">
  <xsd:schema xmlns:xsd="http://www.w3.org/2001/XMLSchema" xmlns:xs="http://www.w3.org/2001/XMLSchema" xmlns:p="http://schemas.microsoft.com/office/2006/metadata/properties" xmlns:ns2="5a7ea39e-a642-455b-9212-62239b3b8055" xmlns:ns3="d357c37f-953d-43f0-9d5c-41b6999fc31b" targetNamespace="http://schemas.microsoft.com/office/2006/metadata/properties" ma:root="true" ma:fieldsID="01e89cb841850e0f5febf2097f31a10d" ns2:_="" ns3:_="">
    <xsd:import namespace="5a7ea39e-a642-455b-9212-62239b3b8055"/>
    <xsd:import namespace="d357c37f-953d-43f0-9d5c-41b6999fc31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7ea39e-a642-455b-9212-62239b3b80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df81b48-1f39-4586-ba4f-679ce73ab4c9"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57c37f-953d-43f0-9d5c-41b6999fc31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dbe0912-0cfb-4d7c-8141-f0a4c84c7788}" ma:internalName="TaxCatchAll" ma:showField="CatchAllData" ma:web="d357c37f-953d-43f0-9d5c-41b6999fc3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29BB34-ACEF-42C4-B4FF-69510F55C6E1}"/>
</file>

<file path=customXml/itemProps2.xml><?xml version="1.0" encoding="utf-8"?>
<ds:datastoreItem xmlns:ds="http://schemas.openxmlformats.org/officeDocument/2006/customXml" ds:itemID="{8FE1C356-56FC-4D7C-8757-A39D2DB49821}"/>
</file>

<file path=customXml/itemProps3.xml><?xml version="1.0" encoding="utf-8"?>
<ds:datastoreItem xmlns:ds="http://schemas.openxmlformats.org/officeDocument/2006/customXml" ds:itemID="{865F986D-0091-4E02-9878-66443A7F21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jcanlas</dc:creator>
  <cp:keywords/>
  <dc:description/>
  <cp:lastModifiedBy/>
  <cp:revision/>
  <dcterms:created xsi:type="dcterms:W3CDTF">2015-06-05T18:17:20Z</dcterms:created>
  <dcterms:modified xsi:type="dcterms:W3CDTF">2026-02-10T12:53:45Z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0x01010073246CB2416A8A42A87F24DE1DC132B9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